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Projects\Honda-Dealership Revenue and Sales Performance\"/>
    </mc:Choice>
  </mc:AlternateContent>
  <xr:revisionPtr revIDLastSave="0" documentId="11_4983D97F395B5FAA37FE38E1441C03F156AF9EA8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Enriched_PowerBI_Feed" sheetId="1" r:id="rId1"/>
    <sheet name="Raw_Data" sheetId="2" r:id="rId2"/>
    <sheet name="Model_Assumptions" sheetId="3" r:id="rId3"/>
    <sheet name="Source_Assumption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1408" i="1" l="1"/>
  <c r="O1408" i="1" s="1"/>
  <c r="J1408" i="1"/>
  <c r="P1408" i="1" s="1"/>
  <c r="I1408" i="1"/>
  <c r="H1408" i="1"/>
  <c r="G1408" i="1"/>
  <c r="F1408" i="1"/>
  <c r="E1408" i="1"/>
  <c r="D1408" i="1"/>
  <c r="C1408" i="1"/>
  <c r="B1408" i="1"/>
  <c r="A1408" i="1"/>
  <c r="P1407" i="1"/>
  <c r="O1407" i="1"/>
  <c r="N1407" i="1"/>
  <c r="M1407" i="1"/>
  <c r="L1407" i="1"/>
  <c r="K1407" i="1"/>
  <c r="J1407" i="1"/>
  <c r="I1407" i="1"/>
  <c r="H1407" i="1"/>
  <c r="G1407" i="1"/>
  <c r="F1407" i="1"/>
  <c r="E1407" i="1"/>
  <c r="D1407" i="1"/>
  <c r="C1407" i="1"/>
  <c r="B1407" i="1"/>
  <c r="A1407" i="1"/>
  <c r="P1406" i="1"/>
  <c r="O1406" i="1"/>
  <c r="N1406" i="1"/>
  <c r="M1406" i="1"/>
  <c r="L1406" i="1"/>
  <c r="K1406" i="1"/>
  <c r="J1406" i="1"/>
  <c r="I1406" i="1"/>
  <c r="H1406" i="1"/>
  <c r="G1406" i="1"/>
  <c r="F1406" i="1"/>
  <c r="E1406" i="1"/>
  <c r="D1406" i="1"/>
  <c r="C1406" i="1"/>
  <c r="B1406" i="1"/>
  <c r="A1406" i="1"/>
  <c r="P1405" i="1"/>
  <c r="O1405" i="1"/>
  <c r="N1405" i="1"/>
  <c r="M1405" i="1"/>
  <c r="L1405" i="1"/>
  <c r="K1405" i="1"/>
  <c r="J1405" i="1"/>
  <c r="I1405" i="1"/>
  <c r="H1405" i="1"/>
  <c r="G1405" i="1"/>
  <c r="F1405" i="1"/>
  <c r="E1405" i="1"/>
  <c r="D1405" i="1"/>
  <c r="C1405" i="1"/>
  <c r="B1405" i="1"/>
  <c r="A1405" i="1"/>
  <c r="P1404" i="1"/>
  <c r="O1404" i="1"/>
  <c r="N1404" i="1"/>
  <c r="M1404" i="1"/>
  <c r="L1404" i="1"/>
  <c r="K1404" i="1"/>
  <c r="J1404" i="1"/>
  <c r="I1404" i="1"/>
  <c r="H1404" i="1"/>
  <c r="G1404" i="1"/>
  <c r="F1404" i="1"/>
  <c r="E1404" i="1"/>
  <c r="D1404" i="1"/>
  <c r="C1404" i="1"/>
  <c r="B1404" i="1"/>
  <c r="A1404" i="1"/>
  <c r="P1403" i="1"/>
  <c r="O1403" i="1"/>
  <c r="N1403" i="1"/>
  <c r="M1403" i="1"/>
  <c r="L1403" i="1"/>
  <c r="K1403" i="1"/>
  <c r="J1403" i="1"/>
  <c r="I1403" i="1"/>
  <c r="H1403" i="1"/>
  <c r="G1403" i="1"/>
  <c r="F1403" i="1"/>
  <c r="E1403" i="1"/>
  <c r="D1403" i="1"/>
  <c r="C1403" i="1"/>
  <c r="B1403" i="1"/>
  <c r="A1403" i="1"/>
  <c r="P1402" i="1"/>
  <c r="O1402" i="1"/>
  <c r="N1402" i="1"/>
  <c r="M1402" i="1"/>
  <c r="L1402" i="1"/>
  <c r="K1402" i="1"/>
  <c r="J1402" i="1"/>
  <c r="I1402" i="1"/>
  <c r="H1402" i="1"/>
  <c r="G1402" i="1"/>
  <c r="F1402" i="1"/>
  <c r="E1402" i="1"/>
  <c r="D1402" i="1"/>
  <c r="C1402" i="1"/>
  <c r="B1402" i="1"/>
  <c r="A1402" i="1"/>
  <c r="P1401" i="1"/>
  <c r="O1401" i="1"/>
  <c r="N1401" i="1"/>
  <c r="M1401" i="1"/>
  <c r="L1401" i="1"/>
  <c r="K1401" i="1"/>
  <c r="J1401" i="1"/>
  <c r="I1401" i="1"/>
  <c r="H1401" i="1"/>
  <c r="G1401" i="1"/>
  <c r="F1401" i="1"/>
  <c r="E1401" i="1"/>
  <c r="D1401" i="1"/>
  <c r="C1401" i="1"/>
  <c r="B1401" i="1"/>
  <c r="A1401" i="1"/>
  <c r="P1400" i="1"/>
  <c r="O1400" i="1"/>
  <c r="N1400" i="1"/>
  <c r="M1400" i="1"/>
  <c r="L1400" i="1"/>
  <c r="K1400" i="1"/>
  <c r="J1400" i="1"/>
  <c r="I1400" i="1"/>
  <c r="H1400" i="1"/>
  <c r="G1400" i="1"/>
  <c r="F1400" i="1"/>
  <c r="E1400" i="1"/>
  <c r="D1400" i="1"/>
  <c r="C1400" i="1"/>
  <c r="B1400" i="1"/>
  <c r="A1400" i="1"/>
  <c r="P1399" i="1"/>
  <c r="O1399" i="1"/>
  <c r="N1399" i="1"/>
  <c r="M1399" i="1"/>
  <c r="L1399" i="1"/>
  <c r="K1399" i="1"/>
  <c r="J1399" i="1"/>
  <c r="I1399" i="1"/>
  <c r="H1399" i="1"/>
  <c r="G1399" i="1"/>
  <c r="F1399" i="1"/>
  <c r="E1399" i="1"/>
  <c r="D1399" i="1"/>
  <c r="C1399" i="1"/>
  <c r="B1399" i="1"/>
  <c r="A1399" i="1"/>
  <c r="P1398" i="1"/>
  <c r="O1398" i="1"/>
  <c r="N1398" i="1"/>
  <c r="M1398" i="1"/>
  <c r="L1398" i="1"/>
  <c r="K1398" i="1"/>
  <c r="J1398" i="1"/>
  <c r="I1398" i="1"/>
  <c r="H1398" i="1"/>
  <c r="G1398" i="1"/>
  <c r="F1398" i="1"/>
  <c r="E1398" i="1"/>
  <c r="D1398" i="1"/>
  <c r="C1398" i="1"/>
  <c r="B1398" i="1"/>
  <c r="A1398" i="1"/>
  <c r="P1397" i="1"/>
  <c r="O1397" i="1"/>
  <c r="N1397" i="1"/>
  <c r="M1397" i="1"/>
  <c r="L1397" i="1"/>
  <c r="K1397" i="1"/>
  <c r="J1397" i="1"/>
  <c r="I1397" i="1"/>
  <c r="H1397" i="1"/>
  <c r="G1397" i="1"/>
  <c r="F1397" i="1"/>
  <c r="E1397" i="1"/>
  <c r="D1397" i="1"/>
  <c r="C1397" i="1"/>
  <c r="B1397" i="1"/>
  <c r="A1397" i="1"/>
  <c r="P1396" i="1"/>
  <c r="O1396" i="1"/>
  <c r="N1396" i="1"/>
  <c r="M1396" i="1"/>
  <c r="L1396" i="1"/>
  <c r="K1396" i="1"/>
  <c r="J1396" i="1"/>
  <c r="I1396" i="1"/>
  <c r="H1396" i="1"/>
  <c r="G1396" i="1"/>
  <c r="F1396" i="1"/>
  <c r="E1396" i="1"/>
  <c r="D1396" i="1"/>
  <c r="C1396" i="1"/>
  <c r="B1396" i="1"/>
  <c r="A1396" i="1"/>
  <c r="P1395" i="1"/>
  <c r="O1395" i="1"/>
  <c r="N1395" i="1"/>
  <c r="M1395" i="1"/>
  <c r="L1395" i="1"/>
  <c r="K1395" i="1"/>
  <c r="J1395" i="1"/>
  <c r="I1395" i="1"/>
  <c r="H1395" i="1"/>
  <c r="G1395" i="1"/>
  <c r="F1395" i="1"/>
  <c r="E1395" i="1"/>
  <c r="D1395" i="1"/>
  <c r="C1395" i="1"/>
  <c r="B1395" i="1"/>
  <c r="A1395" i="1"/>
  <c r="P1394" i="1"/>
  <c r="O1394" i="1"/>
  <c r="N1394" i="1"/>
  <c r="M1394" i="1"/>
  <c r="L1394" i="1"/>
  <c r="K1394" i="1"/>
  <c r="J1394" i="1"/>
  <c r="I1394" i="1"/>
  <c r="H1394" i="1"/>
  <c r="G1394" i="1"/>
  <c r="F1394" i="1"/>
  <c r="E1394" i="1"/>
  <c r="D1394" i="1"/>
  <c r="C1394" i="1"/>
  <c r="B1394" i="1"/>
  <c r="A1394" i="1"/>
  <c r="P1393" i="1"/>
  <c r="O1393" i="1"/>
  <c r="N1393" i="1"/>
  <c r="M1393" i="1"/>
  <c r="L1393" i="1"/>
  <c r="K1393" i="1"/>
  <c r="J1393" i="1"/>
  <c r="I1393" i="1"/>
  <c r="H1393" i="1"/>
  <c r="G1393" i="1"/>
  <c r="F1393" i="1"/>
  <c r="E1393" i="1"/>
  <c r="D1393" i="1"/>
  <c r="C1393" i="1"/>
  <c r="B1393" i="1"/>
  <c r="A1393" i="1"/>
  <c r="P1392" i="1"/>
  <c r="O1392" i="1"/>
  <c r="N1392" i="1"/>
  <c r="M1392" i="1"/>
  <c r="L1392" i="1"/>
  <c r="K1392" i="1"/>
  <c r="J1392" i="1"/>
  <c r="I1392" i="1"/>
  <c r="H1392" i="1"/>
  <c r="G1392" i="1"/>
  <c r="F1392" i="1"/>
  <c r="E1392" i="1"/>
  <c r="D1392" i="1"/>
  <c r="C1392" i="1"/>
  <c r="B1392" i="1"/>
  <c r="A1392" i="1"/>
  <c r="P1391" i="1"/>
  <c r="O1391" i="1"/>
  <c r="N1391" i="1"/>
  <c r="M1391" i="1"/>
  <c r="L1391" i="1"/>
  <c r="K1391" i="1"/>
  <c r="J1391" i="1"/>
  <c r="I1391" i="1"/>
  <c r="H1391" i="1"/>
  <c r="G1391" i="1"/>
  <c r="F1391" i="1"/>
  <c r="E1391" i="1"/>
  <c r="D1391" i="1"/>
  <c r="C1391" i="1"/>
  <c r="B1391" i="1"/>
  <c r="A1391" i="1"/>
  <c r="P1390" i="1"/>
  <c r="O1390" i="1"/>
  <c r="N1390" i="1"/>
  <c r="M1390" i="1"/>
  <c r="L1390" i="1"/>
  <c r="K1390" i="1"/>
  <c r="J1390" i="1"/>
  <c r="I1390" i="1"/>
  <c r="H1390" i="1"/>
  <c r="G1390" i="1"/>
  <c r="F1390" i="1"/>
  <c r="E1390" i="1"/>
  <c r="D1390" i="1"/>
  <c r="C1390" i="1"/>
  <c r="B1390" i="1"/>
  <c r="A1390" i="1"/>
  <c r="P1389" i="1"/>
  <c r="O1389" i="1"/>
  <c r="N1389" i="1"/>
  <c r="M1389" i="1"/>
  <c r="L1389" i="1"/>
  <c r="K1389" i="1"/>
  <c r="J1389" i="1"/>
  <c r="I1389" i="1"/>
  <c r="H1389" i="1"/>
  <c r="G1389" i="1"/>
  <c r="F1389" i="1"/>
  <c r="E1389" i="1"/>
  <c r="D1389" i="1"/>
  <c r="C1389" i="1"/>
  <c r="B1389" i="1"/>
  <c r="A1389" i="1"/>
  <c r="P1388" i="1"/>
  <c r="O1388" i="1"/>
  <c r="N1388" i="1"/>
  <c r="M1388" i="1"/>
  <c r="L1388" i="1"/>
  <c r="K1388" i="1"/>
  <c r="J1388" i="1"/>
  <c r="I1388" i="1"/>
  <c r="H1388" i="1"/>
  <c r="G1388" i="1"/>
  <c r="F1388" i="1"/>
  <c r="E1388" i="1"/>
  <c r="D1388" i="1"/>
  <c r="C1388" i="1"/>
  <c r="B1388" i="1"/>
  <c r="A1388" i="1"/>
  <c r="P1387" i="1"/>
  <c r="O1387" i="1"/>
  <c r="N1387" i="1"/>
  <c r="M1387" i="1"/>
  <c r="L1387" i="1"/>
  <c r="K1387" i="1"/>
  <c r="J1387" i="1"/>
  <c r="I1387" i="1"/>
  <c r="H1387" i="1"/>
  <c r="G1387" i="1"/>
  <c r="F1387" i="1"/>
  <c r="E1387" i="1"/>
  <c r="D1387" i="1"/>
  <c r="C1387" i="1"/>
  <c r="B1387" i="1"/>
  <c r="A1387" i="1"/>
  <c r="P1386" i="1"/>
  <c r="O1386" i="1"/>
  <c r="N1386" i="1"/>
  <c r="M1386" i="1"/>
  <c r="L1386" i="1"/>
  <c r="K1386" i="1"/>
  <c r="J1386" i="1"/>
  <c r="I1386" i="1"/>
  <c r="H1386" i="1"/>
  <c r="G1386" i="1"/>
  <c r="F1386" i="1"/>
  <c r="E1386" i="1"/>
  <c r="D1386" i="1"/>
  <c r="C1386" i="1"/>
  <c r="B1386" i="1"/>
  <c r="A1386" i="1"/>
  <c r="P1385" i="1"/>
  <c r="O1385" i="1"/>
  <c r="N1385" i="1"/>
  <c r="M1385" i="1"/>
  <c r="L1385" i="1"/>
  <c r="K1385" i="1"/>
  <c r="J1385" i="1"/>
  <c r="I1385" i="1"/>
  <c r="H1385" i="1"/>
  <c r="G1385" i="1"/>
  <c r="F1385" i="1"/>
  <c r="E1385" i="1"/>
  <c r="D1385" i="1"/>
  <c r="C1385" i="1"/>
  <c r="B1385" i="1"/>
  <c r="A1385" i="1"/>
  <c r="P1384" i="1"/>
  <c r="O1384" i="1"/>
  <c r="N1384" i="1"/>
  <c r="M1384" i="1"/>
  <c r="L1384" i="1"/>
  <c r="K1384" i="1"/>
  <c r="J1384" i="1"/>
  <c r="I1384" i="1"/>
  <c r="H1384" i="1"/>
  <c r="G1384" i="1"/>
  <c r="F1384" i="1"/>
  <c r="E1384" i="1"/>
  <c r="D1384" i="1"/>
  <c r="C1384" i="1"/>
  <c r="B1384" i="1"/>
  <c r="A1384" i="1"/>
  <c r="P1383" i="1"/>
  <c r="O1383" i="1"/>
  <c r="N1383" i="1"/>
  <c r="M1383" i="1"/>
  <c r="L1383" i="1"/>
  <c r="K1383" i="1"/>
  <c r="J1383" i="1"/>
  <c r="I1383" i="1"/>
  <c r="H1383" i="1"/>
  <c r="G1383" i="1"/>
  <c r="F1383" i="1"/>
  <c r="E1383" i="1"/>
  <c r="D1383" i="1"/>
  <c r="C1383" i="1"/>
  <c r="B1383" i="1"/>
  <c r="A1383" i="1"/>
  <c r="P1382" i="1"/>
  <c r="O1382" i="1"/>
  <c r="N1382" i="1"/>
  <c r="M1382" i="1"/>
  <c r="L1382" i="1"/>
  <c r="K1382" i="1"/>
  <c r="J1382" i="1"/>
  <c r="I1382" i="1"/>
  <c r="H1382" i="1"/>
  <c r="G1382" i="1"/>
  <c r="F1382" i="1"/>
  <c r="E1382" i="1"/>
  <c r="D1382" i="1"/>
  <c r="C1382" i="1"/>
  <c r="B1382" i="1"/>
  <c r="A1382" i="1"/>
  <c r="P1381" i="1"/>
  <c r="O1381" i="1"/>
  <c r="N1381" i="1"/>
  <c r="M1381" i="1"/>
  <c r="L1381" i="1"/>
  <c r="K1381" i="1"/>
  <c r="J1381" i="1"/>
  <c r="I1381" i="1"/>
  <c r="H1381" i="1"/>
  <c r="G1381" i="1"/>
  <c r="F1381" i="1"/>
  <c r="E1381" i="1"/>
  <c r="D1381" i="1"/>
  <c r="C1381" i="1"/>
  <c r="B1381" i="1"/>
  <c r="A1381" i="1"/>
  <c r="P1380" i="1"/>
  <c r="O1380" i="1"/>
  <c r="N1380" i="1"/>
  <c r="M1380" i="1"/>
  <c r="L1380" i="1"/>
  <c r="K1380" i="1"/>
  <c r="J1380" i="1"/>
  <c r="I1380" i="1"/>
  <c r="H1380" i="1"/>
  <c r="G1380" i="1"/>
  <c r="F1380" i="1"/>
  <c r="E1380" i="1"/>
  <c r="D1380" i="1"/>
  <c r="C1380" i="1"/>
  <c r="B1380" i="1"/>
  <c r="A1380" i="1"/>
  <c r="P1379" i="1"/>
  <c r="O1379" i="1"/>
  <c r="N1379" i="1"/>
  <c r="M1379" i="1"/>
  <c r="L1379" i="1"/>
  <c r="K1379" i="1"/>
  <c r="J1379" i="1"/>
  <c r="I1379" i="1"/>
  <c r="H1379" i="1"/>
  <c r="G1379" i="1"/>
  <c r="F1379" i="1"/>
  <c r="E1379" i="1"/>
  <c r="D1379" i="1"/>
  <c r="C1379" i="1"/>
  <c r="B1379" i="1"/>
  <c r="A1379" i="1"/>
  <c r="P1378" i="1"/>
  <c r="O1378" i="1"/>
  <c r="N1378" i="1"/>
  <c r="M1378" i="1"/>
  <c r="L1378" i="1"/>
  <c r="K1378" i="1"/>
  <c r="J1378" i="1"/>
  <c r="I1378" i="1"/>
  <c r="H1378" i="1"/>
  <c r="G1378" i="1"/>
  <c r="F1378" i="1"/>
  <c r="E1378" i="1"/>
  <c r="D1378" i="1"/>
  <c r="C1378" i="1"/>
  <c r="B1378" i="1"/>
  <c r="A1378" i="1"/>
  <c r="P1377" i="1"/>
  <c r="O1377" i="1"/>
  <c r="N1377" i="1"/>
  <c r="M1377" i="1"/>
  <c r="L1377" i="1"/>
  <c r="K1377" i="1"/>
  <c r="J1377" i="1"/>
  <c r="I1377" i="1"/>
  <c r="H1377" i="1"/>
  <c r="G1377" i="1"/>
  <c r="F1377" i="1"/>
  <c r="E1377" i="1"/>
  <c r="D1377" i="1"/>
  <c r="C1377" i="1"/>
  <c r="B1377" i="1"/>
  <c r="A1377" i="1"/>
  <c r="P1376" i="1"/>
  <c r="O1376" i="1"/>
  <c r="N1376" i="1"/>
  <c r="M1376" i="1"/>
  <c r="L1376" i="1"/>
  <c r="K1376" i="1"/>
  <c r="J1376" i="1"/>
  <c r="I1376" i="1"/>
  <c r="H1376" i="1"/>
  <c r="G1376" i="1"/>
  <c r="F1376" i="1"/>
  <c r="E1376" i="1"/>
  <c r="D1376" i="1"/>
  <c r="C1376" i="1"/>
  <c r="B1376" i="1"/>
  <c r="A1376" i="1"/>
  <c r="P1375" i="1"/>
  <c r="O1375" i="1"/>
  <c r="N1375" i="1"/>
  <c r="M1375" i="1"/>
  <c r="L1375" i="1"/>
  <c r="K1375" i="1"/>
  <c r="J1375" i="1"/>
  <c r="I1375" i="1"/>
  <c r="H1375" i="1"/>
  <c r="G1375" i="1"/>
  <c r="F1375" i="1"/>
  <c r="E1375" i="1"/>
  <c r="D1375" i="1"/>
  <c r="C1375" i="1"/>
  <c r="B1375" i="1"/>
  <c r="A1375" i="1"/>
  <c r="P1374" i="1"/>
  <c r="O1374" i="1"/>
  <c r="N1374" i="1"/>
  <c r="M1374" i="1"/>
  <c r="L1374" i="1"/>
  <c r="K1374" i="1"/>
  <c r="J1374" i="1"/>
  <c r="I1374" i="1"/>
  <c r="H1374" i="1"/>
  <c r="G1374" i="1"/>
  <c r="F1374" i="1"/>
  <c r="E1374" i="1"/>
  <c r="D1374" i="1"/>
  <c r="C1374" i="1"/>
  <c r="B1374" i="1"/>
  <c r="A1374" i="1"/>
  <c r="P1373" i="1"/>
  <c r="O1373" i="1"/>
  <c r="N1373" i="1"/>
  <c r="M1373" i="1"/>
  <c r="L1373" i="1"/>
  <c r="K1373" i="1"/>
  <c r="J1373" i="1"/>
  <c r="I1373" i="1"/>
  <c r="H1373" i="1"/>
  <c r="G1373" i="1"/>
  <c r="F1373" i="1"/>
  <c r="E1373" i="1"/>
  <c r="D1373" i="1"/>
  <c r="C1373" i="1"/>
  <c r="B1373" i="1"/>
  <c r="A1373" i="1"/>
  <c r="P1372" i="1"/>
  <c r="O1372" i="1"/>
  <c r="N1372" i="1"/>
  <c r="M1372" i="1"/>
  <c r="L1372" i="1"/>
  <c r="K1372" i="1"/>
  <c r="J1372" i="1"/>
  <c r="I1372" i="1"/>
  <c r="H1372" i="1"/>
  <c r="G1372" i="1"/>
  <c r="F1372" i="1"/>
  <c r="E1372" i="1"/>
  <c r="D1372" i="1"/>
  <c r="C1372" i="1"/>
  <c r="B1372" i="1"/>
  <c r="A1372" i="1"/>
  <c r="P1371" i="1"/>
  <c r="O1371" i="1"/>
  <c r="N1371" i="1"/>
  <c r="M1371" i="1"/>
  <c r="L1371" i="1"/>
  <c r="K1371" i="1"/>
  <c r="J1371" i="1"/>
  <c r="I1371" i="1"/>
  <c r="H1371" i="1"/>
  <c r="G1371" i="1"/>
  <c r="F1371" i="1"/>
  <c r="E1371" i="1"/>
  <c r="D1371" i="1"/>
  <c r="C1371" i="1"/>
  <c r="B1371" i="1"/>
  <c r="A1371" i="1"/>
  <c r="P1370" i="1"/>
  <c r="O1370" i="1"/>
  <c r="N1370" i="1"/>
  <c r="M1370" i="1"/>
  <c r="L1370" i="1"/>
  <c r="K1370" i="1"/>
  <c r="J1370" i="1"/>
  <c r="I1370" i="1"/>
  <c r="H1370" i="1"/>
  <c r="G1370" i="1"/>
  <c r="F1370" i="1"/>
  <c r="E1370" i="1"/>
  <c r="D1370" i="1"/>
  <c r="C1370" i="1"/>
  <c r="B1370" i="1"/>
  <c r="A1370" i="1"/>
  <c r="P1369" i="1"/>
  <c r="O1369" i="1"/>
  <c r="N1369" i="1"/>
  <c r="M1369" i="1"/>
  <c r="L1369" i="1"/>
  <c r="K1369" i="1"/>
  <c r="J1369" i="1"/>
  <c r="I1369" i="1"/>
  <c r="H1369" i="1"/>
  <c r="G1369" i="1"/>
  <c r="F1369" i="1"/>
  <c r="E1369" i="1"/>
  <c r="D1369" i="1"/>
  <c r="C1369" i="1"/>
  <c r="B1369" i="1"/>
  <c r="A1369" i="1"/>
  <c r="P1368" i="1"/>
  <c r="O1368" i="1"/>
  <c r="N1368" i="1"/>
  <c r="M1368" i="1"/>
  <c r="L1368" i="1"/>
  <c r="K1368" i="1"/>
  <c r="J1368" i="1"/>
  <c r="I1368" i="1"/>
  <c r="H1368" i="1"/>
  <c r="G1368" i="1"/>
  <c r="F1368" i="1"/>
  <c r="E1368" i="1"/>
  <c r="D1368" i="1"/>
  <c r="C1368" i="1"/>
  <c r="B1368" i="1"/>
  <c r="A1368" i="1"/>
  <c r="P1367" i="1"/>
  <c r="O1367" i="1"/>
  <c r="N1367" i="1"/>
  <c r="M1367" i="1"/>
  <c r="L1367" i="1"/>
  <c r="K1367" i="1"/>
  <c r="J1367" i="1"/>
  <c r="I1367" i="1"/>
  <c r="H1367" i="1"/>
  <c r="G1367" i="1"/>
  <c r="F1367" i="1"/>
  <c r="E1367" i="1"/>
  <c r="D1367" i="1"/>
  <c r="C1367" i="1"/>
  <c r="B1367" i="1"/>
  <c r="A1367" i="1"/>
  <c r="P1366" i="1"/>
  <c r="O1366" i="1"/>
  <c r="N1366" i="1"/>
  <c r="M1366" i="1"/>
  <c r="L1366" i="1"/>
  <c r="K1366" i="1"/>
  <c r="J1366" i="1"/>
  <c r="I1366" i="1"/>
  <c r="H1366" i="1"/>
  <c r="G1366" i="1"/>
  <c r="F1366" i="1"/>
  <c r="E1366" i="1"/>
  <c r="D1366" i="1"/>
  <c r="C1366" i="1"/>
  <c r="B1366" i="1"/>
  <c r="A1366" i="1"/>
  <c r="P1365" i="1"/>
  <c r="O1365" i="1"/>
  <c r="N1365" i="1"/>
  <c r="M1365" i="1"/>
  <c r="L1365" i="1"/>
  <c r="K1365" i="1"/>
  <c r="J1365" i="1"/>
  <c r="I1365" i="1"/>
  <c r="H1365" i="1"/>
  <c r="G1365" i="1"/>
  <c r="F1365" i="1"/>
  <c r="E1365" i="1"/>
  <c r="D1365" i="1"/>
  <c r="C1365" i="1"/>
  <c r="B1365" i="1"/>
  <c r="A1365" i="1"/>
  <c r="P1364" i="1"/>
  <c r="O1364" i="1"/>
  <c r="N1364" i="1"/>
  <c r="M1364" i="1"/>
  <c r="L1364" i="1"/>
  <c r="K1364" i="1"/>
  <c r="J1364" i="1"/>
  <c r="I1364" i="1"/>
  <c r="H1364" i="1"/>
  <c r="G1364" i="1"/>
  <c r="F1364" i="1"/>
  <c r="E1364" i="1"/>
  <c r="D1364" i="1"/>
  <c r="C1364" i="1"/>
  <c r="B1364" i="1"/>
  <c r="A1364" i="1"/>
  <c r="P1363" i="1"/>
  <c r="O1363" i="1"/>
  <c r="N1363" i="1"/>
  <c r="M1363" i="1"/>
  <c r="L1363" i="1"/>
  <c r="K1363" i="1"/>
  <c r="J1363" i="1"/>
  <c r="I1363" i="1"/>
  <c r="H1363" i="1"/>
  <c r="G1363" i="1"/>
  <c r="F1363" i="1"/>
  <c r="E1363" i="1"/>
  <c r="D1363" i="1"/>
  <c r="C1363" i="1"/>
  <c r="B1363" i="1"/>
  <c r="A1363" i="1"/>
  <c r="P1362" i="1"/>
  <c r="O1362" i="1"/>
  <c r="N1362" i="1"/>
  <c r="M1362" i="1"/>
  <c r="L1362" i="1"/>
  <c r="K1362" i="1"/>
  <c r="J1362" i="1"/>
  <c r="I1362" i="1"/>
  <c r="H1362" i="1"/>
  <c r="G1362" i="1"/>
  <c r="F1362" i="1"/>
  <c r="E1362" i="1"/>
  <c r="D1362" i="1"/>
  <c r="C1362" i="1"/>
  <c r="B1362" i="1"/>
  <c r="A1362" i="1"/>
  <c r="P1361" i="1"/>
  <c r="O1361" i="1"/>
  <c r="N1361" i="1"/>
  <c r="M1361" i="1"/>
  <c r="L1361" i="1"/>
  <c r="K1361" i="1"/>
  <c r="J1361" i="1"/>
  <c r="I1361" i="1"/>
  <c r="H1361" i="1"/>
  <c r="G1361" i="1"/>
  <c r="F1361" i="1"/>
  <c r="E1361" i="1"/>
  <c r="D1361" i="1"/>
  <c r="C1361" i="1"/>
  <c r="B1361" i="1"/>
  <c r="A1361" i="1"/>
  <c r="P1360" i="1"/>
  <c r="O1360" i="1"/>
  <c r="N1360" i="1"/>
  <c r="M1360" i="1"/>
  <c r="L1360" i="1"/>
  <c r="K1360" i="1"/>
  <c r="J1360" i="1"/>
  <c r="I1360" i="1"/>
  <c r="H1360" i="1"/>
  <c r="G1360" i="1"/>
  <c r="F1360" i="1"/>
  <c r="E1360" i="1"/>
  <c r="D1360" i="1"/>
  <c r="C1360" i="1"/>
  <c r="B1360" i="1"/>
  <c r="A1360" i="1"/>
  <c r="P1359" i="1"/>
  <c r="O1359" i="1"/>
  <c r="N1359" i="1"/>
  <c r="M1359" i="1"/>
  <c r="L1359" i="1"/>
  <c r="K1359" i="1"/>
  <c r="J1359" i="1"/>
  <c r="I1359" i="1"/>
  <c r="H1359" i="1"/>
  <c r="G1359" i="1"/>
  <c r="F1359" i="1"/>
  <c r="E1359" i="1"/>
  <c r="D1359" i="1"/>
  <c r="C1359" i="1"/>
  <c r="B1359" i="1"/>
  <c r="A1359" i="1"/>
  <c r="P1358" i="1"/>
  <c r="O1358" i="1"/>
  <c r="N1358" i="1"/>
  <c r="M1358" i="1"/>
  <c r="L1358" i="1"/>
  <c r="K1358" i="1"/>
  <c r="J1358" i="1"/>
  <c r="I1358" i="1"/>
  <c r="H1358" i="1"/>
  <c r="G1358" i="1"/>
  <c r="F1358" i="1"/>
  <c r="E1358" i="1"/>
  <c r="D1358" i="1"/>
  <c r="C1358" i="1"/>
  <c r="B1358" i="1"/>
  <c r="A1358" i="1"/>
  <c r="P1357" i="1"/>
  <c r="O1357" i="1"/>
  <c r="N1357" i="1"/>
  <c r="M1357" i="1"/>
  <c r="L1357" i="1"/>
  <c r="K1357" i="1"/>
  <c r="J1357" i="1"/>
  <c r="I1357" i="1"/>
  <c r="H1357" i="1"/>
  <c r="G1357" i="1"/>
  <c r="F1357" i="1"/>
  <c r="E1357" i="1"/>
  <c r="D1357" i="1"/>
  <c r="C1357" i="1"/>
  <c r="B1357" i="1"/>
  <c r="A1357" i="1"/>
  <c r="P1356" i="1"/>
  <c r="O1356" i="1"/>
  <c r="N1356" i="1"/>
  <c r="M1356" i="1"/>
  <c r="L1356" i="1"/>
  <c r="K1356" i="1"/>
  <c r="J1356" i="1"/>
  <c r="I1356" i="1"/>
  <c r="H1356" i="1"/>
  <c r="G1356" i="1"/>
  <c r="F1356" i="1"/>
  <c r="E1356" i="1"/>
  <c r="D1356" i="1"/>
  <c r="C1356" i="1"/>
  <c r="B1356" i="1"/>
  <c r="A1356" i="1"/>
  <c r="P1355" i="1"/>
  <c r="O1355" i="1"/>
  <c r="N1355" i="1"/>
  <c r="M1355" i="1"/>
  <c r="L1355" i="1"/>
  <c r="K1355" i="1"/>
  <c r="J1355" i="1"/>
  <c r="I1355" i="1"/>
  <c r="H1355" i="1"/>
  <c r="G1355" i="1"/>
  <c r="F1355" i="1"/>
  <c r="E1355" i="1"/>
  <c r="D1355" i="1"/>
  <c r="C1355" i="1"/>
  <c r="B1355" i="1"/>
  <c r="A1355" i="1"/>
  <c r="P1354" i="1"/>
  <c r="O1354" i="1"/>
  <c r="N1354" i="1"/>
  <c r="M1354" i="1"/>
  <c r="L1354" i="1"/>
  <c r="K1354" i="1"/>
  <c r="J1354" i="1"/>
  <c r="I1354" i="1"/>
  <c r="H1354" i="1"/>
  <c r="G1354" i="1"/>
  <c r="F1354" i="1"/>
  <c r="E1354" i="1"/>
  <c r="D1354" i="1"/>
  <c r="C1354" i="1"/>
  <c r="B1354" i="1"/>
  <c r="A1354" i="1"/>
  <c r="P1353" i="1"/>
  <c r="O1353" i="1"/>
  <c r="N1353" i="1"/>
  <c r="M1353" i="1"/>
  <c r="L1353" i="1"/>
  <c r="K1353" i="1"/>
  <c r="J1353" i="1"/>
  <c r="I1353" i="1"/>
  <c r="H1353" i="1"/>
  <c r="G1353" i="1"/>
  <c r="F1353" i="1"/>
  <c r="E1353" i="1"/>
  <c r="D1353" i="1"/>
  <c r="C1353" i="1"/>
  <c r="B1353" i="1"/>
  <c r="A1353" i="1"/>
  <c r="P1352" i="1"/>
  <c r="O1352" i="1"/>
  <c r="N1352" i="1"/>
  <c r="M1352" i="1"/>
  <c r="L1352" i="1"/>
  <c r="K1352" i="1"/>
  <c r="J1352" i="1"/>
  <c r="I1352" i="1"/>
  <c r="H1352" i="1"/>
  <c r="G1352" i="1"/>
  <c r="F1352" i="1"/>
  <c r="E1352" i="1"/>
  <c r="D1352" i="1"/>
  <c r="C1352" i="1"/>
  <c r="B1352" i="1"/>
  <c r="A1352" i="1"/>
  <c r="P1351" i="1"/>
  <c r="O1351" i="1"/>
  <c r="N1351" i="1"/>
  <c r="M1351" i="1"/>
  <c r="L1351" i="1"/>
  <c r="K1351" i="1"/>
  <c r="J1351" i="1"/>
  <c r="I1351" i="1"/>
  <c r="H1351" i="1"/>
  <c r="G1351" i="1"/>
  <c r="F1351" i="1"/>
  <c r="E1351" i="1"/>
  <c r="D1351" i="1"/>
  <c r="C1351" i="1"/>
  <c r="B1351" i="1"/>
  <c r="A1351" i="1"/>
  <c r="P1350" i="1"/>
  <c r="O1350" i="1"/>
  <c r="N1350" i="1"/>
  <c r="M1350" i="1"/>
  <c r="L1350" i="1"/>
  <c r="K1350" i="1"/>
  <c r="J1350" i="1"/>
  <c r="I1350" i="1"/>
  <c r="H1350" i="1"/>
  <c r="G1350" i="1"/>
  <c r="F1350" i="1"/>
  <c r="E1350" i="1"/>
  <c r="D1350" i="1"/>
  <c r="C1350" i="1"/>
  <c r="B1350" i="1"/>
  <c r="A1350" i="1"/>
  <c r="P1349" i="1"/>
  <c r="O1349" i="1"/>
  <c r="N1349" i="1"/>
  <c r="M1349" i="1"/>
  <c r="L1349" i="1"/>
  <c r="K1349" i="1"/>
  <c r="J1349" i="1"/>
  <c r="I1349" i="1"/>
  <c r="H1349" i="1"/>
  <c r="G1349" i="1"/>
  <c r="F1349" i="1"/>
  <c r="E1349" i="1"/>
  <c r="D1349" i="1"/>
  <c r="C1349" i="1"/>
  <c r="B1349" i="1"/>
  <c r="A1349" i="1"/>
  <c r="P1348" i="1"/>
  <c r="O1348" i="1"/>
  <c r="N1348" i="1"/>
  <c r="M1348" i="1"/>
  <c r="L1348" i="1"/>
  <c r="K1348" i="1"/>
  <c r="J1348" i="1"/>
  <c r="I1348" i="1"/>
  <c r="H1348" i="1"/>
  <c r="G1348" i="1"/>
  <c r="F1348" i="1"/>
  <c r="E1348" i="1"/>
  <c r="D1348" i="1"/>
  <c r="C1348" i="1"/>
  <c r="B1348" i="1"/>
  <c r="A1348" i="1"/>
  <c r="P1347" i="1"/>
  <c r="O1347" i="1"/>
  <c r="N1347" i="1"/>
  <c r="M1347" i="1"/>
  <c r="L1347" i="1"/>
  <c r="K1347" i="1"/>
  <c r="J1347" i="1"/>
  <c r="I1347" i="1"/>
  <c r="H1347" i="1"/>
  <c r="G1347" i="1"/>
  <c r="F1347" i="1"/>
  <c r="E1347" i="1"/>
  <c r="D1347" i="1"/>
  <c r="C1347" i="1"/>
  <c r="B1347" i="1"/>
  <c r="A1347" i="1"/>
  <c r="P1346" i="1"/>
  <c r="O1346" i="1"/>
  <c r="N1346" i="1"/>
  <c r="M1346" i="1"/>
  <c r="L1346" i="1"/>
  <c r="K1346" i="1"/>
  <c r="J1346" i="1"/>
  <c r="I1346" i="1"/>
  <c r="H1346" i="1"/>
  <c r="G1346" i="1"/>
  <c r="F1346" i="1"/>
  <c r="E1346" i="1"/>
  <c r="D1346" i="1"/>
  <c r="C1346" i="1"/>
  <c r="B1346" i="1"/>
  <c r="A1346" i="1"/>
  <c r="P1345" i="1"/>
  <c r="O1345" i="1"/>
  <c r="N1345" i="1"/>
  <c r="M1345" i="1"/>
  <c r="L1345" i="1"/>
  <c r="K1345" i="1"/>
  <c r="J1345" i="1"/>
  <c r="I1345" i="1"/>
  <c r="H1345" i="1"/>
  <c r="G1345" i="1"/>
  <c r="F1345" i="1"/>
  <c r="E1345" i="1"/>
  <c r="D1345" i="1"/>
  <c r="C1345" i="1"/>
  <c r="B1345" i="1"/>
  <c r="A1345" i="1"/>
  <c r="P1344" i="1"/>
  <c r="O1344" i="1"/>
  <c r="N1344" i="1"/>
  <c r="M1344" i="1"/>
  <c r="L1344" i="1"/>
  <c r="K1344" i="1"/>
  <c r="J1344" i="1"/>
  <c r="I1344" i="1"/>
  <c r="H1344" i="1"/>
  <c r="G1344" i="1"/>
  <c r="F1344" i="1"/>
  <c r="E1344" i="1"/>
  <c r="D1344" i="1"/>
  <c r="C1344" i="1"/>
  <c r="B1344" i="1"/>
  <c r="A1344" i="1"/>
  <c r="P1343" i="1"/>
  <c r="O1343" i="1"/>
  <c r="N1343" i="1"/>
  <c r="M1343" i="1"/>
  <c r="L1343" i="1"/>
  <c r="K1343" i="1"/>
  <c r="J1343" i="1"/>
  <c r="I1343" i="1"/>
  <c r="H1343" i="1"/>
  <c r="G1343" i="1"/>
  <c r="F1343" i="1"/>
  <c r="E1343" i="1"/>
  <c r="D1343" i="1"/>
  <c r="C1343" i="1"/>
  <c r="B1343" i="1"/>
  <c r="A1343" i="1"/>
  <c r="P1342" i="1"/>
  <c r="O1342" i="1"/>
  <c r="N1342" i="1"/>
  <c r="M1342" i="1"/>
  <c r="L1342" i="1"/>
  <c r="K1342" i="1"/>
  <c r="J1342" i="1"/>
  <c r="I1342" i="1"/>
  <c r="H1342" i="1"/>
  <c r="G1342" i="1"/>
  <c r="F1342" i="1"/>
  <c r="E1342" i="1"/>
  <c r="D1342" i="1"/>
  <c r="C1342" i="1"/>
  <c r="B1342" i="1"/>
  <c r="A1342" i="1"/>
  <c r="P1341" i="1"/>
  <c r="O1341" i="1"/>
  <c r="N1341" i="1"/>
  <c r="M1341" i="1"/>
  <c r="L1341" i="1"/>
  <c r="K1341" i="1"/>
  <c r="J1341" i="1"/>
  <c r="I1341" i="1"/>
  <c r="H1341" i="1"/>
  <c r="G1341" i="1"/>
  <c r="F1341" i="1"/>
  <c r="E1341" i="1"/>
  <c r="D1341" i="1"/>
  <c r="C1341" i="1"/>
  <c r="B1341" i="1"/>
  <c r="A1341" i="1"/>
  <c r="P1340" i="1"/>
  <c r="O1340" i="1"/>
  <c r="N1340" i="1"/>
  <c r="M1340" i="1"/>
  <c r="L1340" i="1"/>
  <c r="K1340" i="1"/>
  <c r="J1340" i="1"/>
  <c r="I1340" i="1"/>
  <c r="H1340" i="1"/>
  <c r="G1340" i="1"/>
  <c r="F1340" i="1"/>
  <c r="E1340" i="1"/>
  <c r="D1340" i="1"/>
  <c r="C1340" i="1"/>
  <c r="B1340" i="1"/>
  <c r="A1340" i="1"/>
  <c r="P1339" i="1"/>
  <c r="O1339" i="1"/>
  <c r="N1339" i="1"/>
  <c r="M1339" i="1"/>
  <c r="L1339" i="1"/>
  <c r="K1339" i="1"/>
  <c r="J1339" i="1"/>
  <c r="I1339" i="1"/>
  <c r="H1339" i="1"/>
  <c r="G1339" i="1"/>
  <c r="F1339" i="1"/>
  <c r="E1339" i="1"/>
  <c r="D1339" i="1"/>
  <c r="C1339" i="1"/>
  <c r="B1339" i="1"/>
  <c r="A1339" i="1"/>
  <c r="P1338" i="1"/>
  <c r="O1338" i="1"/>
  <c r="N1338" i="1"/>
  <c r="M1338" i="1"/>
  <c r="L1338" i="1"/>
  <c r="K1338" i="1"/>
  <c r="J1338" i="1"/>
  <c r="I1338" i="1"/>
  <c r="H1338" i="1"/>
  <c r="G1338" i="1"/>
  <c r="F1338" i="1"/>
  <c r="E1338" i="1"/>
  <c r="D1338" i="1"/>
  <c r="C1338" i="1"/>
  <c r="B1338" i="1"/>
  <c r="A1338" i="1"/>
  <c r="P1337" i="1"/>
  <c r="O1337" i="1"/>
  <c r="N1337" i="1"/>
  <c r="M1337" i="1"/>
  <c r="L1337" i="1"/>
  <c r="K1337" i="1"/>
  <c r="J1337" i="1"/>
  <c r="I1337" i="1"/>
  <c r="H1337" i="1"/>
  <c r="G1337" i="1"/>
  <c r="F1337" i="1"/>
  <c r="E1337" i="1"/>
  <c r="D1337" i="1"/>
  <c r="C1337" i="1"/>
  <c r="B1337" i="1"/>
  <c r="A1337" i="1"/>
  <c r="P1336" i="1"/>
  <c r="O1336" i="1"/>
  <c r="N1336" i="1"/>
  <c r="M1336" i="1"/>
  <c r="L1336" i="1"/>
  <c r="K1336" i="1"/>
  <c r="J1336" i="1"/>
  <c r="I1336" i="1"/>
  <c r="H1336" i="1"/>
  <c r="G1336" i="1"/>
  <c r="F1336" i="1"/>
  <c r="E1336" i="1"/>
  <c r="D1336" i="1"/>
  <c r="C1336" i="1"/>
  <c r="B1336" i="1"/>
  <c r="A1336" i="1"/>
  <c r="P1335" i="1"/>
  <c r="O1335" i="1"/>
  <c r="N1335" i="1"/>
  <c r="M1335" i="1"/>
  <c r="L1335" i="1"/>
  <c r="K1335" i="1"/>
  <c r="J1335" i="1"/>
  <c r="I1335" i="1"/>
  <c r="H1335" i="1"/>
  <c r="G1335" i="1"/>
  <c r="F1335" i="1"/>
  <c r="E1335" i="1"/>
  <c r="D1335" i="1"/>
  <c r="C1335" i="1"/>
  <c r="B1335" i="1"/>
  <c r="A1335" i="1"/>
  <c r="P1334" i="1"/>
  <c r="O1334" i="1"/>
  <c r="N1334" i="1"/>
  <c r="M1334" i="1"/>
  <c r="L1334" i="1"/>
  <c r="K1334" i="1"/>
  <c r="J1334" i="1"/>
  <c r="I1334" i="1"/>
  <c r="H1334" i="1"/>
  <c r="G1334" i="1"/>
  <c r="F1334" i="1"/>
  <c r="E1334" i="1"/>
  <c r="D1334" i="1"/>
  <c r="C1334" i="1"/>
  <c r="B1334" i="1"/>
  <c r="A1334" i="1"/>
  <c r="P1333" i="1"/>
  <c r="O1333" i="1"/>
  <c r="N1333" i="1"/>
  <c r="M1333" i="1"/>
  <c r="L1333" i="1"/>
  <c r="K1333" i="1"/>
  <c r="J1333" i="1"/>
  <c r="I1333" i="1"/>
  <c r="H1333" i="1"/>
  <c r="G1333" i="1"/>
  <c r="F1333" i="1"/>
  <c r="E1333" i="1"/>
  <c r="D1333" i="1"/>
  <c r="C1333" i="1"/>
  <c r="B1333" i="1"/>
  <c r="A1333" i="1"/>
  <c r="P1332" i="1"/>
  <c r="O1332" i="1"/>
  <c r="N1332" i="1"/>
  <c r="M1332" i="1"/>
  <c r="L1332" i="1"/>
  <c r="K1332" i="1"/>
  <c r="J1332" i="1"/>
  <c r="I1332" i="1"/>
  <c r="H1332" i="1"/>
  <c r="G1332" i="1"/>
  <c r="F1332" i="1"/>
  <c r="E1332" i="1"/>
  <c r="D1332" i="1"/>
  <c r="C1332" i="1"/>
  <c r="B1332" i="1"/>
  <c r="A1332" i="1"/>
  <c r="P1331" i="1"/>
  <c r="O1331" i="1"/>
  <c r="N1331" i="1"/>
  <c r="M1331" i="1"/>
  <c r="L1331" i="1"/>
  <c r="K1331" i="1"/>
  <c r="J1331" i="1"/>
  <c r="I1331" i="1"/>
  <c r="H1331" i="1"/>
  <c r="G1331" i="1"/>
  <c r="F1331" i="1"/>
  <c r="E1331" i="1"/>
  <c r="D1331" i="1"/>
  <c r="C1331" i="1"/>
  <c r="B1331" i="1"/>
  <c r="A1331" i="1"/>
  <c r="P1330" i="1"/>
  <c r="O1330" i="1"/>
  <c r="N1330" i="1"/>
  <c r="M1330" i="1"/>
  <c r="L1330" i="1"/>
  <c r="K1330" i="1"/>
  <c r="J1330" i="1"/>
  <c r="I1330" i="1"/>
  <c r="H1330" i="1"/>
  <c r="G1330" i="1"/>
  <c r="F1330" i="1"/>
  <c r="E1330" i="1"/>
  <c r="D1330" i="1"/>
  <c r="C1330" i="1"/>
  <c r="B1330" i="1"/>
  <c r="A1330" i="1"/>
  <c r="P1329" i="1"/>
  <c r="O1329" i="1"/>
  <c r="N1329" i="1"/>
  <c r="M1329" i="1"/>
  <c r="L1329" i="1"/>
  <c r="K1329" i="1"/>
  <c r="J1329" i="1"/>
  <c r="I1329" i="1"/>
  <c r="H1329" i="1"/>
  <c r="G1329" i="1"/>
  <c r="F1329" i="1"/>
  <c r="E1329" i="1"/>
  <c r="D1329" i="1"/>
  <c r="C1329" i="1"/>
  <c r="B1329" i="1"/>
  <c r="A1329" i="1"/>
  <c r="P1328" i="1"/>
  <c r="O1328" i="1"/>
  <c r="N1328" i="1"/>
  <c r="M1328" i="1"/>
  <c r="L1328" i="1"/>
  <c r="K1328" i="1"/>
  <c r="J1328" i="1"/>
  <c r="I1328" i="1"/>
  <c r="H1328" i="1"/>
  <c r="G1328" i="1"/>
  <c r="F1328" i="1"/>
  <c r="E1328" i="1"/>
  <c r="D1328" i="1"/>
  <c r="C1328" i="1"/>
  <c r="B1328" i="1"/>
  <c r="A1328" i="1"/>
  <c r="P1327" i="1"/>
  <c r="O1327" i="1"/>
  <c r="N1327" i="1"/>
  <c r="M1327" i="1"/>
  <c r="L1327" i="1"/>
  <c r="K1327" i="1"/>
  <c r="J1327" i="1"/>
  <c r="I1327" i="1"/>
  <c r="H1327" i="1"/>
  <c r="G1327" i="1"/>
  <c r="F1327" i="1"/>
  <c r="E1327" i="1"/>
  <c r="D1327" i="1"/>
  <c r="C1327" i="1"/>
  <c r="B1327" i="1"/>
  <c r="A1327" i="1"/>
  <c r="P1326" i="1"/>
  <c r="O1326" i="1"/>
  <c r="N1326" i="1"/>
  <c r="M1326" i="1"/>
  <c r="L1326" i="1"/>
  <c r="K1326" i="1"/>
  <c r="J1326" i="1"/>
  <c r="I1326" i="1"/>
  <c r="H1326" i="1"/>
  <c r="G1326" i="1"/>
  <c r="F1326" i="1"/>
  <c r="E1326" i="1"/>
  <c r="D1326" i="1"/>
  <c r="C1326" i="1"/>
  <c r="B1326" i="1"/>
  <c r="A1326" i="1"/>
  <c r="P1325" i="1"/>
  <c r="O1325" i="1"/>
  <c r="N1325" i="1"/>
  <c r="M1325" i="1"/>
  <c r="L1325" i="1"/>
  <c r="K1325" i="1"/>
  <c r="J1325" i="1"/>
  <c r="I1325" i="1"/>
  <c r="H1325" i="1"/>
  <c r="G1325" i="1"/>
  <c r="F1325" i="1"/>
  <c r="E1325" i="1"/>
  <c r="D1325" i="1"/>
  <c r="C1325" i="1"/>
  <c r="B1325" i="1"/>
  <c r="A1325" i="1"/>
  <c r="P1324" i="1"/>
  <c r="O1324" i="1"/>
  <c r="N1324" i="1"/>
  <c r="M1324" i="1"/>
  <c r="L1324" i="1"/>
  <c r="K1324" i="1"/>
  <c r="J1324" i="1"/>
  <c r="I1324" i="1"/>
  <c r="H1324" i="1"/>
  <c r="G1324" i="1"/>
  <c r="F1324" i="1"/>
  <c r="E1324" i="1"/>
  <c r="D1324" i="1"/>
  <c r="C1324" i="1"/>
  <c r="B1324" i="1"/>
  <c r="A1324" i="1"/>
  <c r="P1323" i="1"/>
  <c r="O1323" i="1"/>
  <c r="N1323" i="1"/>
  <c r="M1323" i="1"/>
  <c r="L1323" i="1"/>
  <c r="K1323" i="1"/>
  <c r="J1323" i="1"/>
  <c r="I1323" i="1"/>
  <c r="H1323" i="1"/>
  <c r="G1323" i="1"/>
  <c r="F1323" i="1"/>
  <c r="E1323" i="1"/>
  <c r="D1323" i="1"/>
  <c r="C1323" i="1"/>
  <c r="B1323" i="1"/>
  <c r="A1323" i="1"/>
  <c r="P1322" i="1"/>
  <c r="O1322" i="1"/>
  <c r="N1322" i="1"/>
  <c r="M1322" i="1"/>
  <c r="L1322" i="1"/>
  <c r="K1322" i="1"/>
  <c r="J1322" i="1"/>
  <c r="I1322" i="1"/>
  <c r="H1322" i="1"/>
  <c r="G1322" i="1"/>
  <c r="F1322" i="1"/>
  <c r="E1322" i="1"/>
  <c r="D1322" i="1"/>
  <c r="C1322" i="1"/>
  <c r="B1322" i="1"/>
  <c r="A1322" i="1"/>
  <c r="P1321" i="1"/>
  <c r="O1321" i="1"/>
  <c r="N1321" i="1"/>
  <c r="M1321" i="1"/>
  <c r="L1321" i="1"/>
  <c r="K1321" i="1"/>
  <c r="J1321" i="1"/>
  <c r="I1321" i="1"/>
  <c r="H1321" i="1"/>
  <c r="G1321" i="1"/>
  <c r="F1321" i="1"/>
  <c r="E1321" i="1"/>
  <c r="D1321" i="1"/>
  <c r="C1321" i="1"/>
  <c r="B1321" i="1"/>
  <c r="A1321" i="1"/>
  <c r="P1320" i="1"/>
  <c r="O1320" i="1"/>
  <c r="N1320" i="1"/>
  <c r="M1320" i="1"/>
  <c r="L1320" i="1"/>
  <c r="K1320" i="1"/>
  <c r="J1320" i="1"/>
  <c r="I1320" i="1"/>
  <c r="H1320" i="1"/>
  <c r="G1320" i="1"/>
  <c r="F1320" i="1"/>
  <c r="E1320" i="1"/>
  <c r="D1320" i="1"/>
  <c r="C1320" i="1"/>
  <c r="B1320" i="1"/>
  <c r="A1320" i="1"/>
  <c r="P1319" i="1"/>
  <c r="O1319" i="1"/>
  <c r="N1319" i="1"/>
  <c r="M1319" i="1"/>
  <c r="L1319" i="1"/>
  <c r="K1319" i="1"/>
  <c r="J1319" i="1"/>
  <c r="I1319" i="1"/>
  <c r="H1319" i="1"/>
  <c r="G1319" i="1"/>
  <c r="F1319" i="1"/>
  <c r="E1319" i="1"/>
  <c r="D1319" i="1"/>
  <c r="C1319" i="1"/>
  <c r="B1319" i="1"/>
  <c r="A1319" i="1"/>
  <c r="P1318" i="1"/>
  <c r="O1318" i="1"/>
  <c r="N1318" i="1"/>
  <c r="M1318" i="1"/>
  <c r="L1318" i="1"/>
  <c r="K1318" i="1"/>
  <c r="J1318" i="1"/>
  <c r="I1318" i="1"/>
  <c r="H1318" i="1"/>
  <c r="G1318" i="1"/>
  <c r="F1318" i="1"/>
  <c r="E1318" i="1"/>
  <c r="D1318" i="1"/>
  <c r="C1318" i="1"/>
  <c r="B1318" i="1"/>
  <c r="A1318" i="1"/>
  <c r="P1317" i="1"/>
  <c r="O1317" i="1"/>
  <c r="N1317" i="1"/>
  <c r="M1317" i="1"/>
  <c r="L1317" i="1"/>
  <c r="K1317" i="1"/>
  <c r="J1317" i="1"/>
  <c r="I1317" i="1"/>
  <c r="H1317" i="1"/>
  <c r="G1317" i="1"/>
  <c r="F1317" i="1"/>
  <c r="E1317" i="1"/>
  <c r="D1317" i="1"/>
  <c r="C1317" i="1"/>
  <c r="B1317" i="1"/>
  <c r="A1317" i="1"/>
  <c r="P1316" i="1"/>
  <c r="O1316" i="1"/>
  <c r="N1316" i="1"/>
  <c r="M1316" i="1"/>
  <c r="L1316" i="1"/>
  <c r="K1316" i="1"/>
  <c r="J1316" i="1"/>
  <c r="I1316" i="1"/>
  <c r="H1316" i="1"/>
  <c r="G1316" i="1"/>
  <c r="F1316" i="1"/>
  <c r="E1316" i="1"/>
  <c r="D1316" i="1"/>
  <c r="C1316" i="1"/>
  <c r="B1316" i="1"/>
  <c r="A1316" i="1"/>
  <c r="P1315" i="1"/>
  <c r="O1315" i="1"/>
  <c r="N1315" i="1"/>
  <c r="M1315" i="1"/>
  <c r="L1315" i="1"/>
  <c r="K1315" i="1"/>
  <c r="J1315" i="1"/>
  <c r="I1315" i="1"/>
  <c r="H1315" i="1"/>
  <c r="G1315" i="1"/>
  <c r="F1315" i="1"/>
  <c r="E1315" i="1"/>
  <c r="D1315" i="1"/>
  <c r="C1315" i="1"/>
  <c r="B1315" i="1"/>
  <c r="A1315" i="1"/>
  <c r="P1314" i="1"/>
  <c r="O1314" i="1"/>
  <c r="N1314" i="1"/>
  <c r="M1314" i="1"/>
  <c r="L1314" i="1"/>
  <c r="K1314" i="1"/>
  <c r="J1314" i="1"/>
  <c r="I1314" i="1"/>
  <c r="H1314" i="1"/>
  <c r="G1314" i="1"/>
  <c r="F1314" i="1"/>
  <c r="E1314" i="1"/>
  <c r="D1314" i="1"/>
  <c r="C1314" i="1"/>
  <c r="B1314" i="1"/>
  <c r="A1314" i="1"/>
  <c r="P1313" i="1"/>
  <c r="O1313" i="1"/>
  <c r="N1313" i="1"/>
  <c r="M1313" i="1"/>
  <c r="L1313" i="1"/>
  <c r="K1313" i="1"/>
  <c r="J1313" i="1"/>
  <c r="I1313" i="1"/>
  <c r="H1313" i="1"/>
  <c r="G1313" i="1"/>
  <c r="F1313" i="1"/>
  <c r="E1313" i="1"/>
  <c r="D1313" i="1"/>
  <c r="C1313" i="1"/>
  <c r="B1313" i="1"/>
  <c r="A1313" i="1"/>
  <c r="P1312" i="1"/>
  <c r="O1312" i="1"/>
  <c r="N1312" i="1"/>
  <c r="M1312" i="1"/>
  <c r="L1312" i="1"/>
  <c r="K1312" i="1"/>
  <c r="J1312" i="1"/>
  <c r="I1312" i="1"/>
  <c r="H1312" i="1"/>
  <c r="G1312" i="1"/>
  <c r="F1312" i="1"/>
  <c r="E1312" i="1"/>
  <c r="D1312" i="1"/>
  <c r="C1312" i="1"/>
  <c r="B1312" i="1"/>
  <c r="A1312" i="1"/>
  <c r="P1311" i="1"/>
  <c r="O1311" i="1"/>
  <c r="N1311" i="1"/>
  <c r="M1311" i="1"/>
  <c r="L1311" i="1"/>
  <c r="K1311" i="1"/>
  <c r="J1311" i="1"/>
  <c r="I1311" i="1"/>
  <c r="H1311" i="1"/>
  <c r="G1311" i="1"/>
  <c r="F1311" i="1"/>
  <c r="E1311" i="1"/>
  <c r="D1311" i="1"/>
  <c r="C1311" i="1"/>
  <c r="B1311" i="1"/>
  <c r="A1311" i="1"/>
  <c r="P1310" i="1"/>
  <c r="O1310" i="1"/>
  <c r="N1310" i="1"/>
  <c r="M1310" i="1"/>
  <c r="L1310" i="1"/>
  <c r="K1310" i="1"/>
  <c r="J1310" i="1"/>
  <c r="I1310" i="1"/>
  <c r="H1310" i="1"/>
  <c r="G1310" i="1"/>
  <c r="F1310" i="1"/>
  <c r="E1310" i="1"/>
  <c r="D1310" i="1"/>
  <c r="C1310" i="1"/>
  <c r="B1310" i="1"/>
  <c r="A1310" i="1"/>
  <c r="P1309" i="1"/>
  <c r="O1309" i="1"/>
  <c r="N1309" i="1"/>
  <c r="M1309" i="1"/>
  <c r="L1309" i="1"/>
  <c r="K1309" i="1"/>
  <c r="J1309" i="1"/>
  <c r="I1309" i="1"/>
  <c r="H1309" i="1"/>
  <c r="G1309" i="1"/>
  <c r="F1309" i="1"/>
  <c r="E1309" i="1"/>
  <c r="D1309" i="1"/>
  <c r="C1309" i="1"/>
  <c r="B1309" i="1"/>
  <c r="A1309" i="1"/>
  <c r="P1308" i="1"/>
  <c r="O1308" i="1"/>
  <c r="N1308" i="1"/>
  <c r="M1308" i="1"/>
  <c r="L1308" i="1"/>
  <c r="K1308" i="1"/>
  <c r="J1308" i="1"/>
  <c r="I1308" i="1"/>
  <c r="H1308" i="1"/>
  <c r="G1308" i="1"/>
  <c r="F1308" i="1"/>
  <c r="E1308" i="1"/>
  <c r="D1308" i="1"/>
  <c r="C1308" i="1"/>
  <c r="B1308" i="1"/>
  <c r="A1308" i="1"/>
  <c r="P1307" i="1"/>
  <c r="O1307" i="1"/>
  <c r="N1307" i="1"/>
  <c r="M1307" i="1"/>
  <c r="L1307" i="1"/>
  <c r="K1307" i="1"/>
  <c r="J1307" i="1"/>
  <c r="I1307" i="1"/>
  <c r="H1307" i="1"/>
  <c r="G1307" i="1"/>
  <c r="F1307" i="1"/>
  <c r="E1307" i="1"/>
  <c r="D1307" i="1"/>
  <c r="C1307" i="1"/>
  <c r="B1307" i="1"/>
  <c r="A1307" i="1"/>
  <c r="P1306" i="1"/>
  <c r="O1306" i="1"/>
  <c r="N1306" i="1"/>
  <c r="M1306" i="1"/>
  <c r="L1306" i="1"/>
  <c r="K1306" i="1"/>
  <c r="J1306" i="1"/>
  <c r="I1306" i="1"/>
  <c r="H1306" i="1"/>
  <c r="G1306" i="1"/>
  <c r="F1306" i="1"/>
  <c r="E1306" i="1"/>
  <c r="D1306" i="1"/>
  <c r="C1306" i="1"/>
  <c r="B1306" i="1"/>
  <c r="A1306" i="1"/>
  <c r="P1305" i="1"/>
  <c r="O1305" i="1"/>
  <c r="N1305" i="1"/>
  <c r="M1305" i="1"/>
  <c r="L1305" i="1"/>
  <c r="K1305" i="1"/>
  <c r="J1305" i="1"/>
  <c r="I1305" i="1"/>
  <c r="H1305" i="1"/>
  <c r="G1305" i="1"/>
  <c r="F1305" i="1"/>
  <c r="E1305" i="1"/>
  <c r="D1305" i="1"/>
  <c r="C1305" i="1"/>
  <c r="B1305" i="1"/>
  <c r="A1305" i="1"/>
  <c r="P1304" i="1"/>
  <c r="O1304" i="1"/>
  <c r="N1304" i="1"/>
  <c r="M1304" i="1"/>
  <c r="L1304" i="1"/>
  <c r="K1304" i="1"/>
  <c r="J1304" i="1"/>
  <c r="I1304" i="1"/>
  <c r="H1304" i="1"/>
  <c r="G1304" i="1"/>
  <c r="F1304" i="1"/>
  <c r="E1304" i="1"/>
  <c r="D1304" i="1"/>
  <c r="C1304" i="1"/>
  <c r="B1304" i="1"/>
  <c r="A1304" i="1"/>
  <c r="P1303" i="1"/>
  <c r="O1303" i="1"/>
  <c r="N1303" i="1"/>
  <c r="M1303" i="1"/>
  <c r="L1303" i="1"/>
  <c r="K1303" i="1"/>
  <c r="J1303" i="1"/>
  <c r="I1303" i="1"/>
  <c r="H1303" i="1"/>
  <c r="G1303" i="1"/>
  <c r="F1303" i="1"/>
  <c r="E1303" i="1"/>
  <c r="D1303" i="1"/>
  <c r="C1303" i="1"/>
  <c r="B1303" i="1"/>
  <c r="A1303" i="1"/>
  <c r="P1302" i="1"/>
  <c r="O1302" i="1"/>
  <c r="N1302" i="1"/>
  <c r="M1302" i="1"/>
  <c r="L1302" i="1"/>
  <c r="K1302" i="1"/>
  <c r="J1302" i="1"/>
  <c r="I1302" i="1"/>
  <c r="H1302" i="1"/>
  <c r="G1302" i="1"/>
  <c r="F1302" i="1"/>
  <c r="E1302" i="1"/>
  <c r="D1302" i="1"/>
  <c r="C1302" i="1"/>
  <c r="B1302" i="1"/>
  <c r="A1302" i="1"/>
  <c r="P1301" i="1"/>
  <c r="O1301" i="1"/>
  <c r="N1301" i="1"/>
  <c r="M1301" i="1"/>
  <c r="L1301" i="1"/>
  <c r="K1301" i="1"/>
  <c r="J1301" i="1"/>
  <c r="I1301" i="1"/>
  <c r="H1301" i="1"/>
  <c r="G1301" i="1"/>
  <c r="F1301" i="1"/>
  <c r="E1301" i="1"/>
  <c r="D1301" i="1"/>
  <c r="C1301" i="1"/>
  <c r="B1301" i="1"/>
  <c r="A1301" i="1"/>
  <c r="P1300" i="1"/>
  <c r="O1300" i="1"/>
  <c r="N1300" i="1"/>
  <c r="M1300" i="1"/>
  <c r="L1300" i="1"/>
  <c r="K1300" i="1"/>
  <c r="J1300" i="1"/>
  <c r="I1300" i="1"/>
  <c r="H1300" i="1"/>
  <c r="G1300" i="1"/>
  <c r="F1300" i="1"/>
  <c r="E1300" i="1"/>
  <c r="D1300" i="1"/>
  <c r="C1300" i="1"/>
  <c r="B1300" i="1"/>
  <c r="A1300" i="1"/>
  <c r="P1299" i="1"/>
  <c r="O1299" i="1"/>
  <c r="N1299" i="1"/>
  <c r="M1299" i="1"/>
  <c r="L1299" i="1"/>
  <c r="K1299" i="1"/>
  <c r="J1299" i="1"/>
  <c r="I1299" i="1"/>
  <c r="H1299" i="1"/>
  <c r="G1299" i="1"/>
  <c r="F1299" i="1"/>
  <c r="E1299" i="1"/>
  <c r="D1299" i="1"/>
  <c r="C1299" i="1"/>
  <c r="B1299" i="1"/>
  <c r="A1299" i="1"/>
  <c r="P1298" i="1"/>
  <c r="O1298" i="1"/>
  <c r="N1298" i="1"/>
  <c r="M1298" i="1"/>
  <c r="L1298" i="1"/>
  <c r="K1298" i="1"/>
  <c r="J1298" i="1"/>
  <c r="I1298" i="1"/>
  <c r="H1298" i="1"/>
  <c r="G1298" i="1"/>
  <c r="F1298" i="1"/>
  <c r="E1298" i="1"/>
  <c r="D1298" i="1"/>
  <c r="C1298" i="1"/>
  <c r="B1298" i="1"/>
  <c r="A1298" i="1"/>
  <c r="P1297" i="1"/>
  <c r="O1297" i="1"/>
  <c r="N1297" i="1"/>
  <c r="M1297" i="1"/>
  <c r="L1297" i="1"/>
  <c r="K1297" i="1"/>
  <c r="J1297" i="1"/>
  <c r="I1297" i="1"/>
  <c r="H1297" i="1"/>
  <c r="G1297" i="1"/>
  <c r="F1297" i="1"/>
  <c r="E1297" i="1"/>
  <c r="D1297" i="1"/>
  <c r="C1297" i="1"/>
  <c r="B1297" i="1"/>
  <c r="A1297" i="1"/>
  <c r="P1296" i="1"/>
  <c r="O1296" i="1"/>
  <c r="N1296" i="1"/>
  <c r="M1296" i="1"/>
  <c r="L1296" i="1"/>
  <c r="K1296" i="1"/>
  <c r="J1296" i="1"/>
  <c r="I1296" i="1"/>
  <c r="H1296" i="1"/>
  <c r="G1296" i="1"/>
  <c r="F1296" i="1"/>
  <c r="E1296" i="1"/>
  <c r="D1296" i="1"/>
  <c r="C1296" i="1"/>
  <c r="B1296" i="1"/>
  <c r="A1296" i="1"/>
  <c r="P1295" i="1"/>
  <c r="O1295" i="1"/>
  <c r="N1295" i="1"/>
  <c r="M1295" i="1"/>
  <c r="L1295" i="1"/>
  <c r="K1295" i="1"/>
  <c r="J1295" i="1"/>
  <c r="I1295" i="1"/>
  <c r="H1295" i="1"/>
  <c r="G1295" i="1"/>
  <c r="F1295" i="1"/>
  <c r="E1295" i="1"/>
  <c r="D1295" i="1"/>
  <c r="C1295" i="1"/>
  <c r="B1295" i="1"/>
  <c r="A1295" i="1"/>
  <c r="P1294" i="1"/>
  <c r="O1294" i="1"/>
  <c r="N1294" i="1"/>
  <c r="M1294" i="1"/>
  <c r="L1294" i="1"/>
  <c r="K1294" i="1"/>
  <c r="J1294" i="1"/>
  <c r="I1294" i="1"/>
  <c r="H1294" i="1"/>
  <c r="G1294" i="1"/>
  <c r="F1294" i="1"/>
  <c r="E1294" i="1"/>
  <c r="D1294" i="1"/>
  <c r="C1294" i="1"/>
  <c r="B1294" i="1"/>
  <c r="A1294" i="1"/>
  <c r="P1293" i="1"/>
  <c r="O1293" i="1"/>
  <c r="N1293" i="1"/>
  <c r="M1293" i="1"/>
  <c r="L1293" i="1"/>
  <c r="K1293" i="1"/>
  <c r="J1293" i="1"/>
  <c r="I1293" i="1"/>
  <c r="H1293" i="1"/>
  <c r="G1293" i="1"/>
  <c r="F1293" i="1"/>
  <c r="E1293" i="1"/>
  <c r="D1293" i="1"/>
  <c r="C1293" i="1"/>
  <c r="B1293" i="1"/>
  <c r="A1293" i="1"/>
  <c r="P1292" i="1"/>
  <c r="O1292" i="1"/>
  <c r="N1292" i="1"/>
  <c r="M1292" i="1"/>
  <c r="L1292" i="1"/>
  <c r="K1292" i="1"/>
  <c r="J1292" i="1"/>
  <c r="I1292" i="1"/>
  <c r="H1292" i="1"/>
  <c r="G1292" i="1"/>
  <c r="F1292" i="1"/>
  <c r="E1292" i="1"/>
  <c r="D1292" i="1"/>
  <c r="C1292" i="1"/>
  <c r="B1292" i="1"/>
  <c r="A1292" i="1"/>
  <c r="P1291" i="1"/>
  <c r="O1291" i="1"/>
  <c r="N1291" i="1"/>
  <c r="M1291" i="1"/>
  <c r="L1291" i="1"/>
  <c r="K1291" i="1"/>
  <c r="J1291" i="1"/>
  <c r="I1291" i="1"/>
  <c r="H1291" i="1"/>
  <c r="G1291" i="1"/>
  <c r="F1291" i="1"/>
  <c r="E1291" i="1"/>
  <c r="D1291" i="1"/>
  <c r="C1291" i="1"/>
  <c r="B1291" i="1"/>
  <c r="A1291" i="1"/>
  <c r="P1290" i="1"/>
  <c r="O1290" i="1"/>
  <c r="N1290" i="1"/>
  <c r="M1290" i="1"/>
  <c r="L1290" i="1"/>
  <c r="K1290" i="1"/>
  <c r="J1290" i="1"/>
  <c r="I1290" i="1"/>
  <c r="H1290" i="1"/>
  <c r="G1290" i="1"/>
  <c r="F1290" i="1"/>
  <c r="E1290" i="1"/>
  <c r="D1290" i="1"/>
  <c r="C1290" i="1"/>
  <c r="B1290" i="1"/>
  <c r="A1290" i="1"/>
  <c r="P1289" i="1"/>
  <c r="O1289" i="1"/>
  <c r="N1289" i="1"/>
  <c r="M1289" i="1"/>
  <c r="L1289" i="1"/>
  <c r="K1289" i="1"/>
  <c r="J1289" i="1"/>
  <c r="I1289" i="1"/>
  <c r="H1289" i="1"/>
  <c r="G1289" i="1"/>
  <c r="F1289" i="1"/>
  <c r="E1289" i="1"/>
  <c r="D1289" i="1"/>
  <c r="C1289" i="1"/>
  <c r="B1289" i="1"/>
  <c r="A1289" i="1"/>
  <c r="P1288" i="1"/>
  <c r="O1288" i="1"/>
  <c r="N1288" i="1"/>
  <c r="M1288" i="1"/>
  <c r="L1288" i="1"/>
  <c r="K1288" i="1"/>
  <c r="J1288" i="1"/>
  <c r="I1288" i="1"/>
  <c r="H1288" i="1"/>
  <c r="G1288" i="1"/>
  <c r="F1288" i="1"/>
  <c r="E1288" i="1"/>
  <c r="D1288" i="1"/>
  <c r="C1288" i="1"/>
  <c r="B1288" i="1"/>
  <c r="A1288" i="1"/>
  <c r="P1287" i="1"/>
  <c r="O1287" i="1"/>
  <c r="N1287" i="1"/>
  <c r="M1287" i="1"/>
  <c r="L1287" i="1"/>
  <c r="K1287" i="1"/>
  <c r="J1287" i="1"/>
  <c r="I1287" i="1"/>
  <c r="H1287" i="1"/>
  <c r="G1287" i="1"/>
  <c r="F1287" i="1"/>
  <c r="E1287" i="1"/>
  <c r="D1287" i="1"/>
  <c r="C1287" i="1"/>
  <c r="B1287" i="1"/>
  <c r="A1287" i="1"/>
  <c r="P1286" i="1"/>
  <c r="O1286" i="1"/>
  <c r="N1286" i="1"/>
  <c r="M1286" i="1"/>
  <c r="L1286" i="1"/>
  <c r="K1286" i="1"/>
  <c r="J1286" i="1"/>
  <c r="I1286" i="1"/>
  <c r="H1286" i="1"/>
  <c r="G1286" i="1"/>
  <c r="F1286" i="1"/>
  <c r="E1286" i="1"/>
  <c r="D1286" i="1"/>
  <c r="C1286" i="1"/>
  <c r="B1286" i="1"/>
  <c r="A1286" i="1"/>
  <c r="P1285" i="1"/>
  <c r="O1285" i="1"/>
  <c r="N1285" i="1"/>
  <c r="M1285" i="1"/>
  <c r="L1285" i="1"/>
  <c r="K1285" i="1"/>
  <c r="J1285" i="1"/>
  <c r="I1285" i="1"/>
  <c r="H1285" i="1"/>
  <c r="G1285" i="1"/>
  <c r="F1285" i="1"/>
  <c r="E1285" i="1"/>
  <c r="D1285" i="1"/>
  <c r="C1285" i="1"/>
  <c r="B1285" i="1"/>
  <c r="A1285" i="1"/>
  <c r="P1284" i="1"/>
  <c r="O1284" i="1"/>
  <c r="N1284" i="1"/>
  <c r="M1284" i="1"/>
  <c r="L1284" i="1"/>
  <c r="K1284" i="1"/>
  <c r="J1284" i="1"/>
  <c r="I1284" i="1"/>
  <c r="H1284" i="1"/>
  <c r="G1284" i="1"/>
  <c r="F1284" i="1"/>
  <c r="E1284" i="1"/>
  <c r="D1284" i="1"/>
  <c r="C1284" i="1"/>
  <c r="B1284" i="1"/>
  <c r="A1284" i="1"/>
  <c r="P1283" i="1"/>
  <c r="O1283" i="1"/>
  <c r="N1283" i="1"/>
  <c r="M1283" i="1"/>
  <c r="L1283" i="1"/>
  <c r="K1283" i="1"/>
  <c r="J1283" i="1"/>
  <c r="I1283" i="1"/>
  <c r="H1283" i="1"/>
  <c r="G1283" i="1"/>
  <c r="F1283" i="1"/>
  <c r="E1283" i="1"/>
  <c r="D1283" i="1"/>
  <c r="C1283" i="1"/>
  <c r="B1283" i="1"/>
  <c r="A1283" i="1"/>
  <c r="P1282" i="1"/>
  <c r="O1282" i="1"/>
  <c r="N1282" i="1"/>
  <c r="M1282" i="1"/>
  <c r="L1282" i="1"/>
  <c r="K1282" i="1"/>
  <c r="J1282" i="1"/>
  <c r="I1282" i="1"/>
  <c r="H1282" i="1"/>
  <c r="G1282" i="1"/>
  <c r="F1282" i="1"/>
  <c r="E1282" i="1"/>
  <c r="D1282" i="1"/>
  <c r="C1282" i="1"/>
  <c r="B1282" i="1"/>
  <c r="A1282" i="1"/>
  <c r="P1281" i="1"/>
  <c r="O1281" i="1"/>
  <c r="N1281" i="1"/>
  <c r="M1281" i="1"/>
  <c r="L1281" i="1"/>
  <c r="K1281" i="1"/>
  <c r="J1281" i="1"/>
  <c r="I1281" i="1"/>
  <c r="H1281" i="1"/>
  <c r="G1281" i="1"/>
  <c r="F1281" i="1"/>
  <c r="E1281" i="1"/>
  <c r="D1281" i="1"/>
  <c r="C1281" i="1"/>
  <c r="B1281" i="1"/>
  <c r="A1281" i="1"/>
  <c r="P1280" i="1"/>
  <c r="O1280" i="1"/>
  <c r="N1280" i="1"/>
  <c r="M1280" i="1"/>
  <c r="L1280" i="1"/>
  <c r="K1280" i="1"/>
  <c r="J1280" i="1"/>
  <c r="I1280" i="1"/>
  <c r="H1280" i="1"/>
  <c r="G1280" i="1"/>
  <c r="F1280" i="1"/>
  <c r="E1280" i="1"/>
  <c r="D1280" i="1"/>
  <c r="C1280" i="1"/>
  <c r="B1280" i="1"/>
  <c r="A1280" i="1"/>
  <c r="P1279" i="1"/>
  <c r="O1279" i="1"/>
  <c r="N1279" i="1"/>
  <c r="M1279" i="1"/>
  <c r="L1279" i="1"/>
  <c r="K1279" i="1"/>
  <c r="J1279" i="1"/>
  <c r="I1279" i="1"/>
  <c r="H1279" i="1"/>
  <c r="G1279" i="1"/>
  <c r="F1279" i="1"/>
  <c r="E1279" i="1"/>
  <c r="D1279" i="1"/>
  <c r="C1279" i="1"/>
  <c r="B1279" i="1"/>
  <c r="A1279" i="1"/>
  <c r="P1278" i="1"/>
  <c r="O1278" i="1"/>
  <c r="N1278" i="1"/>
  <c r="M1278" i="1"/>
  <c r="L1278" i="1"/>
  <c r="K1278" i="1"/>
  <c r="J1278" i="1"/>
  <c r="I1278" i="1"/>
  <c r="H1278" i="1"/>
  <c r="G1278" i="1"/>
  <c r="F1278" i="1"/>
  <c r="E1278" i="1"/>
  <c r="D1278" i="1"/>
  <c r="C1278" i="1"/>
  <c r="B1278" i="1"/>
  <c r="A1278" i="1"/>
  <c r="P1277" i="1"/>
  <c r="O1277" i="1"/>
  <c r="N1277" i="1"/>
  <c r="M1277" i="1"/>
  <c r="L1277" i="1"/>
  <c r="K1277" i="1"/>
  <c r="J1277" i="1"/>
  <c r="I1277" i="1"/>
  <c r="H1277" i="1"/>
  <c r="G1277" i="1"/>
  <c r="F1277" i="1"/>
  <c r="E1277" i="1"/>
  <c r="D1277" i="1"/>
  <c r="C1277" i="1"/>
  <c r="B1277" i="1"/>
  <c r="A1277" i="1"/>
  <c r="P1276" i="1"/>
  <c r="O1276" i="1"/>
  <c r="N1276" i="1"/>
  <c r="M1276" i="1"/>
  <c r="L1276" i="1"/>
  <c r="K1276" i="1"/>
  <c r="J1276" i="1"/>
  <c r="I1276" i="1"/>
  <c r="H1276" i="1"/>
  <c r="G1276" i="1"/>
  <c r="F1276" i="1"/>
  <c r="E1276" i="1"/>
  <c r="D1276" i="1"/>
  <c r="C1276" i="1"/>
  <c r="B1276" i="1"/>
  <c r="A1276" i="1"/>
  <c r="P1275" i="1"/>
  <c r="O1275" i="1"/>
  <c r="N1275" i="1"/>
  <c r="M1275" i="1"/>
  <c r="L1275" i="1"/>
  <c r="K1275" i="1"/>
  <c r="J1275" i="1"/>
  <c r="I1275" i="1"/>
  <c r="H1275" i="1"/>
  <c r="G1275" i="1"/>
  <c r="F1275" i="1"/>
  <c r="E1275" i="1"/>
  <c r="D1275" i="1"/>
  <c r="C1275" i="1"/>
  <c r="B1275" i="1"/>
  <c r="A1275" i="1"/>
  <c r="P1274" i="1"/>
  <c r="O1274" i="1"/>
  <c r="N1274" i="1"/>
  <c r="M1274" i="1"/>
  <c r="L1274" i="1"/>
  <c r="K1274" i="1"/>
  <c r="J1274" i="1"/>
  <c r="I1274" i="1"/>
  <c r="H1274" i="1"/>
  <c r="G1274" i="1"/>
  <c r="F1274" i="1"/>
  <c r="E1274" i="1"/>
  <c r="D1274" i="1"/>
  <c r="C1274" i="1"/>
  <c r="B1274" i="1"/>
  <c r="A1274" i="1"/>
  <c r="P1273" i="1"/>
  <c r="O1273" i="1"/>
  <c r="N1273" i="1"/>
  <c r="M1273" i="1"/>
  <c r="L1273" i="1"/>
  <c r="K1273" i="1"/>
  <c r="J1273" i="1"/>
  <c r="I1273" i="1"/>
  <c r="H1273" i="1"/>
  <c r="G1273" i="1"/>
  <c r="F1273" i="1"/>
  <c r="E1273" i="1"/>
  <c r="D1273" i="1"/>
  <c r="C1273" i="1"/>
  <c r="B1273" i="1"/>
  <c r="A1273" i="1"/>
  <c r="P1272" i="1"/>
  <c r="O1272" i="1"/>
  <c r="N1272" i="1"/>
  <c r="M1272" i="1"/>
  <c r="L1272" i="1"/>
  <c r="K1272" i="1"/>
  <c r="J1272" i="1"/>
  <c r="I1272" i="1"/>
  <c r="H1272" i="1"/>
  <c r="G1272" i="1"/>
  <c r="F1272" i="1"/>
  <c r="E1272" i="1"/>
  <c r="D1272" i="1"/>
  <c r="C1272" i="1"/>
  <c r="B1272" i="1"/>
  <c r="A1272" i="1"/>
  <c r="P1271" i="1"/>
  <c r="O1271" i="1"/>
  <c r="N1271" i="1"/>
  <c r="M1271" i="1"/>
  <c r="L1271" i="1"/>
  <c r="K1271" i="1"/>
  <c r="J1271" i="1"/>
  <c r="I1271" i="1"/>
  <c r="H1271" i="1"/>
  <c r="G1271" i="1"/>
  <c r="F1271" i="1"/>
  <c r="E1271" i="1"/>
  <c r="D1271" i="1"/>
  <c r="C1271" i="1"/>
  <c r="B1271" i="1"/>
  <c r="A1271" i="1"/>
  <c r="P1270" i="1"/>
  <c r="O1270" i="1"/>
  <c r="N1270" i="1"/>
  <c r="M1270" i="1"/>
  <c r="L1270" i="1"/>
  <c r="K1270" i="1"/>
  <c r="J1270" i="1"/>
  <c r="I1270" i="1"/>
  <c r="H1270" i="1"/>
  <c r="G1270" i="1"/>
  <c r="F1270" i="1"/>
  <c r="E1270" i="1"/>
  <c r="D1270" i="1"/>
  <c r="C1270" i="1"/>
  <c r="B1270" i="1"/>
  <c r="A1270" i="1"/>
  <c r="P1269" i="1"/>
  <c r="O1269" i="1"/>
  <c r="N1269" i="1"/>
  <c r="M1269" i="1"/>
  <c r="L1269" i="1"/>
  <c r="K1269" i="1"/>
  <c r="J1269" i="1"/>
  <c r="I1269" i="1"/>
  <c r="H1269" i="1"/>
  <c r="G1269" i="1"/>
  <c r="F1269" i="1"/>
  <c r="E1269" i="1"/>
  <c r="D1269" i="1"/>
  <c r="C1269" i="1"/>
  <c r="B1269" i="1"/>
  <c r="A1269" i="1"/>
  <c r="P1268" i="1"/>
  <c r="O1268" i="1"/>
  <c r="N1268" i="1"/>
  <c r="M1268" i="1"/>
  <c r="L1268" i="1"/>
  <c r="K1268" i="1"/>
  <c r="J1268" i="1"/>
  <c r="I1268" i="1"/>
  <c r="H1268" i="1"/>
  <c r="G1268" i="1"/>
  <c r="F1268" i="1"/>
  <c r="E1268" i="1"/>
  <c r="D1268" i="1"/>
  <c r="C1268" i="1"/>
  <c r="B1268" i="1"/>
  <c r="A1268" i="1"/>
  <c r="P1267" i="1"/>
  <c r="O1267" i="1"/>
  <c r="N1267" i="1"/>
  <c r="M1267" i="1"/>
  <c r="L1267" i="1"/>
  <c r="K1267" i="1"/>
  <c r="J1267" i="1"/>
  <c r="I1267" i="1"/>
  <c r="H1267" i="1"/>
  <c r="G1267" i="1"/>
  <c r="F1267" i="1"/>
  <c r="E1267" i="1"/>
  <c r="D1267" i="1"/>
  <c r="C1267" i="1"/>
  <c r="B1267" i="1"/>
  <c r="A1267" i="1"/>
  <c r="P1266" i="1"/>
  <c r="O1266" i="1"/>
  <c r="N1266" i="1"/>
  <c r="M1266" i="1"/>
  <c r="L1266" i="1"/>
  <c r="K1266" i="1"/>
  <c r="J1266" i="1"/>
  <c r="I1266" i="1"/>
  <c r="H1266" i="1"/>
  <c r="G1266" i="1"/>
  <c r="F1266" i="1"/>
  <c r="E1266" i="1"/>
  <c r="D1266" i="1"/>
  <c r="C1266" i="1"/>
  <c r="B1266" i="1"/>
  <c r="A1266" i="1"/>
  <c r="P1265" i="1"/>
  <c r="O1265" i="1"/>
  <c r="N1265" i="1"/>
  <c r="M1265" i="1"/>
  <c r="L1265" i="1"/>
  <c r="K1265" i="1"/>
  <c r="J1265" i="1"/>
  <c r="I1265" i="1"/>
  <c r="H1265" i="1"/>
  <c r="G1265" i="1"/>
  <c r="F1265" i="1"/>
  <c r="E1265" i="1"/>
  <c r="D1265" i="1"/>
  <c r="C1265" i="1"/>
  <c r="B1265" i="1"/>
  <c r="A1265" i="1"/>
  <c r="P1264" i="1"/>
  <c r="O1264" i="1"/>
  <c r="N1264" i="1"/>
  <c r="M1264" i="1"/>
  <c r="L1264" i="1"/>
  <c r="K1264" i="1"/>
  <c r="J1264" i="1"/>
  <c r="I1264" i="1"/>
  <c r="H1264" i="1"/>
  <c r="G1264" i="1"/>
  <c r="F1264" i="1"/>
  <c r="E1264" i="1"/>
  <c r="D1264" i="1"/>
  <c r="C1264" i="1"/>
  <c r="B1264" i="1"/>
  <c r="A1264" i="1"/>
  <c r="P1263" i="1"/>
  <c r="O1263" i="1"/>
  <c r="N1263" i="1"/>
  <c r="M1263" i="1"/>
  <c r="L1263" i="1"/>
  <c r="K1263" i="1"/>
  <c r="J1263" i="1"/>
  <c r="I1263" i="1"/>
  <c r="H1263" i="1"/>
  <c r="G1263" i="1"/>
  <c r="F1263" i="1"/>
  <c r="E1263" i="1"/>
  <c r="D1263" i="1"/>
  <c r="C1263" i="1"/>
  <c r="B1263" i="1"/>
  <c r="A1263" i="1"/>
  <c r="P1262" i="1"/>
  <c r="O1262" i="1"/>
  <c r="N1262" i="1"/>
  <c r="M1262" i="1"/>
  <c r="L1262" i="1"/>
  <c r="K1262" i="1"/>
  <c r="J1262" i="1"/>
  <c r="I1262" i="1"/>
  <c r="H1262" i="1"/>
  <c r="G1262" i="1"/>
  <c r="F1262" i="1"/>
  <c r="E1262" i="1"/>
  <c r="D1262" i="1"/>
  <c r="C1262" i="1"/>
  <c r="B1262" i="1"/>
  <c r="A1262" i="1"/>
  <c r="P1261" i="1"/>
  <c r="O1261" i="1"/>
  <c r="N1261" i="1"/>
  <c r="M1261" i="1"/>
  <c r="L1261" i="1"/>
  <c r="K1261" i="1"/>
  <c r="J1261" i="1"/>
  <c r="I1261" i="1"/>
  <c r="H1261" i="1"/>
  <c r="G1261" i="1"/>
  <c r="F1261" i="1"/>
  <c r="E1261" i="1"/>
  <c r="D1261" i="1"/>
  <c r="C1261" i="1"/>
  <c r="B1261" i="1"/>
  <c r="A1261" i="1"/>
  <c r="P1260" i="1"/>
  <c r="O1260" i="1"/>
  <c r="N1260" i="1"/>
  <c r="M1260" i="1"/>
  <c r="L1260" i="1"/>
  <c r="K1260" i="1"/>
  <c r="J1260" i="1"/>
  <c r="I1260" i="1"/>
  <c r="H1260" i="1"/>
  <c r="G1260" i="1"/>
  <c r="F1260" i="1"/>
  <c r="E1260" i="1"/>
  <c r="D1260" i="1"/>
  <c r="C1260" i="1"/>
  <c r="B1260" i="1"/>
  <c r="A1260" i="1"/>
  <c r="P1259" i="1"/>
  <c r="O1259" i="1"/>
  <c r="N1259" i="1"/>
  <c r="M1259" i="1"/>
  <c r="L1259" i="1"/>
  <c r="K1259" i="1"/>
  <c r="J1259" i="1"/>
  <c r="I1259" i="1"/>
  <c r="H1259" i="1"/>
  <c r="G1259" i="1"/>
  <c r="F1259" i="1"/>
  <c r="E1259" i="1"/>
  <c r="D1259" i="1"/>
  <c r="C1259" i="1"/>
  <c r="B1259" i="1"/>
  <c r="A1259" i="1"/>
  <c r="P1258" i="1"/>
  <c r="O1258" i="1"/>
  <c r="N1258" i="1"/>
  <c r="M1258" i="1"/>
  <c r="L1258" i="1"/>
  <c r="K1258" i="1"/>
  <c r="J1258" i="1"/>
  <c r="I1258" i="1"/>
  <c r="H1258" i="1"/>
  <c r="G1258" i="1"/>
  <c r="F1258" i="1"/>
  <c r="E1258" i="1"/>
  <c r="D1258" i="1"/>
  <c r="C1258" i="1"/>
  <c r="B1258" i="1"/>
  <c r="A1258" i="1"/>
  <c r="P1257" i="1"/>
  <c r="O1257" i="1"/>
  <c r="N1257" i="1"/>
  <c r="M1257" i="1"/>
  <c r="L1257" i="1"/>
  <c r="K1257" i="1"/>
  <c r="J1257" i="1"/>
  <c r="I1257" i="1"/>
  <c r="H1257" i="1"/>
  <c r="G1257" i="1"/>
  <c r="F1257" i="1"/>
  <c r="E1257" i="1"/>
  <c r="D1257" i="1"/>
  <c r="C1257" i="1"/>
  <c r="B1257" i="1"/>
  <c r="A1257" i="1"/>
  <c r="P1256" i="1"/>
  <c r="O1256" i="1"/>
  <c r="N1256" i="1"/>
  <c r="M1256" i="1"/>
  <c r="L1256" i="1"/>
  <c r="K1256" i="1"/>
  <c r="J1256" i="1"/>
  <c r="I1256" i="1"/>
  <c r="H1256" i="1"/>
  <c r="G1256" i="1"/>
  <c r="F1256" i="1"/>
  <c r="E1256" i="1"/>
  <c r="D1256" i="1"/>
  <c r="C1256" i="1"/>
  <c r="B1256" i="1"/>
  <c r="A1256" i="1"/>
  <c r="P1255" i="1"/>
  <c r="O1255" i="1"/>
  <c r="N1255" i="1"/>
  <c r="M1255" i="1"/>
  <c r="L1255" i="1"/>
  <c r="K1255" i="1"/>
  <c r="J1255" i="1"/>
  <c r="I1255" i="1"/>
  <c r="H1255" i="1"/>
  <c r="G1255" i="1"/>
  <c r="F1255" i="1"/>
  <c r="E1255" i="1"/>
  <c r="D1255" i="1"/>
  <c r="C1255" i="1"/>
  <c r="B1255" i="1"/>
  <c r="A1255" i="1"/>
  <c r="P1254" i="1"/>
  <c r="O1254" i="1"/>
  <c r="N1254" i="1"/>
  <c r="M1254" i="1"/>
  <c r="L1254" i="1"/>
  <c r="K1254" i="1"/>
  <c r="J1254" i="1"/>
  <c r="I1254" i="1"/>
  <c r="H1254" i="1"/>
  <c r="G1254" i="1"/>
  <c r="F1254" i="1"/>
  <c r="E1254" i="1"/>
  <c r="D1254" i="1"/>
  <c r="C1254" i="1"/>
  <c r="B1254" i="1"/>
  <c r="A1254" i="1"/>
  <c r="P1253" i="1"/>
  <c r="O1253" i="1"/>
  <c r="N1253" i="1"/>
  <c r="M1253" i="1"/>
  <c r="L1253" i="1"/>
  <c r="K1253" i="1"/>
  <c r="J1253" i="1"/>
  <c r="I1253" i="1"/>
  <c r="H1253" i="1"/>
  <c r="G1253" i="1"/>
  <c r="F1253" i="1"/>
  <c r="E1253" i="1"/>
  <c r="D1253" i="1"/>
  <c r="C1253" i="1"/>
  <c r="B1253" i="1"/>
  <c r="A1253" i="1"/>
  <c r="P1252" i="1"/>
  <c r="O1252" i="1"/>
  <c r="N1252" i="1"/>
  <c r="M1252" i="1"/>
  <c r="L1252" i="1"/>
  <c r="K1252" i="1"/>
  <c r="J1252" i="1"/>
  <c r="I1252" i="1"/>
  <c r="H1252" i="1"/>
  <c r="G1252" i="1"/>
  <c r="F1252" i="1"/>
  <c r="E1252" i="1"/>
  <c r="D1252" i="1"/>
  <c r="C1252" i="1"/>
  <c r="B1252" i="1"/>
  <c r="A1252" i="1"/>
  <c r="P1251" i="1"/>
  <c r="O1251" i="1"/>
  <c r="N1251" i="1"/>
  <c r="M1251" i="1"/>
  <c r="L1251" i="1"/>
  <c r="K1251" i="1"/>
  <c r="J1251" i="1"/>
  <c r="I1251" i="1"/>
  <c r="H1251" i="1"/>
  <c r="G1251" i="1"/>
  <c r="F1251" i="1"/>
  <c r="E1251" i="1"/>
  <c r="D1251" i="1"/>
  <c r="C1251" i="1"/>
  <c r="B1251" i="1"/>
  <c r="A1251" i="1"/>
  <c r="P1250" i="1"/>
  <c r="O1250" i="1"/>
  <c r="N1250" i="1"/>
  <c r="M1250" i="1"/>
  <c r="L1250" i="1"/>
  <c r="K1250" i="1"/>
  <c r="J1250" i="1"/>
  <c r="I1250" i="1"/>
  <c r="H1250" i="1"/>
  <c r="G1250" i="1"/>
  <c r="F1250" i="1"/>
  <c r="E1250" i="1"/>
  <c r="D1250" i="1"/>
  <c r="C1250" i="1"/>
  <c r="B1250" i="1"/>
  <c r="A1250" i="1"/>
  <c r="P1249" i="1"/>
  <c r="O1249" i="1"/>
  <c r="N1249" i="1"/>
  <c r="M1249" i="1"/>
  <c r="L1249" i="1"/>
  <c r="K1249" i="1"/>
  <c r="J1249" i="1"/>
  <c r="I1249" i="1"/>
  <c r="H1249" i="1"/>
  <c r="G1249" i="1"/>
  <c r="F1249" i="1"/>
  <c r="E1249" i="1"/>
  <c r="D1249" i="1"/>
  <c r="C1249" i="1"/>
  <c r="B1249" i="1"/>
  <c r="A1249" i="1"/>
  <c r="P1248" i="1"/>
  <c r="O1248" i="1"/>
  <c r="N1248" i="1"/>
  <c r="M1248" i="1"/>
  <c r="L1248" i="1"/>
  <c r="K1248" i="1"/>
  <c r="J1248" i="1"/>
  <c r="I1248" i="1"/>
  <c r="H1248" i="1"/>
  <c r="G1248" i="1"/>
  <c r="F1248" i="1"/>
  <c r="E1248" i="1"/>
  <c r="D1248" i="1"/>
  <c r="C1248" i="1"/>
  <c r="B1248" i="1"/>
  <c r="A1248" i="1"/>
  <c r="P1247" i="1"/>
  <c r="O1247" i="1"/>
  <c r="N1247" i="1"/>
  <c r="M1247" i="1"/>
  <c r="L1247" i="1"/>
  <c r="K1247" i="1"/>
  <c r="J1247" i="1"/>
  <c r="I1247" i="1"/>
  <c r="H1247" i="1"/>
  <c r="G1247" i="1"/>
  <c r="F1247" i="1"/>
  <c r="E1247" i="1"/>
  <c r="D1247" i="1"/>
  <c r="C1247" i="1"/>
  <c r="B1247" i="1"/>
  <c r="A1247" i="1"/>
  <c r="P1246" i="1"/>
  <c r="O1246" i="1"/>
  <c r="N1246" i="1"/>
  <c r="M1246" i="1"/>
  <c r="L1246" i="1"/>
  <c r="K1246" i="1"/>
  <c r="J1246" i="1"/>
  <c r="I1246" i="1"/>
  <c r="H1246" i="1"/>
  <c r="G1246" i="1"/>
  <c r="F1246" i="1"/>
  <c r="E1246" i="1"/>
  <c r="D1246" i="1"/>
  <c r="C1246" i="1"/>
  <c r="B1246" i="1"/>
  <c r="A1246" i="1"/>
  <c r="P1245" i="1"/>
  <c r="O1245" i="1"/>
  <c r="N1245" i="1"/>
  <c r="M1245" i="1"/>
  <c r="L1245" i="1"/>
  <c r="K1245" i="1"/>
  <c r="J1245" i="1"/>
  <c r="I1245" i="1"/>
  <c r="H1245" i="1"/>
  <c r="G1245" i="1"/>
  <c r="F1245" i="1"/>
  <c r="E1245" i="1"/>
  <c r="D1245" i="1"/>
  <c r="C1245" i="1"/>
  <c r="B1245" i="1"/>
  <c r="A1245" i="1"/>
  <c r="P1244" i="1"/>
  <c r="O1244" i="1"/>
  <c r="N1244" i="1"/>
  <c r="M1244" i="1"/>
  <c r="L1244" i="1"/>
  <c r="K1244" i="1"/>
  <c r="J1244" i="1"/>
  <c r="I1244" i="1"/>
  <c r="H1244" i="1"/>
  <c r="G1244" i="1"/>
  <c r="F1244" i="1"/>
  <c r="E1244" i="1"/>
  <c r="D1244" i="1"/>
  <c r="C1244" i="1"/>
  <c r="B1244" i="1"/>
  <c r="A1244" i="1"/>
  <c r="P1243" i="1"/>
  <c r="O1243" i="1"/>
  <c r="N1243" i="1"/>
  <c r="M1243" i="1"/>
  <c r="L1243" i="1"/>
  <c r="K1243" i="1"/>
  <c r="J1243" i="1"/>
  <c r="I1243" i="1"/>
  <c r="H1243" i="1"/>
  <c r="G1243" i="1"/>
  <c r="F1243" i="1"/>
  <c r="E1243" i="1"/>
  <c r="D1243" i="1"/>
  <c r="C1243" i="1"/>
  <c r="B1243" i="1"/>
  <c r="A1243" i="1"/>
  <c r="P1242" i="1"/>
  <c r="O1242" i="1"/>
  <c r="N1242" i="1"/>
  <c r="M1242" i="1"/>
  <c r="L1242" i="1"/>
  <c r="K1242" i="1"/>
  <c r="J1242" i="1"/>
  <c r="I1242" i="1"/>
  <c r="H1242" i="1"/>
  <c r="G1242" i="1"/>
  <c r="F1242" i="1"/>
  <c r="E1242" i="1"/>
  <c r="D1242" i="1"/>
  <c r="C1242" i="1"/>
  <c r="B1242" i="1"/>
  <c r="A1242" i="1"/>
  <c r="P1241" i="1"/>
  <c r="O1241" i="1"/>
  <c r="N1241" i="1"/>
  <c r="M1241" i="1"/>
  <c r="L1241" i="1"/>
  <c r="K1241" i="1"/>
  <c r="J1241" i="1"/>
  <c r="I1241" i="1"/>
  <c r="H1241" i="1"/>
  <c r="G1241" i="1"/>
  <c r="F1241" i="1"/>
  <c r="E1241" i="1"/>
  <c r="D1241" i="1"/>
  <c r="C1241" i="1"/>
  <c r="B1241" i="1"/>
  <c r="A1241" i="1"/>
  <c r="P1240" i="1"/>
  <c r="O1240" i="1"/>
  <c r="N1240" i="1"/>
  <c r="M1240" i="1"/>
  <c r="L1240" i="1"/>
  <c r="K1240" i="1"/>
  <c r="J1240" i="1"/>
  <c r="I1240" i="1"/>
  <c r="H1240" i="1"/>
  <c r="G1240" i="1"/>
  <c r="F1240" i="1"/>
  <c r="E1240" i="1"/>
  <c r="D1240" i="1"/>
  <c r="C1240" i="1"/>
  <c r="B1240" i="1"/>
  <c r="A1240" i="1"/>
  <c r="P1239" i="1"/>
  <c r="O1239" i="1"/>
  <c r="N1239" i="1"/>
  <c r="M1239" i="1"/>
  <c r="L1239" i="1"/>
  <c r="K1239" i="1"/>
  <c r="J1239" i="1"/>
  <c r="I1239" i="1"/>
  <c r="H1239" i="1"/>
  <c r="G1239" i="1"/>
  <c r="F1239" i="1"/>
  <c r="E1239" i="1"/>
  <c r="D1239" i="1"/>
  <c r="C1239" i="1"/>
  <c r="B1239" i="1"/>
  <c r="A1239" i="1"/>
  <c r="P1238" i="1"/>
  <c r="O1238" i="1"/>
  <c r="N1238" i="1"/>
  <c r="M1238" i="1"/>
  <c r="L1238" i="1"/>
  <c r="K1238" i="1"/>
  <c r="J1238" i="1"/>
  <c r="I1238" i="1"/>
  <c r="H1238" i="1"/>
  <c r="G1238" i="1"/>
  <c r="F1238" i="1"/>
  <c r="E1238" i="1"/>
  <c r="D1238" i="1"/>
  <c r="C1238" i="1"/>
  <c r="B1238" i="1"/>
  <c r="A1238" i="1"/>
  <c r="P1237" i="1"/>
  <c r="O1237" i="1"/>
  <c r="N1237" i="1"/>
  <c r="M1237" i="1"/>
  <c r="L1237" i="1"/>
  <c r="K1237" i="1"/>
  <c r="J1237" i="1"/>
  <c r="I1237" i="1"/>
  <c r="H1237" i="1"/>
  <c r="G1237" i="1"/>
  <c r="F1237" i="1"/>
  <c r="E1237" i="1"/>
  <c r="D1237" i="1"/>
  <c r="C1237" i="1"/>
  <c r="B1237" i="1"/>
  <c r="A1237" i="1"/>
  <c r="P1236" i="1"/>
  <c r="O1236" i="1"/>
  <c r="N1236" i="1"/>
  <c r="M1236" i="1"/>
  <c r="L1236" i="1"/>
  <c r="K1236" i="1"/>
  <c r="J1236" i="1"/>
  <c r="I1236" i="1"/>
  <c r="H1236" i="1"/>
  <c r="G1236" i="1"/>
  <c r="F1236" i="1"/>
  <c r="E1236" i="1"/>
  <c r="D1236" i="1"/>
  <c r="C1236" i="1"/>
  <c r="B1236" i="1"/>
  <c r="A1236" i="1"/>
  <c r="P1235" i="1"/>
  <c r="O1235" i="1"/>
  <c r="N1235" i="1"/>
  <c r="M1235" i="1"/>
  <c r="L1235" i="1"/>
  <c r="K1235" i="1"/>
  <c r="J1235" i="1"/>
  <c r="I1235" i="1"/>
  <c r="H1235" i="1"/>
  <c r="G1235" i="1"/>
  <c r="F1235" i="1"/>
  <c r="E1235" i="1"/>
  <c r="D1235" i="1"/>
  <c r="C1235" i="1"/>
  <c r="B1235" i="1"/>
  <c r="A1235" i="1"/>
  <c r="P1234" i="1"/>
  <c r="O1234" i="1"/>
  <c r="N1234" i="1"/>
  <c r="M1234" i="1"/>
  <c r="L1234" i="1"/>
  <c r="K1234" i="1"/>
  <c r="J1234" i="1"/>
  <c r="I1234" i="1"/>
  <c r="H1234" i="1"/>
  <c r="G1234" i="1"/>
  <c r="F1234" i="1"/>
  <c r="E1234" i="1"/>
  <c r="D1234" i="1"/>
  <c r="C1234" i="1"/>
  <c r="B1234" i="1"/>
  <c r="A1234" i="1"/>
  <c r="P1233" i="1"/>
  <c r="O1233" i="1"/>
  <c r="N1233" i="1"/>
  <c r="M1233" i="1"/>
  <c r="L1233" i="1"/>
  <c r="K1233" i="1"/>
  <c r="J1233" i="1"/>
  <c r="I1233" i="1"/>
  <c r="H1233" i="1"/>
  <c r="G1233" i="1"/>
  <c r="F1233" i="1"/>
  <c r="E1233" i="1"/>
  <c r="D1233" i="1"/>
  <c r="C1233" i="1"/>
  <c r="B1233" i="1"/>
  <c r="A1233" i="1"/>
  <c r="P1232" i="1"/>
  <c r="O1232" i="1"/>
  <c r="N1232" i="1"/>
  <c r="M1232" i="1"/>
  <c r="L1232" i="1"/>
  <c r="K1232" i="1"/>
  <c r="J1232" i="1"/>
  <c r="I1232" i="1"/>
  <c r="H1232" i="1"/>
  <c r="G1232" i="1"/>
  <c r="F1232" i="1"/>
  <c r="E1232" i="1"/>
  <c r="D1232" i="1"/>
  <c r="C1232" i="1"/>
  <c r="B1232" i="1"/>
  <c r="A1232" i="1"/>
  <c r="P1231" i="1"/>
  <c r="O1231" i="1"/>
  <c r="N1231" i="1"/>
  <c r="M1231" i="1"/>
  <c r="L1231" i="1"/>
  <c r="K1231" i="1"/>
  <c r="J1231" i="1"/>
  <c r="I1231" i="1"/>
  <c r="H1231" i="1"/>
  <c r="G1231" i="1"/>
  <c r="F1231" i="1"/>
  <c r="E1231" i="1"/>
  <c r="D1231" i="1"/>
  <c r="C1231" i="1"/>
  <c r="B1231" i="1"/>
  <c r="A1231" i="1"/>
  <c r="P1230" i="1"/>
  <c r="O1230" i="1"/>
  <c r="N1230" i="1"/>
  <c r="M1230" i="1"/>
  <c r="L1230" i="1"/>
  <c r="K1230" i="1"/>
  <c r="J1230" i="1"/>
  <c r="I1230" i="1"/>
  <c r="H1230" i="1"/>
  <c r="G1230" i="1"/>
  <c r="F1230" i="1"/>
  <c r="E1230" i="1"/>
  <c r="D1230" i="1"/>
  <c r="C1230" i="1"/>
  <c r="B1230" i="1"/>
  <c r="A1230" i="1"/>
  <c r="P1229" i="1"/>
  <c r="O1229" i="1"/>
  <c r="N1229" i="1"/>
  <c r="M1229" i="1"/>
  <c r="L1229" i="1"/>
  <c r="K1229" i="1"/>
  <c r="J1229" i="1"/>
  <c r="I1229" i="1"/>
  <c r="H1229" i="1"/>
  <c r="G1229" i="1"/>
  <c r="F1229" i="1"/>
  <c r="E1229" i="1"/>
  <c r="D1229" i="1"/>
  <c r="C1229" i="1"/>
  <c r="B1229" i="1"/>
  <c r="A1229" i="1"/>
  <c r="P1228" i="1"/>
  <c r="O1228" i="1"/>
  <c r="N1228" i="1"/>
  <c r="M1228" i="1"/>
  <c r="L1228" i="1"/>
  <c r="K1228" i="1"/>
  <c r="J1228" i="1"/>
  <c r="I1228" i="1"/>
  <c r="H1228" i="1"/>
  <c r="G1228" i="1"/>
  <c r="F1228" i="1"/>
  <c r="E1228" i="1"/>
  <c r="D1228" i="1"/>
  <c r="C1228" i="1"/>
  <c r="B1228" i="1"/>
  <c r="A1228" i="1"/>
  <c r="P1227" i="1"/>
  <c r="O1227" i="1"/>
  <c r="N1227" i="1"/>
  <c r="M1227" i="1"/>
  <c r="L1227" i="1"/>
  <c r="K1227" i="1"/>
  <c r="J1227" i="1"/>
  <c r="I1227" i="1"/>
  <c r="H1227" i="1"/>
  <c r="G1227" i="1"/>
  <c r="F1227" i="1"/>
  <c r="E1227" i="1"/>
  <c r="D1227" i="1"/>
  <c r="C1227" i="1"/>
  <c r="B1227" i="1"/>
  <c r="A1227" i="1"/>
  <c r="P1226" i="1"/>
  <c r="O1226" i="1"/>
  <c r="N1226" i="1"/>
  <c r="M1226" i="1"/>
  <c r="L1226" i="1"/>
  <c r="K1226" i="1"/>
  <c r="J1226" i="1"/>
  <c r="I1226" i="1"/>
  <c r="H1226" i="1"/>
  <c r="G1226" i="1"/>
  <c r="F1226" i="1"/>
  <c r="E1226" i="1"/>
  <c r="D1226" i="1"/>
  <c r="C1226" i="1"/>
  <c r="B1226" i="1"/>
  <c r="A1226" i="1"/>
  <c r="P1225" i="1"/>
  <c r="O1225" i="1"/>
  <c r="N1225" i="1"/>
  <c r="M1225" i="1"/>
  <c r="L1225" i="1"/>
  <c r="K1225" i="1"/>
  <c r="J1225" i="1"/>
  <c r="I1225" i="1"/>
  <c r="H1225" i="1"/>
  <c r="G1225" i="1"/>
  <c r="F1225" i="1"/>
  <c r="E1225" i="1"/>
  <c r="D1225" i="1"/>
  <c r="C1225" i="1"/>
  <c r="B1225" i="1"/>
  <c r="A1225" i="1"/>
  <c r="P1224" i="1"/>
  <c r="O1224" i="1"/>
  <c r="N1224" i="1"/>
  <c r="M1224" i="1"/>
  <c r="L1224" i="1"/>
  <c r="K1224" i="1"/>
  <c r="J1224" i="1"/>
  <c r="I1224" i="1"/>
  <c r="H1224" i="1"/>
  <c r="G1224" i="1"/>
  <c r="F1224" i="1"/>
  <c r="E1224" i="1"/>
  <c r="D1224" i="1"/>
  <c r="C1224" i="1"/>
  <c r="B1224" i="1"/>
  <c r="A1224" i="1"/>
  <c r="P1223" i="1"/>
  <c r="O1223" i="1"/>
  <c r="N1223" i="1"/>
  <c r="M1223" i="1"/>
  <c r="L1223" i="1"/>
  <c r="K1223" i="1"/>
  <c r="J1223" i="1"/>
  <c r="I1223" i="1"/>
  <c r="H1223" i="1"/>
  <c r="G1223" i="1"/>
  <c r="F1223" i="1"/>
  <c r="E1223" i="1"/>
  <c r="D1223" i="1"/>
  <c r="C1223" i="1"/>
  <c r="B1223" i="1"/>
  <c r="A1223" i="1"/>
  <c r="P1222" i="1"/>
  <c r="O1222" i="1"/>
  <c r="N1222" i="1"/>
  <c r="M1222" i="1"/>
  <c r="L1222" i="1"/>
  <c r="K1222" i="1"/>
  <c r="J1222" i="1"/>
  <c r="I1222" i="1"/>
  <c r="H1222" i="1"/>
  <c r="G1222" i="1"/>
  <c r="F1222" i="1"/>
  <c r="E1222" i="1"/>
  <c r="D1222" i="1"/>
  <c r="C1222" i="1"/>
  <c r="B1222" i="1"/>
  <c r="A1222" i="1"/>
  <c r="P1221" i="1"/>
  <c r="O1221" i="1"/>
  <c r="N1221" i="1"/>
  <c r="M1221" i="1"/>
  <c r="L1221" i="1"/>
  <c r="K1221" i="1"/>
  <c r="J1221" i="1"/>
  <c r="I1221" i="1"/>
  <c r="H1221" i="1"/>
  <c r="G1221" i="1"/>
  <c r="F1221" i="1"/>
  <c r="E1221" i="1"/>
  <c r="D1221" i="1"/>
  <c r="C1221" i="1"/>
  <c r="B1221" i="1"/>
  <c r="A1221" i="1"/>
  <c r="P1220" i="1"/>
  <c r="O1220" i="1"/>
  <c r="N1220" i="1"/>
  <c r="M1220" i="1"/>
  <c r="L1220" i="1"/>
  <c r="K1220" i="1"/>
  <c r="J1220" i="1"/>
  <c r="I1220" i="1"/>
  <c r="H1220" i="1"/>
  <c r="G1220" i="1"/>
  <c r="F1220" i="1"/>
  <c r="E1220" i="1"/>
  <c r="D1220" i="1"/>
  <c r="C1220" i="1"/>
  <c r="B1220" i="1"/>
  <c r="A1220" i="1"/>
  <c r="P1219" i="1"/>
  <c r="O1219" i="1"/>
  <c r="N1219" i="1"/>
  <c r="M1219" i="1"/>
  <c r="L1219" i="1"/>
  <c r="K1219" i="1"/>
  <c r="J1219" i="1"/>
  <c r="I1219" i="1"/>
  <c r="H1219" i="1"/>
  <c r="G1219" i="1"/>
  <c r="F1219" i="1"/>
  <c r="E1219" i="1"/>
  <c r="D1219" i="1"/>
  <c r="C1219" i="1"/>
  <c r="B1219" i="1"/>
  <c r="A1219" i="1"/>
  <c r="P1218" i="1"/>
  <c r="O1218" i="1"/>
  <c r="N1218" i="1"/>
  <c r="M1218" i="1"/>
  <c r="L1218" i="1"/>
  <c r="K1218" i="1"/>
  <c r="J1218" i="1"/>
  <c r="I1218" i="1"/>
  <c r="H1218" i="1"/>
  <c r="G1218" i="1"/>
  <c r="F1218" i="1"/>
  <c r="E1218" i="1"/>
  <c r="D1218" i="1"/>
  <c r="C1218" i="1"/>
  <c r="B1218" i="1"/>
  <c r="A1218" i="1"/>
  <c r="P1217" i="1"/>
  <c r="O1217" i="1"/>
  <c r="N1217" i="1"/>
  <c r="M1217" i="1"/>
  <c r="L1217" i="1"/>
  <c r="K1217" i="1"/>
  <c r="J1217" i="1"/>
  <c r="I1217" i="1"/>
  <c r="H1217" i="1"/>
  <c r="G1217" i="1"/>
  <c r="F1217" i="1"/>
  <c r="E1217" i="1"/>
  <c r="D1217" i="1"/>
  <c r="C1217" i="1"/>
  <c r="B1217" i="1"/>
  <c r="A1217" i="1"/>
  <c r="P1216" i="1"/>
  <c r="O1216" i="1"/>
  <c r="N1216" i="1"/>
  <c r="M1216" i="1"/>
  <c r="L1216" i="1"/>
  <c r="K1216" i="1"/>
  <c r="J1216" i="1"/>
  <c r="I1216" i="1"/>
  <c r="H1216" i="1"/>
  <c r="G1216" i="1"/>
  <c r="F1216" i="1"/>
  <c r="E1216" i="1"/>
  <c r="D1216" i="1"/>
  <c r="C1216" i="1"/>
  <c r="B1216" i="1"/>
  <c r="A1216" i="1"/>
  <c r="P1215" i="1"/>
  <c r="O1215" i="1"/>
  <c r="N1215" i="1"/>
  <c r="M1215" i="1"/>
  <c r="L1215" i="1"/>
  <c r="K1215" i="1"/>
  <c r="J1215" i="1"/>
  <c r="I1215" i="1"/>
  <c r="H1215" i="1"/>
  <c r="G1215" i="1"/>
  <c r="F1215" i="1"/>
  <c r="E1215" i="1"/>
  <c r="D1215" i="1"/>
  <c r="C1215" i="1"/>
  <c r="B1215" i="1"/>
  <c r="A1215" i="1"/>
  <c r="P1214" i="1"/>
  <c r="O1214" i="1"/>
  <c r="N1214" i="1"/>
  <c r="M1214" i="1"/>
  <c r="L1214" i="1"/>
  <c r="K1214" i="1"/>
  <c r="J1214" i="1"/>
  <c r="I1214" i="1"/>
  <c r="H1214" i="1"/>
  <c r="G1214" i="1"/>
  <c r="F1214" i="1"/>
  <c r="E1214" i="1"/>
  <c r="D1214" i="1"/>
  <c r="C1214" i="1"/>
  <c r="B1214" i="1"/>
  <c r="A1214" i="1"/>
  <c r="P1213" i="1"/>
  <c r="O1213" i="1"/>
  <c r="N1213" i="1"/>
  <c r="M1213" i="1"/>
  <c r="L1213" i="1"/>
  <c r="K1213" i="1"/>
  <c r="J1213" i="1"/>
  <c r="I1213" i="1"/>
  <c r="H1213" i="1"/>
  <c r="G1213" i="1"/>
  <c r="F1213" i="1"/>
  <c r="E1213" i="1"/>
  <c r="D1213" i="1"/>
  <c r="C1213" i="1"/>
  <c r="B1213" i="1"/>
  <c r="A1213" i="1"/>
  <c r="P1212" i="1"/>
  <c r="O1212" i="1"/>
  <c r="N1212" i="1"/>
  <c r="M1212" i="1"/>
  <c r="L1212" i="1"/>
  <c r="K1212" i="1"/>
  <c r="J1212" i="1"/>
  <c r="I1212" i="1"/>
  <c r="H1212" i="1"/>
  <c r="G1212" i="1"/>
  <c r="F1212" i="1"/>
  <c r="E1212" i="1"/>
  <c r="D1212" i="1"/>
  <c r="C1212" i="1"/>
  <c r="B1212" i="1"/>
  <c r="A1212" i="1"/>
  <c r="P1211" i="1"/>
  <c r="O1211" i="1"/>
  <c r="N1211" i="1"/>
  <c r="M1211" i="1"/>
  <c r="L1211" i="1"/>
  <c r="K1211" i="1"/>
  <c r="J1211" i="1"/>
  <c r="I1211" i="1"/>
  <c r="H1211" i="1"/>
  <c r="G1211" i="1"/>
  <c r="F1211" i="1"/>
  <c r="E1211" i="1"/>
  <c r="D1211" i="1"/>
  <c r="C1211" i="1"/>
  <c r="B1211" i="1"/>
  <c r="A1211" i="1"/>
  <c r="P1210" i="1"/>
  <c r="O1210" i="1"/>
  <c r="N1210" i="1"/>
  <c r="M1210" i="1"/>
  <c r="L1210" i="1"/>
  <c r="K1210" i="1"/>
  <c r="J1210" i="1"/>
  <c r="I1210" i="1"/>
  <c r="H1210" i="1"/>
  <c r="G1210" i="1"/>
  <c r="F1210" i="1"/>
  <c r="E1210" i="1"/>
  <c r="D1210" i="1"/>
  <c r="C1210" i="1"/>
  <c r="B1210" i="1"/>
  <c r="A1210" i="1"/>
  <c r="P1209" i="1"/>
  <c r="O1209" i="1"/>
  <c r="N1209" i="1"/>
  <c r="M1209" i="1"/>
  <c r="L1209" i="1"/>
  <c r="K1209" i="1"/>
  <c r="J1209" i="1"/>
  <c r="I1209" i="1"/>
  <c r="H1209" i="1"/>
  <c r="G1209" i="1"/>
  <c r="F1209" i="1"/>
  <c r="E1209" i="1"/>
  <c r="D1209" i="1"/>
  <c r="C1209" i="1"/>
  <c r="B1209" i="1"/>
  <c r="A1209" i="1"/>
  <c r="P1208" i="1"/>
  <c r="O1208" i="1"/>
  <c r="N1208" i="1"/>
  <c r="M1208" i="1"/>
  <c r="L1208" i="1"/>
  <c r="K1208" i="1"/>
  <c r="J1208" i="1"/>
  <c r="I1208" i="1"/>
  <c r="H1208" i="1"/>
  <c r="G1208" i="1"/>
  <c r="F1208" i="1"/>
  <c r="E1208" i="1"/>
  <c r="D1208" i="1"/>
  <c r="C1208" i="1"/>
  <c r="B1208" i="1"/>
  <c r="A1208" i="1"/>
  <c r="P1207" i="1"/>
  <c r="O1207" i="1"/>
  <c r="N1207" i="1"/>
  <c r="M1207" i="1"/>
  <c r="L1207" i="1"/>
  <c r="K1207" i="1"/>
  <c r="J1207" i="1"/>
  <c r="I1207" i="1"/>
  <c r="H1207" i="1"/>
  <c r="G1207" i="1"/>
  <c r="F1207" i="1"/>
  <c r="E1207" i="1"/>
  <c r="D1207" i="1"/>
  <c r="C1207" i="1"/>
  <c r="B1207" i="1"/>
  <c r="A1207" i="1"/>
  <c r="P1206" i="1"/>
  <c r="O1206" i="1"/>
  <c r="N1206" i="1"/>
  <c r="M1206" i="1"/>
  <c r="L1206" i="1"/>
  <c r="K1206" i="1"/>
  <c r="J1206" i="1"/>
  <c r="I1206" i="1"/>
  <c r="H1206" i="1"/>
  <c r="G1206" i="1"/>
  <c r="F1206" i="1"/>
  <c r="E1206" i="1"/>
  <c r="D1206" i="1"/>
  <c r="C1206" i="1"/>
  <c r="B1206" i="1"/>
  <c r="A1206" i="1"/>
  <c r="P1205" i="1"/>
  <c r="O1205" i="1"/>
  <c r="N1205" i="1"/>
  <c r="M1205" i="1"/>
  <c r="L1205" i="1"/>
  <c r="K1205" i="1"/>
  <c r="J1205" i="1"/>
  <c r="I1205" i="1"/>
  <c r="H1205" i="1"/>
  <c r="G1205" i="1"/>
  <c r="F1205" i="1"/>
  <c r="E1205" i="1"/>
  <c r="D1205" i="1"/>
  <c r="C1205" i="1"/>
  <c r="B1205" i="1"/>
  <c r="A1205" i="1"/>
  <c r="P1204" i="1"/>
  <c r="O1204" i="1"/>
  <c r="N1204" i="1"/>
  <c r="M1204" i="1"/>
  <c r="L1204" i="1"/>
  <c r="K1204" i="1"/>
  <c r="J1204" i="1"/>
  <c r="I1204" i="1"/>
  <c r="H1204" i="1"/>
  <c r="G1204" i="1"/>
  <c r="F1204" i="1"/>
  <c r="E1204" i="1"/>
  <c r="D1204" i="1"/>
  <c r="C1204" i="1"/>
  <c r="B1204" i="1"/>
  <c r="A1204" i="1"/>
  <c r="P1203" i="1"/>
  <c r="O1203" i="1"/>
  <c r="N1203" i="1"/>
  <c r="M1203" i="1"/>
  <c r="L1203" i="1"/>
  <c r="K1203" i="1"/>
  <c r="J1203" i="1"/>
  <c r="I1203" i="1"/>
  <c r="H1203" i="1"/>
  <c r="G1203" i="1"/>
  <c r="F1203" i="1"/>
  <c r="E1203" i="1"/>
  <c r="D1203" i="1"/>
  <c r="C1203" i="1"/>
  <c r="B1203" i="1"/>
  <c r="A1203" i="1"/>
  <c r="P1202" i="1"/>
  <c r="O1202" i="1"/>
  <c r="N1202" i="1"/>
  <c r="M1202" i="1"/>
  <c r="L1202" i="1"/>
  <c r="K1202" i="1"/>
  <c r="J1202" i="1"/>
  <c r="I1202" i="1"/>
  <c r="H1202" i="1"/>
  <c r="G1202" i="1"/>
  <c r="F1202" i="1"/>
  <c r="E1202" i="1"/>
  <c r="D1202" i="1"/>
  <c r="C1202" i="1"/>
  <c r="B1202" i="1"/>
  <c r="A1202" i="1"/>
  <c r="P1201" i="1"/>
  <c r="O1201" i="1"/>
  <c r="N1201" i="1"/>
  <c r="M1201" i="1"/>
  <c r="L1201" i="1"/>
  <c r="K1201" i="1"/>
  <c r="J1201" i="1"/>
  <c r="I1201" i="1"/>
  <c r="H1201" i="1"/>
  <c r="G1201" i="1"/>
  <c r="F1201" i="1"/>
  <c r="E1201" i="1"/>
  <c r="D1201" i="1"/>
  <c r="C1201" i="1"/>
  <c r="B1201" i="1"/>
  <c r="A1201" i="1"/>
  <c r="P1200" i="1"/>
  <c r="O1200" i="1"/>
  <c r="N1200" i="1"/>
  <c r="M1200" i="1"/>
  <c r="L1200" i="1"/>
  <c r="K1200" i="1"/>
  <c r="J1200" i="1"/>
  <c r="I1200" i="1"/>
  <c r="H1200" i="1"/>
  <c r="G1200" i="1"/>
  <c r="F1200" i="1"/>
  <c r="E1200" i="1"/>
  <c r="D1200" i="1"/>
  <c r="C1200" i="1"/>
  <c r="B1200" i="1"/>
  <c r="A1200" i="1"/>
  <c r="P1199" i="1"/>
  <c r="O1199" i="1"/>
  <c r="N1199" i="1"/>
  <c r="M1199" i="1"/>
  <c r="L1199" i="1"/>
  <c r="K1199" i="1"/>
  <c r="J1199" i="1"/>
  <c r="I1199" i="1"/>
  <c r="H1199" i="1"/>
  <c r="G1199" i="1"/>
  <c r="F1199" i="1"/>
  <c r="E1199" i="1"/>
  <c r="D1199" i="1"/>
  <c r="C1199" i="1"/>
  <c r="B1199" i="1"/>
  <c r="A1199" i="1"/>
  <c r="P1198" i="1"/>
  <c r="O1198" i="1"/>
  <c r="N1198" i="1"/>
  <c r="M1198" i="1"/>
  <c r="L1198" i="1"/>
  <c r="K1198" i="1"/>
  <c r="J1198" i="1"/>
  <c r="I1198" i="1"/>
  <c r="H1198" i="1"/>
  <c r="G1198" i="1"/>
  <c r="F1198" i="1"/>
  <c r="E1198" i="1"/>
  <c r="D1198" i="1"/>
  <c r="C1198" i="1"/>
  <c r="B1198" i="1"/>
  <c r="A1198" i="1"/>
  <c r="P1197" i="1"/>
  <c r="O1197" i="1"/>
  <c r="N1197" i="1"/>
  <c r="M1197" i="1"/>
  <c r="L1197" i="1"/>
  <c r="K1197" i="1"/>
  <c r="J1197" i="1"/>
  <c r="I1197" i="1"/>
  <c r="H1197" i="1"/>
  <c r="G1197" i="1"/>
  <c r="F1197" i="1"/>
  <c r="E1197" i="1"/>
  <c r="D1197" i="1"/>
  <c r="C1197" i="1"/>
  <c r="B1197" i="1"/>
  <c r="A1197" i="1"/>
  <c r="P1196" i="1"/>
  <c r="O1196" i="1"/>
  <c r="N1196" i="1"/>
  <c r="M1196" i="1"/>
  <c r="L1196" i="1"/>
  <c r="K1196" i="1"/>
  <c r="J1196" i="1"/>
  <c r="I1196" i="1"/>
  <c r="H1196" i="1"/>
  <c r="G1196" i="1"/>
  <c r="F1196" i="1"/>
  <c r="E1196" i="1"/>
  <c r="D1196" i="1"/>
  <c r="C1196" i="1"/>
  <c r="B1196" i="1"/>
  <c r="A1196" i="1"/>
  <c r="P1195" i="1"/>
  <c r="O1195" i="1"/>
  <c r="N1195" i="1"/>
  <c r="M1195" i="1"/>
  <c r="L1195" i="1"/>
  <c r="K1195" i="1"/>
  <c r="J1195" i="1"/>
  <c r="I1195" i="1"/>
  <c r="H1195" i="1"/>
  <c r="G1195" i="1"/>
  <c r="F1195" i="1"/>
  <c r="E1195" i="1"/>
  <c r="D1195" i="1"/>
  <c r="C1195" i="1"/>
  <c r="B1195" i="1"/>
  <c r="A1195" i="1"/>
  <c r="P1194" i="1"/>
  <c r="O1194" i="1"/>
  <c r="N1194" i="1"/>
  <c r="M1194" i="1"/>
  <c r="L1194" i="1"/>
  <c r="K1194" i="1"/>
  <c r="J1194" i="1"/>
  <c r="I1194" i="1"/>
  <c r="H1194" i="1"/>
  <c r="G1194" i="1"/>
  <c r="F1194" i="1"/>
  <c r="E1194" i="1"/>
  <c r="D1194" i="1"/>
  <c r="C1194" i="1"/>
  <c r="B1194" i="1"/>
  <c r="A1194" i="1"/>
  <c r="P1193" i="1"/>
  <c r="O1193" i="1"/>
  <c r="N1193" i="1"/>
  <c r="M1193" i="1"/>
  <c r="L1193" i="1"/>
  <c r="K1193" i="1"/>
  <c r="J1193" i="1"/>
  <c r="I1193" i="1"/>
  <c r="H1193" i="1"/>
  <c r="G1193" i="1"/>
  <c r="F1193" i="1"/>
  <c r="E1193" i="1"/>
  <c r="D1193" i="1"/>
  <c r="C1193" i="1"/>
  <c r="B1193" i="1"/>
  <c r="A1193" i="1"/>
  <c r="P1192" i="1"/>
  <c r="O1192" i="1"/>
  <c r="N1192" i="1"/>
  <c r="M1192" i="1"/>
  <c r="L1192" i="1"/>
  <c r="K1192" i="1"/>
  <c r="J1192" i="1"/>
  <c r="I1192" i="1"/>
  <c r="H1192" i="1"/>
  <c r="G1192" i="1"/>
  <c r="F1192" i="1"/>
  <c r="E1192" i="1"/>
  <c r="D1192" i="1"/>
  <c r="C1192" i="1"/>
  <c r="B1192" i="1"/>
  <c r="A1192" i="1"/>
  <c r="P1191" i="1"/>
  <c r="O1191" i="1"/>
  <c r="N1191" i="1"/>
  <c r="M1191" i="1"/>
  <c r="L1191" i="1"/>
  <c r="K1191" i="1"/>
  <c r="J1191" i="1"/>
  <c r="I1191" i="1"/>
  <c r="H1191" i="1"/>
  <c r="G1191" i="1"/>
  <c r="F1191" i="1"/>
  <c r="E1191" i="1"/>
  <c r="D1191" i="1"/>
  <c r="C1191" i="1"/>
  <c r="B1191" i="1"/>
  <c r="A1191" i="1"/>
  <c r="P1190" i="1"/>
  <c r="O1190" i="1"/>
  <c r="N1190" i="1"/>
  <c r="M1190" i="1"/>
  <c r="L1190" i="1"/>
  <c r="K1190" i="1"/>
  <c r="J1190" i="1"/>
  <c r="I1190" i="1"/>
  <c r="H1190" i="1"/>
  <c r="G1190" i="1"/>
  <c r="F1190" i="1"/>
  <c r="E1190" i="1"/>
  <c r="D1190" i="1"/>
  <c r="C1190" i="1"/>
  <c r="B1190" i="1"/>
  <c r="A1190" i="1"/>
  <c r="P1189" i="1"/>
  <c r="O1189" i="1"/>
  <c r="N1189" i="1"/>
  <c r="M1189" i="1"/>
  <c r="L1189" i="1"/>
  <c r="K1189" i="1"/>
  <c r="J1189" i="1"/>
  <c r="I1189" i="1"/>
  <c r="H1189" i="1"/>
  <c r="G1189" i="1"/>
  <c r="F1189" i="1"/>
  <c r="E1189" i="1"/>
  <c r="D1189" i="1"/>
  <c r="C1189" i="1"/>
  <c r="B1189" i="1"/>
  <c r="A1189" i="1"/>
  <c r="P1188" i="1"/>
  <c r="O1188" i="1"/>
  <c r="N1188" i="1"/>
  <c r="M1188" i="1"/>
  <c r="L1188" i="1"/>
  <c r="K1188" i="1"/>
  <c r="J1188" i="1"/>
  <c r="I1188" i="1"/>
  <c r="H1188" i="1"/>
  <c r="G1188" i="1"/>
  <c r="F1188" i="1"/>
  <c r="E1188" i="1"/>
  <c r="D1188" i="1"/>
  <c r="C1188" i="1"/>
  <c r="B1188" i="1"/>
  <c r="A1188" i="1"/>
  <c r="P1187" i="1"/>
  <c r="O1187" i="1"/>
  <c r="N1187" i="1"/>
  <c r="M1187" i="1"/>
  <c r="L1187" i="1"/>
  <c r="K1187" i="1"/>
  <c r="J1187" i="1"/>
  <c r="I1187" i="1"/>
  <c r="H1187" i="1"/>
  <c r="G1187" i="1"/>
  <c r="F1187" i="1"/>
  <c r="E1187" i="1"/>
  <c r="D1187" i="1"/>
  <c r="C1187" i="1"/>
  <c r="B1187" i="1"/>
  <c r="A1187" i="1"/>
  <c r="P1186" i="1"/>
  <c r="O1186" i="1"/>
  <c r="N1186" i="1"/>
  <c r="M1186" i="1"/>
  <c r="L1186" i="1"/>
  <c r="K1186" i="1"/>
  <c r="J1186" i="1"/>
  <c r="I1186" i="1"/>
  <c r="H1186" i="1"/>
  <c r="G1186" i="1"/>
  <c r="F1186" i="1"/>
  <c r="E1186" i="1"/>
  <c r="D1186" i="1"/>
  <c r="C1186" i="1"/>
  <c r="B1186" i="1"/>
  <c r="A1186" i="1"/>
  <c r="P1185" i="1"/>
  <c r="O1185" i="1"/>
  <c r="N1185" i="1"/>
  <c r="M1185" i="1"/>
  <c r="L1185" i="1"/>
  <c r="K1185" i="1"/>
  <c r="J1185" i="1"/>
  <c r="I1185" i="1"/>
  <c r="H1185" i="1"/>
  <c r="G1185" i="1"/>
  <c r="F1185" i="1"/>
  <c r="E1185" i="1"/>
  <c r="D1185" i="1"/>
  <c r="C1185" i="1"/>
  <c r="B1185" i="1"/>
  <c r="A1185" i="1"/>
  <c r="P1184" i="1"/>
  <c r="O1184" i="1"/>
  <c r="N1184" i="1"/>
  <c r="M1184" i="1"/>
  <c r="L1184" i="1"/>
  <c r="K1184" i="1"/>
  <c r="J1184" i="1"/>
  <c r="I1184" i="1"/>
  <c r="H1184" i="1"/>
  <c r="G1184" i="1"/>
  <c r="F1184" i="1"/>
  <c r="E1184" i="1"/>
  <c r="D1184" i="1"/>
  <c r="C1184" i="1"/>
  <c r="B1184" i="1"/>
  <c r="A1184" i="1"/>
  <c r="P1183" i="1"/>
  <c r="O1183" i="1"/>
  <c r="N1183" i="1"/>
  <c r="M1183" i="1"/>
  <c r="L1183" i="1"/>
  <c r="K1183" i="1"/>
  <c r="J1183" i="1"/>
  <c r="I1183" i="1"/>
  <c r="H1183" i="1"/>
  <c r="G1183" i="1"/>
  <c r="F1183" i="1"/>
  <c r="E1183" i="1"/>
  <c r="D1183" i="1"/>
  <c r="C1183" i="1"/>
  <c r="B1183" i="1"/>
  <c r="A1183" i="1"/>
  <c r="P1182" i="1"/>
  <c r="O1182" i="1"/>
  <c r="N1182" i="1"/>
  <c r="M1182" i="1"/>
  <c r="L1182" i="1"/>
  <c r="K1182" i="1"/>
  <c r="J1182" i="1"/>
  <c r="I1182" i="1"/>
  <c r="H1182" i="1"/>
  <c r="G1182" i="1"/>
  <c r="F1182" i="1"/>
  <c r="E1182" i="1"/>
  <c r="D1182" i="1"/>
  <c r="C1182" i="1"/>
  <c r="B1182" i="1"/>
  <c r="A1182" i="1"/>
  <c r="P1181" i="1"/>
  <c r="O1181" i="1"/>
  <c r="N1181" i="1"/>
  <c r="M1181" i="1"/>
  <c r="L1181" i="1"/>
  <c r="K1181" i="1"/>
  <c r="J1181" i="1"/>
  <c r="I1181" i="1"/>
  <c r="H1181" i="1"/>
  <c r="G1181" i="1"/>
  <c r="F1181" i="1"/>
  <c r="E1181" i="1"/>
  <c r="D1181" i="1"/>
  <c r="C1181" i="1"/>
  <c r="B1181" i="1"/>
  <c r="A1181" i="1"/>
  <c r="P1180" i="1"/>
  <c r="O1180" i="1"/>
  <c r="N1180" i="1"/>
  <c r="M1180" i="1"/>
  <c r="L1180" i="1"/>
  <c r="K1180" i="1"/>
  <c r="J1180" i="1"/>
  <c r="I1180" i="1"/>
  <c r="H1180" i="1"/>
  <c r="G1180" i="1"/>
  <c r="F1180" i="1"/>
  <c r="E1180" i="1"/>
  <c r="D1180" i="1"/>
  <c r="C1180" i="1"/>
  <c r="B1180" i="1"/>
  <c r="A1180" i="1"/>
  <c r="P1179" i="1"/>
  <c r="O1179" i="1"/>
  <c r="N1179" i="1"/>
  <c r="M1179" i="1"/>
  <c r="L1179" i="1"/>
  <c r="K1179" i="1"/>
  <c r="J1179" i="1"/>
  <c r="I1179" i="1"/>
  <c r="H1179" i="1"/>
  <c r="G1179" i="1"/>
  <c r="F1179" i="1"/>
  <c r="E1179" i="1"/>
  <c r="D1179" i="1"/>
  <c r="C1179" i="1"/>
  <c r="B1179" i="1"/>
  <c r="A1179" i="1"/>
  <c r="P1178" i="1"/>
  <c r="O1178" i="1"/>
  <c r="N1178" i="1"/>
  <c r="M1178" i="1"/>
  <c r="L1178" i="1"/>
  <c r="K1178" i="1"/>
  <c r="J1178" i="1"/>
  <c r="I1178" i="1"/>
  <c r="H1178" i="1"/>
  <c r="G1178" i="1"/>
  <c r="F1178" i="1"/>
  <c r="E1178" i="1"/>
  <c r="D1178" i="1"/>
  <c r="C1178" i="1"/>
  <c r="B1178" i="1"/>
  <c r="A1178" i="1"/>
  <c r="P1177" i="1"/>
  <c r="O1177" i="1"/>
  <c r="N1177" i="1"/>
  <c r="M1177" i="1"/>
  <c r="L1177" i="1"/>
  <c r="K1177" i="1"/>
  <c r="J1177" i="1"/>
  <c r="I1177" i="1"/>
  <c r="H1177" i="1"/>
  <c r="G1177" i="1"/>
  <c r="F1177" i="1"/>
  <c r="E1177" i="1"/>
  <c r="D1177" i="1"/>
  <c r="C1177" i="1"/>
  <c r="B1177" i="1"/>
  <c r="A1177" i="1"/>
  <c r="P1176" i="1"/>
  <c r="O1176" i="1"/>
  <c r="N1176" i="1"/>
  <c r="M1176" i="1"/>
  <c r="L1176" i="1"/>
  <c r="K1176" i="1"/>
  <c r="J1176" i="1"/>
  <c r="I1176" i="1"/>
  <c r="H1176" i="1"/>
  <c r="G1176" i="1"/>
  <c r="F1176" i="1"/>
  <c r="E1176" i="1"/>
  <c r="D1176" i="1"/>
  <c r="C1176" i="1"/>
  <c r="B1176" i="1"/>
  <c r="A1176" i="1"/>
  <c r="P1175" i="1"/>
  <c r="O1175" i="1"/>
  <c r="N1175" i="1"/>
  <c r="M1175" i="1"/>
  <c r="L1175" i="1"/>
  <c r="K1175" i="1"/>
  <c r="J1175" i="1"/>
  <c r="I1175" i="1"/>
  <c r="H1175" i="1"/>
  <c r="G1175" i="1"/>
  <c r="F1175" i="1"/>
  <c r="E1175" i="1"/>
  <c r="D1175" i="1"/>
  <c r="C1175" i="1"/>
  <c r="B1175" i="1"/>
  <c r="A1175" i="1"/>
  <c r="P1174" i="1"/>
  <c r="O1174" i="1"/>
  <c r="N1174" i="1"/>
  <c r="M1174" i="1"/>
  <c r="L1174" i="1"/>
  <c r="K1174" i="1"/>
  <c r="J1174" i="1"/>
  <c r="I1174" i="1"/>
  <c r="H1174" i="1"/>
  <c r="G1174" i="1"/>
  <c r="F1174" i="1"/>
  <c r="E1174" i="1"/>
  <c r="D1174" i="1"/>
  <c r="C1174" i="1"/>
  <c r="B1174" i="1"/>
  <c r="A1174" i="1"/>
  <c r="P1173" i="1"/>
  <c r="O1173" i="1"/>
  <c r="N1173" i="1"/>
  <c r="M1173" i="1"/>
  <c r="L1173" i="1"/>
  <c r="K1173" i="1"/>
  <c r="J1173" i="1"/>
  <c r="I1173" i="1"/>
  <c r="H1173" i="1"/>
  <c r="G1173" i="1"/>
  <c r="F1173" i="1"/>
  <c r="E1173" i="1"/>
  <c r="D1173" i="1"/>
  <c r="C1173" i="1"/>
  <c r="B1173" i="1"/>
  <c r="A1173" i="1"/>
  <c r="P1172" i="1"/>
  <c r="O1172" i="1"/>
  <c r="N1172" i="1"/>
  <c r="M1172" i="1"/>
  <c r="L1172" i="1"/>
  <c r="K1172" i="1"/>
  <c r="J1172" i="1"/>
  <c r="I1172" i="1"/>
  <c r="H1172" i="1"/>
  <c r="G1172" i="1"/>
  <c r="F1172" i="1"/>
  <c r="E1172" i="1"/>
  <c r="D1172" i="1"/>
  <c r="C1172" i="1"/>
  <c r="B1172" i="1"/>
  <c r="A1172" i="1"/>
  <c r="P1171" i="1"/>
  <c r="O1171" i="1"/>
  <c r="N1171" i="1"/>
  <c r="M1171" i="1"/>
  <c r="L1171" i="1"/>
  <c r="K1171" i="1"/>
  <c r="J1171" i="1"/>
  <c r="I1171" i="1"/>
  <c r="H1171" i="1"/>
  <c r="G1171" i="1"/>
  <c r="F1171" i="1"/>
  <c r="E1171" i="1"/>
  <c r="D1171" i="1"/>
  <c r="C1171" i="1"/>
  <c r="B1171" i="1"/>
  <c r="A1171" i="1"/>
  <c r="P1170" i="1"/>
  <c r="O1170" i="1"/>
  <c r="N1170" i="1"/>
  <c r="M1170" i="1"/>
  <c r="L1170" i="1"/>
  <c r="K1170" i="1"/>
  <c r="J1170" i="1"/>
  <c r="I1170" i="1"/>
  <c r="H1170" i="1"/>
  <c r="G1170" i="1"/>
  <c r="F1170" i="1"/>
  <c r="E1170" i="1"/>
  <c r="D1170" i="1"/>
  <c r="C1170" i="1"/>
  <c r="B1170" i="1"/>
  <c r="A1170" i="1"/>
  <c r="P1169" i="1"/>
  <c r="O1169" i="1"/>
  <c r="N1169" i="1"/>
  <c r="M1169" i="1"/>
  <c r="L1169" i="1"/>
  <c r="K1169" i="1"/>
  <c r="J1169" i="1"/>
  <c r="I1169" i="1"/>
  <c r="H1169" i="1"/>
  <c r="G1169" i="1"/>
  <c r="F1169" i="1"/>
  <c r="E1169" i="1"/>
  <c r="D1169" i="1"/>
  <c r="C1169" i="1"/>
  <c r="B1169" i="1"/>
  <c r="A1169" i="1"/>
  <c r="P1168" i="1"/>
  <c r="O1168" i="1"/>
  <c r="N1168" i="1"/>
  <c r="M1168" i="1"/>
  <c r="L1168" i="1"/>
  <c r="K1168" i="1"/>
  <c r="J1168" i="1"/>
  <c r="I1168" i="1"/>
  <c r="H1168" i="1"/>
  <c r="G1168" i="1"/>
  <c r="F1168" i="1"/>
  <c r="E1168" i="1"/>
  <c r="D1168" i="1"/>
  <c r="C1168" i="1"/>
  <c r="B1168" i="1"/>
  <c r="A1168" i="1"/>
  <c r="P1167" i="1"/>
  <c r="O1167" i="1"/>
  <c r="N1167" i="1"/>
  <c r="M1167" i="1"/>
  <c r="L1167" i="1"/>
  <c r="K1167" i="1"/>
  <c r="J1167" i="1"/>
  <c r="I1167" i="1"/>
  <c r="H1167" i="1"/>
  <c r="G1167" i="1"/>
  <c r="F1167" i="1"/>
  <c r="E1167" i="1"/>
  <c r="D1167" i="1"/>
  <c r="C1167" i="1"/>
  <c r="B1167" i="1"/>
  <c r="A1167" i="1"/>
  <c r="P1166" i="1"/>
  <c r="O1166" i="1"/>
  <c r="N1166" i="1"/>
  <c r="M1166" i="1"/>
  <c r="L1166" i="1"/>
  <c r="K1166" i="1"/>
  <c r="J1166" i="1"/>
  <c r="I1166" i="1"/>
  <c r="H1166" i="1"/>
  <c r="G1166" i="1"/>
  <c r="F1166" i="1"/>
  <c r="E1166" i="1"/>
  <c r="D1166" i="1"/>
  <c r="C1166" i="1"/>
  <c r="B1166" i="1"/>
  <c r="A1166" i="1"/>
  <c r="P1165" i="1"/>
  <c r="O1165" i="1"/>
  <c r="N1165" i="1"/>
  <c r="M1165" i="1"/>
  <c r="L1165" i="1"/>
  <c r="K1165" i="1"/>
  <c r="J1165" i="1"/>
  <c r="I1165" i="1"/>
  <c r="H1165" i="1"/>
  <c r="G1165" i="1"/>
  <c r="F1165" i="1"/>
  <c r="E1165" i="1"/>
  <c r="D1165" i="1"/>
  <c r="C1165" i="1"/>
  <c r="B1165" i="1"/>
  <c r="A1165" i="1"/>
  <c r="P1164" i="1"/>
  <c r="O1164" i="1"/>
  <c r="N1164" i="1"/>
  <c r="M1164" i="1"/>
  <c r="L1164" i="1"/>
  <c r="K1164" i="1"/>
  <c r="J1164" i="1"/>
  <c r="I1164" i="1"/>
  <c r="H1164" i="1"/>
  <c r="G1164" i="1"/>
  <c r="F1164" i="1"/>
  <c r="E1164" i="1"/>
  <c r="D1164" i="1"/>
  <c r="C1164" i="1"/>
  <c r="B1164" i="1"/>
  <c r="A1164" i="1"/>
  <c r="P1163" i="1"/>
  <c r="O1163" i="1"/>
  <c r="N1163" i="1"/>
  <c r="M1163" i="1"/>
  <c r="L1163" i="1"/>
  <c r="K1163" i="1"/>
  <c r="J1163" i="1"/>
  <c r="I1163" i="1"/>
  <c r="H1163" i="1"/>
  <c r="G1163" i="1"/>
  <c r="F1163" i="1"/>
  <c r="E1163" i="1"/>
  <c r="D1163" i="1"/>
  <c r="C1163" i="1"/>
  <c r="B1163" i="1"/>
  <c r="A1163" i="1"/>
  <c r="P1162" i="1"/>
  <c r="O1162" i="1"/>
  <c r="N1162" i="1"/>
  <c r="M1162" i="1"/>
  <c r="L1162" i="1"/>
  <c r="K1162" i="1"/>
  <c r="J1162" i="1"/>
  <c r="I1162" i="1"/>
  <c r="H1162" i="1"/>
  <c r="G1162" i="1"/>
  <c r="F1162" i="1"/>
  <c r="E1162" i="1"/>
  <c r="D1162" i="1"/>
  <c r="C1162" i="1"/>
  <c r="B1162" i="1"/>
  <c r="A1162" i="1"/>
  <c r="P1161" i="1"/>
  <c r="O1161" i="1"/>
  <c r="N1161" i="1"/>
  <c r="M1161" i="1"/>
  <c r="L1161" i="1"/>
  <c r="K1161" i="1"/>
  <c r="J1161" i="1"/>
  <c r="I1161" i="1"/>
  <c r="H1161" i="1"/>
  <c r="G1161" i="1"/>
  <c r="F1161" i="1"/>
  <c r="E1161" i="1"/>
  <c r="D1161" i="1"/>
  <c r="C1161" i="1"/>
  <c r="B1161" i="1"/>
  <c r="A1161" i="1"/>
  <c r="P1160" i="1"/>
  <c r="O1160" i="1"/>
  <c r="N1160" i="1"/>
  <c r="M1160" i="1"/>
  <c r="L1160" i="1"/>
  <c r="K1160" i="1"/>
  <c r="J1160" i="1"/>
  <c r="I1160" i="1"/>
  <c r="H1160" i="1"/>
  <c r="G1160" i="1"/>
  <c r="F1160" i="1"/>
  <c r="E1160" i="1"/>
  <c r="D1160" i="1"/>
  <c r="C1160" i="1"/>
  <c r="B1160" i="1"/>
  <c r="A1160" i="1"/>
  <c r="P1159" i="1"/>
  <c r="O1159" i="1"/>
  <c r="N1159" i="1"/>
  <c r="M1159" i="1"/>
  <c r="L1159" i="1"/>
  <c r="K1159" i="1"/>
  <c r="J1159" i="1"/>
  <c r="I1159" i="1"/>
  <c r="H1159" i="1"/>
  <c r="G1159" i="1"/>
  <c r="F1159" i="1"/>
  <c r="E1159" i="1"/>
  <c r="D1159" i="1"/>
  <c r="C1159" i="1"/>
  <c r="B1159" i="1"/>
  <c r="A1159" i="1"/>
  <c r="P1158" i="1"/>
  <c r="O1158" i="1"/>
  <c r="N1158" i="1"/>
  <c r="M1158" i="1"/>
  <c r="L1158" i="1"/>
  <c r="K1158" i="1"/>
  <c r="J1158" i="1"/>
  <c r="I1158" i="1"/>
  <c r="H1158" i="1"/>
  <c r="G1158" i="1"/>
  <c r="F1158" i="1"/>
  <c r="E1158" i="1"/>
  <c r="D1158" i="1"/>
  <c r="C1158" i="1"/>
  <c r="B1158" i="1"/>
  <c r="A1158" i="1"/>
  <c r="P1157" i="1"/>
  <c r="O1157" i="1"/>
  <c r="N1157" i="1"/>
  <c r="M1157" i="1"/>
  <c r="L1157" i="1"/>
  <c r="K1157" i="1"/>
  <c r="J1157" i="1"/>
  <c r="I1157" i="1"/>
  <c r="H1157" i="1"/>
  <c r="G1157" i="1"/>
  <c r="F1157" i="1"/>
  <c r="E1157" i="1"/>
  <c r="D1157" i="1"/>
  <c r="C1157" i="1"/>
  <c r="B1157" i="1"/>
  <c r="A1157" i="1"/>
  <c r="P1156" i="1"/>
  <c r="O1156" i="1"/>
  <c r="N1156" i="1"/>
  <c r="M1156" i="1"/>
  <c r="L1156" i="1"/>
  <c r="K1156" i="1"/>
  <c r="J1156" i="1"/>
  <c r="I1156" i="1"/>
  <c r="H1156" i="1"/>
  <c r="G1156" i="1"/>
  <c r="F1156" i="1"/>
  <c r="E1156" i="1"/>
  <c r="D1156" i="1"/>
  <c r="C1156" i="1"/>
  <c r="B1156" i="1"/>
  <c r="A1156" i="1"/>
  <c r="P1155" i="1"/>
  <c r="O1155" i="1"/>
  <c r="N1155" i="1"/>
  <c r="M1155" i="1"/>
  <c r="L1155" i="1"/>
  <c r="K1155" i="1"/>
  <c r="J1155" i="1"/>
  <c r="I1155" i="1"/>
  <c r="H1155" i="1"/>
  <c r="G1155" i="1"/>
  <c r="F1155" i="1"/>
  <c r="E1155" i="1"/>
  <c r="D1155" i="1"/>
  <c r="C1155" i="1"/>
  <c r="B1155" i="1"/>
  <c r="A1155" i="1"/>
  <c r="P1154" i="1"/>
  <c r="O1154" i="1"/>
  <c r="N1154" i="1"/>
  <c r="M1154" i="1"/>
  <c r="L1154" i="1"/>
  <c r="K1154" i="1"/>
  <c r="J1154" i="1"/>
  <c r="I1154" i="1"/>
  <c r="H1154" i="1"/>
  <c r="G1154" i="1"/>
  <c r="F1154" i="1"/>
  <c r="E1154" i="1"/>
  <c r="D1154" i="1"/>
  <c r="C1154" i="1"/>
  <c r="B1154" i="1"/>
  <c r="A1154" i="1"/>
  <c r="P1153" i="1"/>
  <c r="O1153" i="1"/>
  <c r="N1153" i="1"/>
  <c r="M1153" i="1"/>
  <c r="L1153" i="1"/>
  <c r="K1153" i="1"/>
  <c r="J1153" i="1"/>
  <c r="I1153" i="1"/>
  <c r="H1153" i="1"/>
  <c r="G1153" i="1"/>
  <c r="F1153" i="1"/>
  <c r="E1153" i="1"/>
  <c r="D1153" i="1"/>
  <c r="C1153" i="1"/>
  <c r="B1153" i="1"/>
  <c r="A1153" i="1"/>
  <c r="P1152" i="1"/>
  <c r="O1152" i="1"/>
  <c r="N1152" i="1"/>
  <c r="M1152" i="1"/>
  <c r="L1152" i="1"/>
  <c r="K1152" i="1"/>
  <c r="J1152" i="1"/>
  <c r="I1152" i="1"/>
  <c r="H1152" i="1"/>
  <c r="G1152" i="1"/>
  <c r="F1152" i="1"/>
  <c r="E1152" i="1"/>
  <c r="D1152" i="1"/>
  <c r="C1152" i="1"/>
  <c r="B1152" i="1"/>
  <c r="A1152" i="1"/>
  <c r="P1151" i="1"/>
  <c r="O1151" i="1"/>
  <c r="N1151" i="1"/>
  <c r="M1151" i="1"/>
  <c r="L1151" i="1"/>
  <c r="K1151" i="1"/>
  <c r="J1151" i="1"/>
  <c r="I1151" i="1"/>
  <c r="H1151" i="1"/>
  <c r="G1151" i="1"/>
  <c r="F1151" i="1"/>
  <c r="E1151" i="1"/>
  <c r="D1151" i="1"/>
  <c r="C1151" i="1"/>
  <c r="B1151" i="1"/>
  <c r="A1151" i="1"/>
  <c r="P1150" i="1"/>
  <c r="O1150" i="1"/>
  <c r="N1150" i="1"/>
  <c r="M1150" i="1"/>
  <c r="L1150" i="1"/>
  <c r="K1150" i="1"/>
  <c r="J1150" i="1"/>
  <c r="I1150" i="1"/>
  <c r="H1150" i="1"/>
  <c r="G1150" i="1"/>
  <c r="F1150" i="1"/>
  <c r="E1150" i="1"/>
  <c r="D1150" i="1"/>
  <c r="C1150" i="1"/>
  <c r="B1150" i="1"/>
  <c r="A1150" i="1"/>
  <c r="P1149" i="1"/>
  <c r="O1149" i="1"/>
  <c r="N1149" i="1"/>
  <c r="M1149" i="1"/>
  <c r="L1149" i="1"/>
  <c r="K1149" i="1"/>
  <c r="J1149" i="1"/>
  <c r="I1149" i="1"/>
  <c r="H1149" i="1"/>
  <c r="G1149" i="1"/>
  <c r="F1149" i="1"/>
  <c r="E1149" i="1"/>
  <c r="D1149" i="1"/>
  <c r="C1149" i="1"/>
  <c r="B1149" i="1"/>
  <c r="A1149" i="1"/>
  <c r="P1148" i="1"/>
  <c r="O1148" i="1"/>
  <c r="N1148" i="1"/>
  <c r="M1148" i="1"/>
  <c r="L1148" i="1"/>
  <c r="K1148" i="1"/>
  <c r="J1148" i="1"/>
  <c r="I1148" i="1"/>
  <c r="H1148" i="1"/>
  <c r="G1148" i="1"/>
  <c r="F1148" i="1"/>
  <c r="E1148" i="1"/>
  <c r="D1148" i="1"/>
  <c r="C1148" i="1"/>
  <c r="B1148" i="1"/>
  <c r="A1148" i="1"/>
  <c r="P1147" i="1"/>
  <c r="O1147" i="1"/>
  <c r="N1147" i="1"/>
  <c r="M1147" i="1"/>
  <c r="L1147" i="1"/>
  <c r="K1147" i="1"/>
  <c r="J1147" i="1"/>
  <c r="I1147" i="1"/>
  <c r="H1147" i="1"/>
  <c r="G1147" i="1"/>
  <c r="F1147" i="1"/>
  <c r="E1147" i="1"/>
  <c r="D1147" i="1"/>
  <c r="C1147" i="1"/>
  <c r="B1147" i="1"/>
  <c r="A1147" i="1"/>
  <c r="P1146" i="1"/>
  <c r="O1146" i="1"/>
  <c r="N1146" i="1"/>
  <c r="M1146" i="1"/>
  <c r="L1146" i="1"/>
  <c r="K1146" i="1"/>
  <c r="J1146" i="1"/>
  <c r="I1146" i="1"/>
  <c r="H1146" i="1"/>
  <c r="G1146" i="1"/>
  <c r="F1146" i="1"/>
  <c r="E1146" i="1"/>
  <c r="D1146" i="1"/>
  <c r="C1146" i="1"/>
  <c r="B1146" i="1"/>
  <c r="A1146" i="1"/>
  <c r="P1145" i="1"/>
  <c r="O1145" i="1"/>
  <c r="N1145" i="1"/>
  <c r="M1145" i="1"/>
  <c r="L1145" i="1"/>
  <c r="K1145" i="1"/>
  <c r="J1145" i="1"/>
  <c r="I1145" i="1"/>
  <c r="H1145" i="1"/>
  <c r="G1145" i="1"/>
  <c r="F1145" i="1"/>
  <c r="E1145" i="1"/>
  <c r="D1145" i="1"/>
  <c r="C1145" i="1"/>
  <c r="B1145" i="1"/>
  <c r="A1145" i="1"/>
  <c r="P1144" i="1"/>
  <c r="O1144" i="1"/>
  <c r="N1144" i="1"/>
  <c r="M1144" i="1"/>
  <c r="L1144" i="1"/>
  <c r="K1144" i="1"/>
  <c r="J1144" i="1"/>
  <c r="I1144" i="1"/>
  <c r="H1144" i="1"/>
  <c r="G1144" i="1"/>
  <c r="F1144" i="1"/>
  <c r="E1144" i="1"/>
  <c r="D1144" i="1"/>
  <c r="C1144" i="1"/>
  <c r="B1144" i="1"/>
  <c r="A1144" i="1"/>
  <c r="P1143" i="1"/>
  <c r="O1143" i="1"/>
  <c r="N1143" i="1"/>
  <c r="M1143" i="1"/>
  <c r="L1143" i="1"/>
  <c r="K1143" i="1"/>
  <c r="J1143" i="1"/>
  <c r="I1143" i="1"/>
  <c r="H1143" i="1"/>
  <c r="G1143" i="1"/>
  <c r="F1143" i="1"/>
  <c r="E1143" i="1"/>
  <c r="D1143" i="1"/>
  <c r="C1143" i="1"/>
  <c r="B1143" i="1"/>
  <c r="A1143" i="1"/>
  <c r="P1142" i="1"/>
  <c r="O1142" i="1"/>
  <c r="N1142" i="1"/>
  <c r="M1142" i="1"/>
  <c r="L1142" i="1"/>
  <c r="K1142" i="1"/>
  <c r="J1142" i="1"/>
  <c r="I1142" i="1"/>
  <c r="H1142" i="1"/>
  <c r="G1142" i="1"/>
  <c r="F1142" i="1"/>
  <c r="E1142" i="1"/>
  <c r="D1142" i="1"/>
  <c r="C1142" i="1"/>
  <c r="B1142" i="1"/>
  <c r="A1142" i="1"/>
  <c r="P1141" i="1"/>
  <c r="O1141" i="1"/>
  <c r="N1141" i="1"/>
  <c r="M1141" i="1"/>
  <c r="L1141" i="1"/>
  <c r="K1141" i="1"/>
  <c r="J1141" i="1"/>
  <c r="I1141" i="1"/>
  <c r="H1141" i="1"/>
  <c r="G1141" i="1"/>
  <c r="F1141" i="1"/>
  <c r="E1141" i="1"/>
  <c r="D1141" i="1"/>
  <c r="C1141" i="1"/>
  <c r="B1141" i="1"/>
  <c r="A1141" i="1"/>
  <c r="P1140" i="1"/>
  <c r="O1140" i="1"/>
  <c r="N1140" i="1"/>
  <c r="M1140" i="1"/>
  <c r="L1140" i="1"/>
  <c r="K1140" i="1"/>
  <c r="J1140" i="1"/>
  <c r="I1140" i="1"/>
  <c r="H1140" i="1"/>
  <c r="G1140" i="1"/>
  <c r="F1140" i="1"/>
  <c r="E1140" i="1"/>
  <c r="D1140" i="1"/>
  <c r="C1140" i="1"/>
  <c r="B1140" i="1"/>
  <c r="A1140" i="1"/>
  <c r="P1139" i="1"/>
  <c r="O1139" i="1"/>
  <c r="N1139" i="1"/>
  <c r="M1139" i="1"/>
  <c r="L1139" i="1"/>
  <c r="K1139" i="1"/>
  <c r="J1139" i="1"/>
  <c r="I1139" i="1"/>
  <c r="H1139" i="1"/>
  <c r="G1139" i="1"/>
  <c r="F1139" i="1"/>
  <c r="E1139" i="1"/>
  <c r="D1139" i="1"/>
  <c r="C1139" i="1"/>
  <c r="B1139" i="1"/>
  <c r="A1139" i="1"/>
  <c r="P1138" i="1"/>
  <c r="O1138" i="1"/>
  <c r="N1138" i="1"/>
  <c r="M1138" i="1"/>
  <c r="L1138" i="1"/>
  <c r="K1138" i="1"/>
  <c r="J1138" i="1"/>
  <c r="I1138" i="1"/>
  <c r="H1138" i="1"/>
  <c r="G1138" i="1"/>
  <c r="F1138" i="1"/>
  <c r="E1138" i="1"/>
  <c r="D1138" i="1"/>
  <c r="C1138" i="1"/>
  <c r="B1138" i="1"/>
  <c r="A1138" i="1"/>
  <c r="P1137" i="1"/>
  <c r="O1137" i="1"/>
  <c r="N1137" i="1"/>
  <c r="M1137" i="1"/>
  <c r="L1137" i="1"/>
  <c r="K1137" i="1"/>
  <c r="J1137" i="1"/>
  <c r="I1137" i="1"/>
  <c r="H1137" i="1"/>
  <c r="G1137" i="1"/>
  <c r="F1137" i="1"/>
  <c r="E1137" i="1"/>
  <c r="D1137" i="1"/>
  <c r="C1137" i="1"/>
  <c r="B1137" i="1"/>
  <c r="A1137" i="1"/>
  <c r="P1136" i="1"/>
  <c r="O1136" i="1"/>
  <c r="N1136" i="1"/>
  <c r="M1136" i="1"/>
  <c r="L1136" i="1"/>
  <c r="K1136" i="1"/>
  <c r="J1136" i="1"/>
  <c r="I1136" i="1"/>
  <c r="H1136" i="1"/>
  <c r="G1136" i="1"/>
  <c r="F1136" i="1"/>
  <c r="E1136" i="1"/>
  <c r="D1136" i="1"/>
  <c r="C1136" i="1"/>
  <c r="B1136" i="1"/>
  <c r="A1136" i="1"/>
  <c r="P1135" i="1"/>
  <c r="O1135" i="1"/>
  <c r="N1135" i="1"/>
  <c r="M1135" i="1"/>
  <c r="L1135" i="1"/>
  <c r="K1135" i="1"/>
  <c r="J1135" i="1"/>
  <c r="I1135" i="1"/>
  <c r="H1135" i="1"/>
  <c r="G1135" i="1"/>
  <c r="F1135" i="1"/>
  <c r="E1135" i="1"/>
  <c r="D1135" i="1"/>
  <c r="C1135" i="1"/>
  <c r="B1135" i="1"/>
  <c r="A1135" i="1"/>
  <c r="P1134" i="1"/>
  <c r="O1134" i="1"/>
  <c r="N1134" i="1"/>
  <c r="M1134" i="1"/>
  <c r="L1134" i="1"/>
  <c r="K1134" i="1"/>
  <c r="J1134" i="1"/>
  <c r="I1134" i="1"/>
  <c r="H1134" i="1"/>
  <c r="G1134" i="1"/>
  <c r="F1134" i="1"/>
  <c r="E1134" i="1"/>
  <c r="D1134" i="1"/>
  <c r="C1134" i="1"/>
  <c r="B1134" i="1"/>
  <c r="A1134" i="1"/>
  <c r="P1133" i="1"/>
  <c r="O1133" i="1"/>
  <c r="N1133" i="1"/>
  <c r="M1133" i="1"/>
  <c r="L1133" i="1"/>
  <c r="K1133" i="1"/>
  <c r="J1133" i="1"/>
  <c r="I1133" i="1"/>
  <c r="H1133" i="1"/>
  <c r="G1133" i="1"/>
  <c r="F1133" i="1"/>
  <c r="E1133" i="1"/>
  <c r="D1133" i="1"/>
  <c r="C1133" i="1"/>
  <c r="B1133" i="1"/>
  <c r="A1133" i="1"/>
  <c r="P1132" i="1"/>
  <c r="O1132" i="1"/>
  <c r="N1132" i="1"/>
  <c r="M1132" i="1"/>
  <c r="L1132" i="1"/>
  <c r="K1132" i="1"/>
  <c r="J1132" i="1"/>
  <c r="I1132" i="1"/>
  <c r="H1132" i="1"/>
  <c r="G1132" i="1"/>
  <c r="F1132" i="1"/>
  <c r="E1132" i="1"/>
  <c r="D1132" i="1"/>
  <c r="C1132" i="1"/>
  <c r="B1132" i="1"/>
  <c r="A1132" i="1"/>
  <c r="P1131" i="1"/>
  <c r="O1131" i="1"/>
  <c r="N1131" i="1"/>
  <c r="M1131" i="1"/>
  <c r="L1131" i="1"/>
  <c r="K1131" i="1"/>
  <c r="J1131" i="1"/>
  <c r="I1131" i="1"/>
  <c r="H1131" i="1"/>
  <c r="G1131" i="1"/>
  <c r="F1131" i="1"/>
  <c r="E1131" i="1"/>
  <c r="D1131" i="1"/>
  <c r="C1131" i="1"/>
  <c r="B1131" i="1"/>
  <c r="A1131" i="1"/>
  <c r="P1130" i="1"/>
  <c r="O1130" i="1"/>
  <c r="N1130" i="1"/>
  <c r="M1130" i="1"/>
  <c r="L1130" i="1"/>
  <c r="K1130" i="1"/>
  <c r="J1130" i="1"/>
  <c r="I1130" i="1"/>
  <c r="H1130" i="1"/>
  <c r="G1130" i="1"/>
  <c r="F1130" i="1"/>
  <c r="E1130" i="1"/>
  <c r="D1130" i="1"/>
  <c r="C1130" i="1"/>
  <c r="B1130" i="1"/>
  <c r="A1130" i="1"/>
  <c r="P1129" i="1"/>
  <c r="O1129" i="1"/>
  <c r="N1129" i="1"/>
  <c r="M1129" i="1"/>
  <c r="L1129" i="1"/>
  <c r="K1129" i="1"/>
  <c r="J1129" i="1"/>
  <c r="I1129" i="1"/>
  <c r="H1129" i="1"/>
  <c r="G1129" i="1"/>
  <c r="F1129" i="1"/>
  <c r="E1129" i="1"/>
  <c r="D1129" i="1"/>
  <c r="C1129" i="1"/>
  <c r="B1129" i="1"/>
  <c r="A1129" i="1"/>
  <c r="P1128" i="1"/>
  <c r="O1128" i="1"/>
  <c r="N1128" i="1"/>
  <c r="M1128" i="1"/>
  <c r="L1128" i="1"/>
  <c r="K1128" i="1"/>
  <c r="J1128" i="1"/>
  <c r="I1128" i="1"/>
  <c r="H1128" i="1"/>
  <c r="G1128" i="1"/>
  <c r="F1128" i="1"/>
  <c r="E1128" i="1"/>
  <c r="D1128" i="1"/>
  <c r="C1128" i="1"/>
  <c r="B1128" i="1"/>
  <c r="A1128" i="1"/>
  <c r="P1127" i="1"/>
  <c r="O1127" i="1"/>
  <c r="N1127" i="1"/>
  <c r="M1127" i="1"/>
  <c r="L1127" i="1"/>
  <c r="K1127" i="1"/>
  <c r="J1127" i="1"/>
  <c r="I1127" i="1"/>
  <c r="H1127" i="1"/>
  <c r="G1127" i="1"/>
  <c r="F1127" i="1"/>
  <c r="E1127" i="1"/>
  <c r="D1127" i="1"/>
  <c r="C1127" i="1"/>
  <c r="B1127" i="1"/>
  <c r="A1127" i="1"/>
  <c r="P1126" i="1"/>
  <c r="O1126" i="1"/>
  <c r="N1126" i="1"/>
  <c r="M1126" i="1"/>
  <c r="L1126" i="1"/>
  <c r="K1126" i="1"/>
  <c r="J1126" i="1"/>
  <c r="I1126" i="1"/>
  <c r="H1126" i="1"/>
  <c r="G1126" i="1"/>
  <c r="F1126" i="1"/>
  <c r="E1126" i="1"/>
  <c r="D1126" i="1"/>
  <c r="C1126" i="1"/>
  <c r="B1126" i="1"/>
  <c r="A1126" i="1"/>
  <c r="P1125" i="1"/>
  <c r="O1125" i="1"/>
  <c r="N1125" i="1"/>
  <c r="M1125" i="1"/>
  <c r="L1125" i="1"/>
  <c r="K1125" i="1"/>
  <c r="J1125" i="1"/>
  <c r="I1125" i="1"/>
  <c r="H1125" i="1"/>
  <c r="G1125" i="1"/>
  <c r="F1125" i="1"/>
  <c r="E1125" i="1"/>
  <c r="D1125" i="1"/>
  <c r="C1125" i="1"/>
  <c r="B1125" i="1"/>
  <c r="A1125" i="1"/>
  <c r="P1124" i="1"/>
  <c r="O1124" i="1"/>
  <c r="N1124" i="1"/>
  <c r="M1124" i="1"/>
  <c r="L1124" i="1"/>
  <c r="K1124" i="1"/>
  <c r="J1124" i="1"/>
  <c r="I1124" i="1"/>
  <c r="H1124" i="1"/>
  <c r="G1124" i="1"/>
  <c r="F1124" i="1"/>
  <c r="E1124" i="1"/>
  <c r="D1124" i="1"/>
  <c r="C1124" i="1"/>
  <c r="B1124" i="1"/>
  <c r="A1124" i="1"/>
  <c r="P1123" i="1"/>
  <c r="O1123" i="1"/>
  <c r="N1123" i="1"/>
  <c r="M1123" i="1"/>
  <c r="L1123" i="1"/>
  <c r="K1123" i="1"/>
  <c r="J1123" i="1"/>
  <c r="I1123" i="1"/>
  <c r="H1123" i="1"/>
  <c r="G1123" i="1"/>
  <c r="F1123" i="1"/>
  <c r="E1123" i="1"/>
  <c r="D1123" i="1"/>
  <c r="C1123" i="1"/>
  <c r="B1123" i="1"/>
  <c r="A1123" i="1"/>
  <c r="P1122" i="1"/>
  <c r="O1122" i="1"/>
  <c r="N1122" i="1"/>
  <c r="M1122" i="1"/>
  <c r="L1122" i="1"/>
  <c r="K1122" i="1"/>
  <c r="J1122" i="1"/>
  <c r="I1122" i="1"/>
  <c r="H1122" i="1"/>
  <c r="G1122" i="1"/>
  <c r="F1122" i="1"/>
  <c r="E1122" i="1"/>
  <c r="D1122" i="1"/>
  <c r="C1122" i="1"/>
  <c r="B1122" i="1"/>
  <c r="A1122" i="1"/>
  <c r="P1121" i="1"/>
  <c r="O1121" i="1"/>
  <c r="N1121" i="1"/>
  <c r="M1121" i="1"/>
  <c r="L1121" i="1"/>
  <c r="K1121" i="1"/>
  <c r="J1121" i="1"/>
  <c r="I1121" i="1"/>
  <c r="H1121" i="1"/>
  <c r="G1121" i="1"/>
  <c r="F1121" i="1"/>
  <c r="E1121" i="1"/>
  <c r="D1121" i="1"/>
  <c r="C1121" i="1"/>
  <c r="B1121" i="1"/>
  <c r="A1121" i="1"/>
  <c r="P1120" i="1"/>
  <c r="O1120" i="1"/>
  <c r="N1120" i="1"/>
  <c r="M1120" i="1"/>
  <c r="L1120" i="1"/>
  <c r="K1120" i="1"/>
  <c r="J1120" i="1"/>
  <c r="I1120" i="1"/>
  <c r="H1120" i="1"/>
  <c r="G1120" i="1"/>
  <c r="F1120" i="1"/>
  <c r="E1120" i="1"/>
  <c r="D1120" i="1"/>
  <c r="C1120" i="1"/>
  <c r="B1120" i="1"/>
  <c r="A1120" i="1"/>
  <c r="P1119" i="1"/>
  <c r="O1119" i="1"/>
  <c r="N1119" i="1"/>
  <c r="M1119" i="1"/>
  <c r="L1119" i="1"/>
  <c r="K1119" i="1"/>
  <c r="J1119" i="1"/>
  <c r="I1119" i="1"/>
  <c r="H1119" i="1"/>
  <c r="G1119" i="1"/>
  <c r="F1119" i="1"/>
  <c r="E1119" i="1"/>
  <c r="D1119" i="1"/>
  <c r="C1119" i="1"/>
  <c r="B1119" i="1"/>
  <c r="A1119" i="1"/>
  <c r="P1118" i="1"/>
  <c r="O1118" i="1"/>
  <c r="N1118" i="1"/>
  <c r="M1118" i="1"/>
  <c r="L1118" i="1"/>
  <c r="K1118" i="1"/>
  <c r="J1118" i="1"/>
  <c r="I1118" i="1"/>
  <c r="H1118" i="1"/>
  <c r="G1118" i="1"/>
  <c r="F1118" i="1"/>
  <c r="E1118" i="1"/>
  <c r="D1118" i="1"/>
  <c r="C1118" i="1"/>
  <c r="B1118" i="1"/>
  <c r="A1118" i="1"/>
  <c r="P1117" i="1"/>
  <c r="O1117" i="1"/>
  <c r="N1117" i="1"/>
  <c r="M1117" i="1"/>
  <c r="L1117" i="1"/>
  <c r="K1117" i="1"/>
  <c r="J1117" i="1"/>
  <c r="I1117" i="1"/>
  <c r="H1117" i="1"/>
  <c r="G1117" i="1"/>
  <c r="F1117" i="1"/>
  <c r="E1117" i="1"/>
  <c r="D1117" i="1"/>
  <c r="C1117" i="1"/>
  <c r="B1117" i="1"/>
  <c r="A1117" i="1"/>
  <c r="P1116" i="1"/>
  <c r="O1116" i="1"/>
  <c r="N1116" i="1"/>
  <c r="M1116" i="1"/>
  <c r="L1116" i="1"/>
  <c r="K1116" i="1"/>
  <c r="J1116" i="1"/>
  <c r="I1116" i="1"/>
  <c r="H1116" i="1"/>
  <c r="G1116" i="1"/>
  <c r="F1116" i="1"/>
  <c r="E1116" i="1"/>
  <c r="D1116" i="1"/>
  <c r="C1116" i="1"/>
  <c r="B1116" i="1"/>
  <c r="A1116" i="1"/>
  <c r="P1115" i="1"/>
  <c r="O1115" i="1"/>
  <c r="N1115" i="1"/>
  <c r="M1115" i="1"/>
  <c r="L1115" i="1"/>
  <c r="K1115" i="1"/>
  <c r="J1115" i="1"/>
  <c r="I1115" i="1"/>
  <c r="H1115" i="1"/>
  <c r="G1115" i="1"/>
  <c r="F1115" i="1"/>
  <c r="E1115" i="1"/>
  <c r="D1115" i="1"/>
  <c r="C1115" i="1"/>
  <c r="B1115" i="1"/>
  <c r="A1115" i="1"/>
  <c r="P1114" i="1"/>
  <c r="O1114" i="1"/>
  <c r="N1114" i="1"/>
  <c r="M1114" i="1"/>
  <c r="L1114" i="1"/>
  <c r="K1114" i="1"/>
  <c r="J1114" i="1"/>
  <c r="I1114" i="1"/>
  <c r="H1114" i="1"/>
  <c r="G1114" i="1"/>
  <c r="F1114" i="1"/>
  <c r="E1114" i="1"/>
  <c r="D1114" i="1"/>
  <c r="C1114" i="1"/>
  <c r="B1114" i="1"/>
  <c r="A1114" i="1"/>
  <c r="P1113" i="1"/>
  <c r="O1113" i="1"/>
  <c r="N1113" i="1"/>
  <c r="M1113" i="1"/>
  <c r="L1113" i="1"/>
  <c r="K1113" i="1"/>
  <c r="J1113" i="1"/>
  <c r="I1113" i="1"/>
  <c r="H1113" i="1"/>
  <c r="G1113" i="1"/>
  <c r="F1113" i="1"/>
  <c r="E1113" i="1"/>
  <c r="D1113" i="1"/>
  <c r="C1113" i="1"/>
  <c r="B1113" i="1"/>
  <c r="A1113" i="1"/>
  <c r="P1112" i="1"/>
  <c r="O1112" i="1"/>
  <c r="N1112" i="1"/>
  <c r="M1112" i="1"/>
  <c r="L1112" i="1"/>
  <c r="K1112" i="1"/>
  <c r="J1112" i="1"/>
  <c r="I1112" i="1"/>
  <c r="H1112" i="1"/>
  <c r="G1112" i="1"/>
  <c r="F1112" i="1"/>
  <c r="E1112" i="1"/>
  <c r="D1112" i="1"/>
  <c r="C1112" i="1"/>
  <c r="B1112" i="1"/>
  <c r="A1112" i="1"/>
  <c r="P1111" i="1"/>
  <c r="O1111" i="1"/>
  <c r="N1111" i="1"/>
  <c r="M1111" i="1"/>
  <c r="L1111" i="1"/>
  <c r="K1111" i="1"/>
  <c r="J1111" i="1"/>
  <c r="I1111" i="1"/>
  <c r="H1111" i="1"/>
  <c r="G1111" i="1"/>
  <c r="F1111" i="1"/>
  <c r="E1111" i="1"/>
  <c r="D1111" i="1"/>
  <c r="C1111" i="1"/>
  <c r="B1111" i="1"/>
  <c r="A1111" i="1"/>
  <c r="P1110" i="1"/>
  <c r="O1110" i="1"/>
  <c r="N1110" i="1"/>
  <c r="M1110" i="1"/>
  <c r="L1110" i="1"/>
  <c r="K1110" i="1"/>
  <c r="J1110" i="1"/>
  <c r="I1110" i="1"/>
  <c r="H1110" i="1"/>
  <c r="G1110" i="1"/>
  <c r="F1110" i="1"/>
  <c r="E1110" i="1"/>
  <c r="D1110" i="1"/>
  <c r="C1110" i="1"/>
  <c r="B1110" i="1"/>
  <c r="A1110" i="1"/>
  <c r="P1109" i="1"/>
  <c r="O1109" i="1"/>
  <c r="N1109" i="1"/>
  <c r="M1109" i="1"/>
  <c r="L1109" i="1"/>
  <c r="K1109" i="1"/>
  <c r="J1109" i="1"/>
  <c r="I1109" i="1"/>
  <c r="H1109" i="1"/>
  <c r="G1109" i="1"/>
  <c r="F1109" i="1"/>
  <c r="E1109" i="1"/>
  <c r="D1109" i="1"/>
  <c r="C1109" i="1"/>
  <c r="B1109" i="1"/>
  <c r="A1109" i="1"/>
  <c r="P1108" i="1"/>
  <c r="O1108" i="1"/>
  <c r="N1108" i="1"/>
  <c r="M1108" i="1"/>
  <c r="L1108" i="1"/>
  <c r="K1108" i="1"/>
  <c r="J1108" i="1"/>
  <c r="I1108" i="1"/>
  <c r="H1108" i="1"/>
  <c r="G1108" i="1"/>
  <c r="F1108" i="1"/>
  <c r="E1108" i="1"/>
  <c r="D1108" i="1"/>
  <c r="C1108" i="1"/>
  <c r="B1108" i="1"/>
  <c r="A1108" i="1"/>
  <c r="P1107" i="1"/>
  <c r="O1107" i="1"/>
  <c r="N1107" i="1"/>
  <c r="M1107" i="1"/>
  <c r="L1107" i="1"/>
  <c r="K1107" i="1"/>
  <c r="J1107" i="1"/>
  <c r="I1107" i="1"/>
  <c r="H1107" i="1"/>
  <c r="G1107" i="1"/>
  <c r="F1107" i="1"/>
  <c r="E1107" i="1"/>
  <c r="D1107" i="1"/>
  <c r="C1107" i="1"/>
  <c r="B1107" i="1"/>
  <c r="A1107" i="1"/>
  <c r="P1106" i="1"/>
  <c r="O1106" i="1"/>
  <c r="N1106" i="1"/>
  <c r="M1106" i="1"/>
  <c r="L1106" i="1"/>
  <c r="K1106" i="1"/>
  <c r="J1106" i="1"/>
  <c r="I1106" i="1"/>
  <c r="H1106" i="1"/>
  <c r="G1106" i="1"/>
  <c r="F1106" i="1"/>
  <c r="E1106" i="1"/>
  <c r="D1106" i="1"/>
  <c r="C1106" i="1"/>
  <c r="B1106" i="1"/>
  <c r="A1106" i="1"/>
  <c r="P1105" i="1"/>
  <c r="O1105" i="1"/>
  <c r="N1105" i="1"/>
  <c r="M1105" i="1"/>
  <c r="L1105" i="1"/>
  <c r="K1105" i="1"/>
  <c r="J1105" i="1"/>
  <c r="I1105" i="1"/>
  <c r="H1105" i="1"/>
  <c r="G1105" i="1"/>
  <c r="F1105" i="1"/>
  <c r="E1105" i="1"/>
  <c r="D1105" i="1"/>
  <c r="C1105" i="1"/>
  <c r="B1105" i="1"/>
  <c r="A1105" i="1"/>
  <c r="P1104" i="1"/>
  <c r="O1104" i="1"/>
  <c r="N1104" i="1"/>
  <c r="M1104" i="1"/>
  <c r="L1104" i="1"/>
  <c r="K1104" i="1"/>
  <c r="J1104" i="1"/>
  <c r="I1104" i="1"/>
  <c r="H1104" i="1"/>
  <c r="G1104" i="1"/>
  <c r="F1104" i="1"/>
  <c r="E1104" i="1"/>
  <c r="D1104" i="1"/>
  <c r="C1104" i="1"/>
  <c r="B1104" i="1"/>
  <c r="A1104" i="1"/>
  <c r="P1103" i="1"/>
  <c r="O1103" i="1"/>
  <c r="N1103" i="1"/>
  <c r="M1103" i="1"/>
  <c r="L1103" i="1"/>
  <c r="K1103" i="1"/>
  <c r="J1103" i="1"/>
  <c r="I1103" i="1"/>
  <c r="H1103" i="1"/>
  <c r="G1103" i="1"/>
  <c r="F1103" i="1"/>
  <c r="E1103" i="1"/>
  <c r="D1103" i="1"/>
  <c r="C1103" i="1"/>
  <c r="B1103" i="1"/>
  <c r="A1103" i="1"/>
  <c r="P1102" i="1"/>
  <c r="O1102" i="1"/>
  <c r="N1102" i="1"/>
  <c r="M1102" i="1"/>
  <c r="L1102" i="1"/>
  <c r="K1102" i="1"/>
  <c r="J1102" i="1"/>
  <c r="I1102" i="1"/>
  <c r="H1102" i="1"/>
  <c r="G1102" i="1"/>
  <c r="F1102" i="1"/>
  <c r="E1102" i="1"/>
  <c r="D1102" i="1"/>
  <c r="C1102" i="1"/>
  <c r="B1102" i="1"/>
  <c r="A1102" i="1"/>
  <c r="P1101" i="1"/>
  <c r="O1101" i="1"/>
  <c r="N1101" i="1"/>
  <c r="M1101" i="1"/>
  <c r="L1101" i="1"/>
  <c r="K1101" i="1"/>
  <c r="J1101" i="1"/>
  <c r="I1101" i="1"/>
  <c r="H1101" i="1"/>
  <c r="G1101" i="1"/>
  <c r="F1101" i="1"/>
  <c r="E1101" i="1"/>
  <c r="D1101" i="1"/>
  <c r="C1101" i="1"/>
  <c r="B1101" i="1"/>
  <c r="A1101" i="1"/>
  <c r="P1100" i="1"/>
  <c r="O1100" i="1"/>
  <c r="N1100" i="1"/>
  <c r="M1100" i="1"/>
  <c r="L1100" i="1"/>
  <c r="K1100" i="1"/>
  <c r="J1100" i="1"/>
  <c r="I1100" i="1"/>
  <c r="H1100" i="1"/>
  <c r="G1100" i="1"/>
  <c r="F1100" i="1"/>
  <c r="E1100" i="1"/>
  <c r="D1100" i="1"/>
  <c r="C1100" i="1"/>
  <c r="B1100" i="1"/>
  <c r="A1100" i="1"/>
  <c r="P1099" i="1"/>
  <c r="O1099" i="1"/>
  <c r="N1099" i="1"/>
  <c r="M1099" i="1"/>
  <c r="L1099" i="1"/>
  <c r="K1099" i="1"/>
  <c r="J1099" i="1"/>
  <c r="I1099" i="1"/>
  <c r="H1099" i="1"/>
  <c r="G1099" i="1"/>
  <c r="F1099" i="1"/>
  <c r="E1099" i="1"/>
  <c r="D1099" i="1"/>
  <c r="C1099" i="1"/>
  <c r="B1099" i="1"/>
  <c r="A1099" i="1"/>
  <c r="P1098" i="1"/>
  <c r="O1098" i="1"/>
  <c r="N1098" i="1"/>
  <c r="M1098" i="1"/>
  <c r="L1098" i="1"/>
  <c r="K1098" i="1"/>
  <c r="J1098" i="1"/>
  <c r="I1098" i="1"/>
  <c r="H1098" i="1"/>
  <c r="G1098" i="1"/>
  <c r="F1098" i="1"/>
  <c r="E1098" i="1"/>
  <c r="D1098" i="1"/>
  <c r="C1098" i="1"/>
  <c r="B1098" i="1"/>
  <c r="A1098" i="1"/>
  <c r="P1097" i="1"/>
  <c r="O1097" i="1"/>
  <c r="N1097" i="1"/>
  <c r="M1097" i="1"/>
  <c r="L1097" i="1"/>
  <c r="K1097" i="1"/>
  <c r="J1097" i="1"/>
  <c r="I1097" i="1"/>
  <c r="H1097" i="1"/>
  <c r="G1097" i="1"/>
  <c r="F1097" i="1"/>
  <c r="E1097" i="1"/>
  <c r="D1097" i="1"/>
  <c r="C1097" i="1"/>
  <c r="B1097" i="1"/>
  <c r="A1097" i="1"/>
  <c r="P1096" i="1"/>
  <c r="O1096" i="1"/>
  <c r="N1096" i="1"/>
  <c r="M1096" i="1"/>
  <c r="L1096" i="1"/>
  <c r="K1096" i="1"/>
  <c r="J1096" i="1"/>
  <c r="I1096" i="1"/>
  <c r="H1096" i="1"/>
  <c r="G1096" i="1"/>
  <c r="F1096" i="1"/>
  <c r="E1096" i="1"/>
  <c r="D1096" i="1"/>
  <c r="C1096" i="1"/>
  <c r="B1096" i="1"/>
  <c r="A1096" i="1"/>
  <c r="P1095" i="1"/>
  <c r="O1095" i="1"/>
  <c r="N1095" i="1"/>
  <c r="M1095" i="1"/>
  <c r="L1095" i="1"/>
  <c r="K1095" i="1"/>
  <c r="J1095" i="1"/>
  <c r="I1095" i="1"/>
  <c r="H1095" i="1"/>
  <c r="G1095" i="1"/>
  <c r="F1095" i="1"/>
  <c r="E1095" i="1"/>
  <c r="D1095" i="1"/>
  <c r="C1095" i="1"/>
  <c r="B1095" i="1"/>
  <c r="A1095" i="1"/>
  <c r="P1094" i="1"/>
  <c r="O1094" i="1"/>
  <c r="N1094" i="1"/>
  <c r="M1094" i="1"/>
  <c r="L1094" i="1"/>
  <c r="K1094" i="1"/>
  <c r="J1094" i="1"/>
  <c r="I1094" i="1"/>
  <c r="H1094" i="1"/>
  <c r="G1094" i="1"/>
  <c r="F1094" i="1"/>
  <c r="E1094" i="1"/>
  <c r="D1094" i="1"/>
  <c r="C1094" i="1"/>
  <c r="B1094" i="1"/>
  <c r="A1094" i="1"/>
  <c r="P1093" i="1"/>
  <c r="O1093" i="1"/>
  <c r="N1093" i="1"/>
  <c r="M1093" i="1"/>
  <c r="L1093" i="1"/>
  <c r="K1093" i="1"/>
  <c r="J1093" i="1"/>
  <c r="I1093" i="1"/>
  <c r="H1093" i="1"/>
  <c r="G1093" i="1"/>
  <c r="F1093" i="1"/>
  <c r="E1093" i="1"/>
  <c r="D1093" i="1"/>
  <c r="C1093" i="1"/>
  <c r="B1093" i="1"/>
  <c r="A1093" i="1"/>
  <c r="P1092" i="1"/>
  <c r="O1092" i="1"/>
  <c r="N1092" i="1"/>
  <c r="M1092" i="1"/>
  <c r="L1092" i="1"/>
  <c r="K1092" i="1"/>
  <c r="J1092" i="1"/>
  <c r="I1092" i="1"/>
  <c r="H1092" i="1"/>
  <c r="G1092" i="1"/>
  <c r="F1092" i="1"/>
  <c r="E1092" i="1"/>
  <c r="D1092" i="1"/>
  <c r="C1092" i="1"/>
  <c r="B1092" i="1"/>
  <c r="A1092" i="1"/>
  <c r="P1091" i="1"/>
  <c r="O1091" i="1"/>
  <c r="N1091" i="1"/>
  <c r="M1091" i="1"/>
  <c r="L1091" i="1"/>
  <c r="K1091" i="1"/>
  <c r="J1091" i="1"/>
  <c r="I1091" i="1"/>
  <c r="H1091" i="1"/>
  <c r="G1091" i="1"/>
  <c r="F1091" i="1"/>
  <c r="E1091" i="1"/>
  <c r="D1091" i="1"/>
  <c r="C1091" i="1"/>
  <c r="B1091" i="1"/>
  <c r="A1091" i="1"/>
  <c r="P1090" i="1"/>
  <c r="O1090" i="1"/>
  <c r="N1090" i="1"/>
  <c r="M1090" i="1"/>
  <c r="L1090" i="1"/>
  <c r="K1090" i="1"/>
  <c r="J1090" i="1"/>
  <c r="I1090" i="1"/>
  <c r="H1090" i="1"/>
  <c r="G1090" i="1"/>
  <c r="F1090" i="1"/>
  <c r="E1090" i="1"/>
  <c r="D1090" i="1"/>
  <c r="C1090" i="1"/>
  <c r="B1090" i="1"/>
  <c r="A1090" i="1"/>
  <c r="P1089" i="1"/>
  <c r="O1089" i="1"/>
  <c r="N1089" i="1"/>
  <c r="M1089" i="1"/>
  <c r="L1089" i="1"/>
  <c r="K1089" i="1"/>
  <c r="J1089" i="1"/>
  <c r="I1089" i="1"/>
  <c r="H1089" i="1"/>
  <c r="G1089" i="1"/>
  <c r="F1089" i="1"/>
  <c r="E1089" i="1"/>
  <c r="D1089" i="1"/>
  <c r="C1089" i="1"/>
  <c r="B1089" i="1"/>
  <c r="A1089" i="1"/>
  <c r="P1088" i="1"/>
  <c r="O1088" i="1"/>
  <c r="N1088" i="1"/>
  <c r="M1088" i="1"/>
  <c r="L1088" i="1"/>
  <c r="K1088" i="1"/>
  <c r="J1088" i="1"/>
  <c r="I1088" i="1"/>
  <c r="H1088" i="1"/>
  <c r="G1088" i="1"/>
  <c r="F1088" i="1"/>
  <c r="E1088" i="1"/>
  <c r="D1088" i="1"/>
  <c r="C1088" i="1"/>
  <c r="B1088" i="1"/>
  <c r="A1088" i="1"/>
  <c r="P1087" i="1"/>
  <c r="O1087" i="1"/>
  <c r="N1087" i="1"/>
  <c r="M1087" i="1"/>
  <c r="L1087" i="1"/>
  <c r="K1087" i="1"/>
  <c r="J1087" i="1"/>
  <c r="I1087" i="1"/>
  <c r="H1087" i="1"/>
  <c r="G1087" i="1"/>
  <c r="F1087" i="1"/>
  <c r="E1087" i="1"/>
  <c r="D1087" i="1"/>
  <c r="C1087" i="1"/>
  <c r="B1087" i="1"/>
  <c r="A1087" i="1"/>
  <c r="P1086" i="1"/>
  <c r="O1086" i="1"/>
  <c r="N1086" i="1"/>
  <c r="M1086" i="1"/>
  <c r="L1086" i="1"/>
  <c r="K1086" i="1"/>
  <c r="J1086" i="1"/>
  <c r="I1086" i="1"/>
  <c r="H1086" i="1"/>
  <c r="G1086" i="1"/>
  <c r="F1086" i="1"/>
  <c r="E1086" i="1"/>
  <c r="D1086" i="1"/>
  <c r="C1086" i="1"/>
  <c r="B1086" i="1"/>
  <c r="A1086" i="1"/>
  <c r="P1085" i="1"/>
  <c r="O1085" i="1"/>
  <c r="N1085" i="1"/>
  <c r="M1085" i="1"/>
  <c r="L1085" i="1"/>
  <c r="K1085" i="1"/>
  <c r="J1085" i="1"/>
  <c r="I1085" i="1"/>
  <c r="H1085" i="1"/>
  <c r="G1085" i="1"/>
  <c r="F1085" i="1"/>
  <c r="E1085" i="1"/>
  <c r="D1085" i="1"/>
  <c r="C1085" i="1"/>
  <c r="B1085" i="1"/>
  <c r="A1085" i="1"/>
  <c r="P1084" i="1"/>
  <c r="O1084" i="1"/>
  <c r="N1084" i="1"/>
  <c r="M1084" i="1"/>
  <c r="L1084" i="1"/>
  <c r="K1084" i="1"/>
  <c r="J1084" i="1"/>
  <c r="I1084" i="1"/>
  <c r="H1084" i="1"/>
  <c r="G1084" i="1"/>
  <c r="F1084" i="1"/>
  <c r="E1084" i="1"/>
  <c r="D1084" i="1"/>
  <c r="C1084" i="1"/>
  <c r="B1084" i="1"/>
  <c r="A1084" i="1"/>
  <c r="P1083" i="1"/>
  <c r="O1083" i="1"/>
  <c r="N1083" i="1"/>
  <c r="M1083" i="1"/>
  <c r="L1083" i="1"/>
  <c r="K1083" i="1"/>
  <c r="J1083" i="1"/>
  <c r="I1083" i="1"/>
  <c r="H1083" i="1"/>
  <c r="G1083" i="1"/>
  <c r="F1083" i="1"/>
  <c r="E1083" i="1"/>
  <c r="D1083" i="1"/>
  <c r="C1083" i="1"/>
  <c r="B1083" i="1"/>
  <c r="A1083" i="1"/>
  <c r="P1082" i="1"/>
  <c r="O1082" i="1"/>
  <c r="N1082" i="1"/>
  <c r="M1082" i="1"/>
  <c r="L1082" i="1"/>
  <c r="K1082" i="1"/>
  <c r="J1082" i="1"/>
  <c r="I1082" i="1"/>
  <c r="H1082" i="1"/>
  <c r="G1082" i="1"/>
  <c r="F1082" i="1"/>
  <c r="E1082" i="1"/>
  <c r="D1082" i="1"/>
  <c r="C1082" i="1"/>
  <c r="B1082" i="1"/>
  <c r="A1082" i="1"/>
  <c r="P1081" i="1"/>
  <c r="O1081" i="1"/>
  <c r="N1081" i="1"/>
  <c r="M1081" i="1"/>
  <c r="L1081" i="1"/>
  <c r="K1081" i="1"/>
  <c r="J1081" i="1"/>
  <c r="I1081" i="1"/>
  <c r="H1081" i="1"/>
  <c r="G1081" i="1"/>
  <c r="F1081" i="1"/>
  <c r="E1081" i="1"/>
  <c r="D1081" i="1"/>
  <c r="C1081" i="1"/>
  <c r="B1081" i="1"/>
  <c r="A1081" i="1"/>
  <c r="P1080" i="1"/>
  <c r="O1080" i="1"/>
  <c r="N1080" i="1"/>
  <c r="M1080" i="1"/>
  <c r="L1080" i="1"/>
  <c r="K1080" i="1"/>
  <c r="J1080" i="1"/>
  <c r="I1080" i="1"/>
  <c r="H1080" i="1"/>
  <c r="G1080" i="1"/>
  <c r="F1080" i="1"/>
  <c r="E1080" i="1"/>
  <c r="D1080" i="1"/>
  <c r="C1080" i="1"/>
  <c r="B1080" i="1"/>
  <c r="A1080" i="1"/>
  <c r="P1079" i="1"/>
  <c r="O1079" i="1"/>
  <c r="N1079" i="1"/>
  <c r="M1079" i="1"/>
  <c r="L1079" i="1"/>
  <c r="K1079" i="1"/>
  <c r="J1079" i="1"/>
  <c r="I1079" i="1"/>
  <c r="H1079" i="1"/>
  <c r="G1079" i="1"/>
  <c r="F1079" i="1"/>
  <c r="E1079" i="1"/>
  <c r="D1079" i="1"/>
  <c r="C1079" i="1"/>
  <c r="B1079" i="1"/>
  <c r="A1079" i="1"/>
  <c r="P1078" i="1"/>
  <c r="O1078" i="1"/>
  <c r="N1078" i="1"/>
  <c r="M1078" i="1"/>
  <c r="L1078" i="1"/>
  <c r="K1078" i="1"/>
  <c r="J1078" i="1"/>
  <c r="I1078" i="1"/>
  <c r="H1078" i="1"/>
  <c r="G1078" i="1"/>
  <c r="F1078" i="1"/>
  <c r="E1078" i="1"/>
  <c r="D1078" i="1"/>
  <c r="C1078" i="1"/>
  <c r="B1078" i="1"/>
  <c r="A1078" i="1"/>
  <c r="P1077" i="1"/>
  <c r="O1077" i="1"/>
  <c r="N1077" i="1"/>
  <c r="M1077" i="1"/>
  <c r="L1077" i="1"/>
  <c r="K1077" i="1"/>
  <c r="J1077" i="1"/>
  <c r="I1077" i="1"/>
  <c r="H1077" i="1"/>
  <c r="G1077" i="1"/>
  <c r="F1077" i="1"/>
  <c r="E1077" i="1"/>
  <c r="D1077" i="1"/>
  <c r="C1077" i="1"/>
  <c r="B1077" i="1"/>
  <c r="A1077" i="1"/>
  <c r="P1076" i="1"/>
  <c r="O1076" i="1"/>
  <c r="N1076" i="1"/>
  <c r="M1076" i="1"/>
  <c r="L1076" i="1"/>
  <c r="K1076" i="1"/>
  <c r="J1076" i="1"/>
  <c r="I1076" i="1"/>
  <c r="H1076" i="1"/>
  <c r="G1076" i="1"/>
  <c r="F1076" i="1"/>
  <c r="E1076" i="1"/>
  <c r="D1076" i="1"/>
  <c r="C1076" i="1"/>
  <c r="B1076" i="1"/>
  <c r="A1076" i="1"/>
  <c r="P1075" i="1"/>
  <c r="O1075" i="1"/>
  <c r="N1075" i="1"/>
  <c r="M1075" i="1"/>
  <c r="L1075" i="1"/>
  <c r="K1075" i="1"/>
  <c r="J1075" i="1"/>
  <c r="I1075" i="1"/>
  <c r="H1075" i="1"/>
  <c r="G1075" i="1"/>
  <c r="F1075" i="1"/>
  <c r="E1075" i="1"/>
  <c r="D1075" i="1"/>
  <c r="C1075" i="1"/>
  <c r="B1075" i="1"/>
  <c r="A1075" i="1"/>
  <c r="P1074" i="1"/>
  <c r="O1074" i="1"/>
  <c r="N1074" i="1"/>
  <c r="M1074" i="1"/>
  <c r="L1074" i="1"/>
  <c r="K1074" i="1"/>
  <c r="J1074" i="1"/>
  <c r="I1074" i="1"/>
  <c r="H1074" i="1"/>
  <c r="G1074" i="1"/>
  <c r="F1074" i="1"/>
  <c r="E1074" i="1"/>
  <c r="D1074" i="1"/>
  <c r="C1074" i="1"/>
  <c r="B1074" i="1"/>
  <c r="A1074" i="1"/>
  <c r="P1073" i="1"/>
  <c r="O1073" i="1"/>
  <c r="N1073" i="1"/>
  <c r="M1073" i="1"/>
  <c r="L1073" i="1"/>
  <c r="K1073" i="1"/>
  <c r="J1073" i="1"/>
  <c r="I1073" i="1"/>
  <c r="H1073" i="1"/>
  <c r="G1073" i="1"/>
  <c r="F1073" i="1"/>
  <c r="E1073" i="1"/>
  <c r="D1073" i="1"/>
  <c r="C1073" i="1"/>
  <c r="B1073" i="1"/>
  <c r="A1073" i="1"/>
  <c r="P1072" i="1"/>
  <c r="O1072" i="1"/>
  <c r="N1072" i="1"/>
  <c r="M1072" i="1"/>
  <c r="L1072" i="1"/>
  <c r="K1072" i="1"/>
  <c r="J1072" i="1"/>
  <c r="I1072" i="1"/>
  <c r="H1072" i="1"/>
  <c r="G1072" i="1"/>
  <c r="F1072" i="1"/>
  <c r="E1072" i="1"/>
  <c r="D1072" i="1"/>
  <c r="C1072" i="1"/>
  <c r="B1072" i="1"/>
  <c r="A1072" i="1"/>
  <c r="P1071" i="1"/>
  <c r="O1071" i="1"/>
  <c r="N1071" i="1"/>
  <c r="M1071" i="1"/>
  <c r="L1071" i="1"/>
  <c r="K1071" i="1"/>
  <c r="J1071" i="1"/>
  <c r="I1071" i="1"/>
  <c r="H1071" i="1"/>
  <c r="G1071" i="1"/>
  <c r="F1071" i="1"/>
  <c r="E1071" i="1"/>
  <c r="D1071" i="1"/>
  <c r="C1071" i="1"/>
  <c r="B1071" i="1"/>
  <c r="A1071" i="1"/>
  <c r="P1070" i="1"/>
  <c r="O1070" i="1"/>
  <c r="N1070" i="1"/>
  <c r="M1070" i="1"/>
  <c r="L1070" i="1"/>
  <c r="K1070" i="1"/>
  <c r="J1070" i="1"/>
  <c r="I1070" i="1"/>
  <c r="H1070" i="1"/>
  <c r="G1070" i="1"/>
  <c r="F1070" i="1"/>
  <c r="E1070" i="1"/>
  <c r="D1070" i="1"/>
  <c r="C1070" i="1"/>
  <c r="B1070" i="1"/>
  <c r="A1070" i="1"/>
  <c r="P1069" i="1"/>
  <c r="O1069" i="1"/>
  <c r="N1069" i="1"/>
  <c r="M1069" i="1"/>
  <c r="L1069" i="1"/>
  <c r="K1069" i="1"/>
  <c r="J1069" i="1"/>
  <c r="I1069" i="1"/>
  <c r="H1069" i="1"/>
  <c r="G1069" i="1"/>
  <c r="F1069" i="1"/>
  <c r="E1069" i="1"/>
  <c r="D1069" i="1"/>
  <c r="C1069" i="1"/>
  <c r="B1069" i="1"/>
  <c r="A1069" i="1"/>
  <c r="P1068" i="1"/>
  <c r="O1068" i="1"/>
  <c r="N1068" i="1"/>
  <c r="M1068" i="1"/>
  <c r="L1068" i="1"/>
  <c r="K1068" i="1"/>
  <c r="J1068" i="1"/>
  <c r="I1068" i="1"/>
  <c r="H1068" i="1"/>
  <c r="G1068" i="1"/>
  <c r="F1068" i="1"/>
  <c r="E1068" i="1"/>
  <c r="D1068" i="1"/>
  <c r="C1068" i="1"/>
  <c r="B1068" i="1"/>
  <c r="A1068" i="1"/>
  <c r="P1067" i="1"/>
  <c r="O1067" i="1"/>
  <c r="N1067" i="1"/>
  <c r="M1067" i="1"/>
  <c r="L1067" i="1"/>
  <c r="K1067" i="1"/>
  <c r="J1067" i="1"/>
  <c r="I1067" i="1"/>
  <c r="H1067" i="1"/>
  <c r="G1067" i="1"/>
  <c r="F1067" i="1"/>
  <c r="E1067" i="1"/>
  <c r="D1067" i="1"/>
  <c r="C1067" i="1"/>
  <c r="B1067" i="1"/>
  <c r="A1067" i="1"/>
  <c r="P1066" i="1"/>
  <c r="O1066" i="1"/>
  <c r="N1066" i="1"/>
  <c r="M1066" i="1"/>
  <c r="L1066" i="1"/>
  <c r="K1066" i="1"/>
  <c r="J1066" i="1"/>
  <c r="I1066" i="1"/>
  <c r="H1066" i="1"/>
  <c r="G1066" i="1"/>
  <c r="F1066" i="1"/>
  <c r="E1066" i="1"/>
  <c r="D1066" i="1"/>
  <c r="C1066" i="1"/>
  <c r="B1066" i="1"/>
  <c r="A1066" i="1"/>
  <c r="P1065" i="1"/>
  <c r="O1065" i="1"/>
  <c r="N1065" i="1"/>
  <c r="M1065" i="1"/>
  <c r="L1065" i="1"/>
  <c r="K1065" i="1"/>
  <c r="J1065" i="1"/>
  <c r="I1065" i="1"/>
  <c r="H1065" i="1"/>
  <c r="G1065" i="1"/>
  <c r="F1065" i="1"/>
  <c r="E1065" i="1"/>
  <c r="D1065" i="1"/>
  <c r="C1065" i="1"/>
  <c r="B1065" i="1"/>
  <c r="A1065" i="1"/>
  <c r="P1064" i="1"/>
  <c r="O1064" i="1"/>
  <c r="N1064" i="1"/>
  <c r="M1064" i="1"/>
  <c r="L1064" i="1"/>
  <c r="K1064" i="1"/>
  <c r="J1064" i="1"/>
  <c r="I1064" i="1"/>
  <c r="H1064" i="1"/>
  <c r="G1064" i="1"/>
  <c r="F1064" i="1"/>
  <c r="E1064" i="1"/>
  <c r="D1064" i="1"/>
  <c r="C1064" i="1"/>
  <c r="B1064" i="1"/>
  <c r="A1064" i="1"/>
  <c r="P1063" i="1"/>
  <c r="O1063" i="1"/>
  <c r="N1063" i="1"/>
  <c r="M1063" i="1"/>
  <c r="L1063" i="1"/>
  <c r="K1063" i="1"/>
  <c r="J1063" i="1"/>
  <c r="I1063" i="1"/>
  <c r="H1063" i="1"/>
  <c r="G1063" i="1"/>
  <c r="F1063" i="1"/>
  <c r="E1063" i="1"/>
  <c r="D1063" i="1"/>
  <c r="C1063" i="1"/>
  <c r="B1063" i="1"/>
  <c r="A1063" i="1"/>
  <c r="P1062" i="1"/>
  <c r="O1062" i="1"/>
  <c r="N1062" i="1"/>
  <c r="M1062" i="1"/>
  <c r="L1062" i="1"/>
  <c r="K1062" i="1"/>
  <c r="J1062" i="1"/>
  <c r="I1062" i="1"/>
  <c r="H1062" i="1"/>
  <c r="G1062" i="1"/>
  <c r="F1062" i="1"/>
  <c r="E1062" i="1"/>
  <c r="D1062" i="1"/>
  <c r="C1062" i="1"/>
  <c r="B1062" i="1"/>
  <c r="A1062" i="1"/>
  <c r="P1061" i="1"/>
  <c r="O1061" i="1"/>
  <c r="N1061" i="1"/>
  <c r="M1061" i="1"/>
  <c r="L1061" i="1"/>
  <c r="K1061" i="1"/>
  <c r="J1061" i="1"/>
  <c r="I1061" i="1"/>
  <c r="H1061" i="1"/>
  <c r="G1061" i="1"/>
  <c r="F1061" i="1"/>
  <c r="E1061" i="1"/>
  <c r="D1061" i="1"/>
  <c r="C1061" i="1"/>
  <c r="B1061" i="1"/>
  <c r="A1061" i="1"/>
  <c r="P1060" i="1"/>
  <c r="O1060" i="1"/>
  <c r="N1060" i="1"/>
  <c r="M1060" i="1"/>
  <c r="L1060" i="1"/>
  <c r="K1060" i="1"/>
  <c r="J1060" i="1"/>
  <c r="I1060" i="1"/>
  <c r="H1060" i="1"/>
  <c r="G1060" i="1"/>
  <c r="F1060" i="1"/>
  <c r="E1060" i="1"/>
  <c r="D1060" i="1"/>
  <c r="C1060" i="1"/>
  <c r="B1060" i="1"/>
  <c r="A1060" i="1"/>
  <c r="P1059" i="1"/>
  <c r="O1059" i="1"/>
  <c r="N1059" i="1"/>
  <c r="M1059" i="1"/>
  <c r="L1059" i="1"/>
  <c r="K1059" i="1"/>
  <c r="J1059" i="1"/>
  <c r="I1059" i="1"/>
  <c r="H1059" i="1"/>
  <c r="G1059" i="1"/>
  <c r="F1059" i="1"/>
  <c r="E1059" i="1"/>
  <c r="D1059" i="1"/>
  <c r="C1059" i="1"/>
  <c r="B1059" i="1"/>
  <c r="A1059" i="1"/>
  <c r="P1058" i="1"/>
  <c r="O1058" i="1"/>
  <c r="N1058" i="1"/>
  <c r="M1058" i="1"/>
  <c r="L1058" i="1"/>
  <c r="K1058" i="1"/>
  <c r="J1058" i="1"/>
  <c r="I1058" i="1"/>
  <c r="H1058" i="1"/>
  <c r="G1058" i="1"/>
  <c r="F1058" i="1"/>
  <c r="E1058" i="1"/>
  <c r="D1058" i="1"/>
  <c r="C1058" i="1"/>
  <c r="B1058" i="1"/>
  <c r="A1058" i="1"/>
  <c r="P1057" i="1"/>
  <c r="O1057" i="1"/>
  <c r="N1057" i="1"/>
  <c r="M1057" i="1"/>
  <c r="L1057" i="1"/>
  <c r="K1057" i="1"/>
  <c r="J1057" i="1"/>
  <c r="I1057" i="1"/>
  <c r="H1057" i="1"/>
  <c r="G1057" i="1"/>
  <c r="F1057" i="1"/>
  <c r="E1057" i="1"/>
  <c r="D1057" i="1"/>
  <c r="C1057" i="1"/>
  <c r="B1057" i="1"/>
  <c r="A1057" i="1"/>
  <c r="P1056" i="1"/>
  <c r="O1056" i="1"/>
  <c r="N1056" i="1"/>
  <c r="M1056" i="1"/>
  <c r="L1056" i="1"/>
  <c r="K1056" i="1"/>
  <c r="J1056" i="1"/>
  <c r="I1056" i="1"/>
  <c r="H1056" i="1"/>
  <c r="G1056" i="1"/>
  <c r="F1056" i="1"/>
  <c r="E1056" i="1"/>
  <c r="D1056" i="1"/>
  <c r="C1056" i="1"/>
  <c r="B1056" i="1"/>
  <c r="A1056" i="1"/>
  <c r="P1055" i="1"/>
  <c r="O1055" i="1"/>
  <c r="N1055" i="1"/>
  <c r="M1055" i="1"/>
  <c r="L1055" i="1"/>
  <c r="K1055" i="1"/>
  <c r="J1055" i="1"/>
  <c r="I1055" i="1"/>
  <c r="H1055" i="1"/>
  <c r="G1055" i="1"/>
  <c r="F1055" i="1"/>
  <c r="E1055" i="1"/>
  <c r="D1055" i="1"/>
  <c r="C1055" i="1"/>
  <c r="B1055" i="1"/>
  <c r="A1055" i="1"/>
  <c r="P1054" i="1"/>
  <c r="O1054" i="1"/>
  <c r="N1054" i="1"/>
  <c r="M1054" i="1"/>
  <c r="L1054" i="1"/>
  <c r="K1054" i="1"/>
  <c r="J1054" i="1"/>
  <c r="I1054" i="1"/>
  <c r="H1054" i="1"/>
  <c r="G1054" i="1"/>
  <c r="F1054" i="1"/>
  <c r="E1054" i="1"/>
  <c r="D1054" i="1"/>
  <c r="C1054" i="1"/>
  <c r="B1054" i="1"/>
  <c r="A1054" i="1"/>
  <c r="P1053" i="1"/>
  <c r="O1053" i="1"/>
  <c r="N1053" i="1"/>
  <c r="M1053" i="1"/>
  <c r="L1053" i="1"/>
  <c r="K1053" i="1"/>
  <c r="J1053" i="1"/>
  <c r="I1053" i="1"/>
  <c r="H1053" i="1"/>
  <c r="G1053" i="1"/>
  <c r="F1053" i="1"/>
  <c r="E1053" i="1"/>
  <c r="D1053" i="1"/>
  <c r="C1053" i="1"/>
  <c r="B1053" i="1"/>
  <c r="A1053" i="1"/>
  <c r="P1052" i="1"/>
  <c r="O1052" i="1"/>
  <c r="N1052" i="1"/>
  <c r="M1052" i="1"/>
  <c r="L1052" i="1"/>
  <c r="K1052" i="1"/>
  <c r="J1052" i="1"/>
  <c r="I1052" i="1"/>
  <c r="H1052" i="1"/>
  <c r="G1052" i="1"/>
  <c r="F1052" i="1"/>
  <c r="E1052" i="1"/>
  <c r="D1052" i="1"/>
  <c r="C1052" i="1"/>
  <c r="B1052" i="1"/>
  <c r="A1052" i="1"/>
  <c r="P1051" i="1"/>
  <c r="O1051" i="1"/>
  <c r="N1051" i="1"/>
  <c r="M1051" i="1"/>
  <c r="L1051" i="1"/>
  <c r="K1051" i="1"/>
  <c r="J1051" i="1"/>
  <c r="I1051" i="1"/>
  <c r="H1051" i="1"/>
  <c r="G1051" i="1"/>
  <c r="F1051" i="1"/>
  <c r="E1051" i="1"/>
  <c r="D1051" i="1"/>
  <c r="C1051" i="1"/>
  <c r="B1051" i="1"/>
  <c r="A1051" i="1"/>
  <c r="P1050" i="1"/>
  <c r="O1050" i="1"/>
  <c r="N1050" i="1"/>
  <c r="M1050" i="1"/>
  <c r="L1050" i="1"/>
  <c r="K1050" i="1"/>
  <c r="J1050" i="1"/>
  <c r="I1050" i="1"/>
  <c r="H1050" i="1"/>
  <c r="G1050" i="1"/>
  <c r="F1050" i="1"/>
  <c r="E1050" i="1"/>
  <c r="D1050" i="1"/>
  <c r="C1050" i="1"/>
  <c r="B1050" i="1"/>
  <c r="A1050" i="1"/>
  <c r="P1049" i="1"/>
  <c r="O1049" i="1"/>
  <c r="N1049" i="1"/>
  <c r="M1049" i="1"/>
  <c r="L1049" i="1"/>
  <c r="K1049" i="1"/>
  <c r="J1049" i="1"/>
  <c r="I1049" i="1"/>
  <c r="H1049" i="1"/>
  <c r="G1049" i="1"/>
  <c r="F1049" i="1"/>
  <c r="E1049" i="1"/>
  <c r="D1049" i="1"/>
  <c r="C1049" i="1"/>
  <c r="B1049" i="1"/>
  <c r="A1049" i="1"/>
  <c r="P1048" i="1"/>
  <c r="O1048" i="1"/>
  <c r="N1048" i="1"/>
  <c r="M1048" i="1"/>
  <c r="L1048" i="1"/>
  <c r="K1048" i="1"/>
  <c r="J1048" i="1"/>
  <c r="I1048" i="1"/>
  <c r="H1048" i="1"/>
  <c r="G1048" i="1"/>
  <c r="F1048" i="1"/>
  <c r="E1048" i="1"/>
  <c r="D1048" i="1"/>
  <c r="C1048" i="1"/>
  <c r="B1048" i="1"/>
  <c r="A1048" i="1"/>
  <c r="P1047" i="1"/>
  <c r="O1047" i="1"/>
  <c r="N1047" i="1"/>
  <c r="M1047" i="1"/>
  <c r="L1047" i="1"/>
  <c r="K1047" i="1"/>
  <c r="J1047" i="1"/>
  <c r="I1047" i="1"/>
  <c r="H1047" i="1"/>
  <c r="G1047" i="1"/>
  <c r="F1047" i="1"/>
  <c r="E1047" i="1"/>
  <c r="D1047" i="1"/>
  <c r="C1047" i="1"/>
  <c r="B1047" i="1"/>
  <c r="A1047" i="1"/>
  <c r="P1046" i="1"/>
  <c r="O1046" i="1"/>
  <c r="N1046" i="1"/>
  <c r="M1046" i="1"/>
  <c r="L1046" i="1"/>
  <c r="K1046" i="1"/>
  <c r="J1046" i="1"/>
  <c r="I1046" i="1"/>
  <c r="H1046" i="1"/>
  <c r="G1046" i="1"/>
  <c r="F1046" i="1"/>
  <c r="E1046" i="1"/>
  <c r="D1046" i="1"/>
  <c r="C1046" i="1"/>
  <c r="B1046" i="1"/>
  <c r="A1046" i="1"/>
  <c r="P1045" i="1"/>
  <c r="O1045" i="1"/>
  <c r="N1045" i="1"/>
  <c r="M1045" i="1"/>
  <c r="L1045" i="1"/>
  <c r="K1045" i="1"/>
  <c r="J1045" i="1"/>
  <c r="I1045" i="1"/>
  <c r="H1045" i="1"/>
  <c r="G1045" i="1"/>
  <c r="F1045" i="1"/>
  <c r="E1045" i="1"/>
  <c r="D1045" i="1"/>
  <c r="C1045" i="1"/>
  <c r="B1045" i="1"/>
  <c r="A1045" i="1"/>
  <c r="P1044" i="1"/>
  <c r="O1044" i="1"/>
  <c r="N1044" i="1"/>
  <c r="M1044" i="1"/>
  <c r="L1044" i="1"/>
  <c r="K1044" i="1"/>
  <c r="J1044" i="1"/>
  <c r="I1044" i="1"/>
  <c r="H1044" i="1"/>
  <c r="G1044" i="1"/>
  <c r="F1044" i="1"/>
  <c r="E1044" i="1"/>
  <c r="D1044" i="1"/>
  <c r="C1044" i="1"/>
  <c r="B1044" i="1"/>
  <c r="A1044" i="1"/>
  <c r="P1043" i="1"/>
  <c r="O1043" i="1"/>
  <c r="N1043" i="1"/>
  <c r="M1043" i="1"/>
  <c r="L1043" i="1"/>
  <c r="K1043" i="1"/>
  <c r="J1043" i="1"/>
  <c r="I1043" i="1"/>
  <c r="H1043" i="1"/>
  <c r="G1043" i="1"/>
  <c r="F1043" i="1"/>
  <c r="E1043" i="1"/>
  <c r="D1043" i="1"/>
  <c r="C1043" i="1"/>
  <c r="B1043" i="1"/>
  <c r="A1043" i="1"/>
  <c r="P1042" i="1"/>
  <c r="O1042" i="1"/>
  <c r="N1042" i="1"/>
  <c r="M1042" i="1"/>
  <c r="L1042" i="1"/>
  <c r="K1042" i="1"/>
  <c r="J1042" i="1"/>
  <c r="I1042" i="1"/>
  <c r="H1042" i="1"/>
  <c r="G1042" i="1"/>
  <c r="F1042" i="1"/>
  <c r="E1042" i="1"/>
  <c r="D1042" i="1"/>
  <c r="C1042" i="1"/>
  <c r="B1042" i="1"/>
  <c r="A1042" i="1"/>
  <c r="P1041" i="1"/>
  <c r="O1041" i="1"/>
  <c r="N1041" i="1"/>
  <c r="M1041" i="1"/>
  <c r="L1041" i="1"/>
  <c r="K1041" i="1"/>
  <c r="J1041" i="1"/>
  <c r="I1041" i="1"/>
  <c r="H1041" i="1"/>
  <c r="G1041" i="1"/>
  <c r="F1041" i="1"/>
  <c r="E1041" i="1"/>
  <c r="D1041" i="1"/>
  <c r="C1041" i="1"/>
  <c r="B1041" i="1"/>
  <c r="A1041" i="1"/>
  <c r="P1040" i="1"/>
  <c r="O1040" i="1"/>
  <c r="N1040" i="1"/>
  <c r="M1040" i="1"/>
  <c r="L1040" i="1"/>
  <c r="K1040" i="1"/>
  <c r="J1040" i="1"/>
  <c r="I1040" i="1"/>
  <c r="H1040" i="1"/>
  <c r="G1040" i="1"/>
  <c r="F1040" i="1"/>
  <c r="E1040" i="1"/>
  <c r="D1040" i="1"/>
  <c r="C1040" i="1"/>
  <c r="B1040" i="1"/>
  <c r="A1040" i="1"/>
  <c r="P1039" i="1"/>
  <c r="O1039" i="1"/>
  <c r="N1039" i="1"/>
  <c r="M1039" i="1"/>
  <c r="L1039" i="1"/>
  <c r="K1039" i="1"/>
  <c r="J1039" i="1"/>
  <c r="I1039" i="1"/>
  <c r="H1039" i="1"/>
  <c r="G1039" i="1"/>
  <c r="F1039" i="1"/>
  <c r="E1039" i="1"/>
  <c r="D1039" i="1"/>
  <c r="C1039" i="1"/>
  <c r="B1039" i="1"/>
  <c r="A1039" i="1"/>
  <c r="P1038" i="1"/>
  <c r="O1038" i="1"/>
  <c r="N1038" i="1"/>
  <c r="M1038" i="1"/>
  <c r="L1038" i="1"/>
  <c r="K1038" i="1"/>
  <c r="J1038" i="1"/>
  <c r="I1038" i="1"/>
  <c r="H1038" i="1"/>
  <c r="G1038" i="1"/>
  <c r="F1038" i="1"/>
  <c r="E1038" i="1"/>
  <c r="D1038" i="1"/>
  <c r="C1038" i="1"/>
  <c r="B1038" i="1"/>
  <c r="A1038" i="1"/>
  <c r="P1037" i="1"/>
  <c r="O1037" i="1"/>
  <c r="N1037" i="1"/>
  <c r="M1037" i="1"/>
  <c r="L1037" i="1"/>
  <c r="K1037" i="1"/>
  <c r="J1037" i="1"/>
  <c r="I1037" i="1"/>
  <c r="H1037" i="1"/>
  <c r="G1037" i="1"/>
  <c r="F1037" i="1"/>
  <c r="E1037" i="1"/>
  <c r="D1037" i="1"/>
  <c r="C1037" i="1"/>
  <c r="B1037" i="1"/>
  <c r="A1037" i="1"/>
  <c r="P1036" i="1"/>
  <c r="O1036" i="1"/>
  <c r="N1036" i="1"/>
  <c r="M1036" i="1"/>
  <c r="L1036" i="1"/>
  <c r="K1036" i="1"/>
  <c r="J1036" i="1"/>
  <c r="I1036" i="1"/>
  <c r="H1036" i="1"/>
  <c r="G1036" i="1"/>
  <c r="F1036" i="1"/>
  <c r="E1036" i="1"/>
  <c r="D1036" i="1"/>
  <c r="C1036" i="1"/>
  <c r="B1036" i="1"/>
  <c r="A1036" i="1"/>
  <c r="P1035" i="1"/>
  <c r="O1035" i="1"/>
  <c r="N1035" i="1"/>
  <c r="M1035" i="1"/>
  <c r="L1035" i="1"/>
  <c r="K1035" i="1"/>
  <c r="J1035" i="1"/>
  <c r="I1035" i="1"/>
  <c r="H1035" i="1"/>
  <c r="G1035" i="1"/>
  <c r="F1035" i="1"/>
  <c r="E1035" i="1"/>
  <c r="D1035" i="1"/>
  <c r="C1035" i="1"/>
  <c r="B1035" i="1"/>
  <c r="A1035" i="1"/>
  <c r="P1034" i="1"/>
  <c r="O1034" i="1"/>
  <c r="N1034" i="1"/>
  <c r="M1034" i="1"/>
  <c r="L1034" i="1"/>
  <c r="K1034" i="1"/>
  <c r="J1034" i="1"/>
  <c r="I1034" i="1"/>
  <c r="H1034" i="1"/>
  <c r="G1034" i="1"/>
  <c r="F1034" i="1"/>
  <c r="E1034" i="1"/>
  <c r="D1034" i="1"/>
  <c r="C1034" i="1"/>
  <c r="B1034" i="1"/>
  <c r="A1034" i="1"/>
  <c r="P1033" i="1"/>
  <c r="O1033" i="1"/>
  <c r="N1033" i="1"/>
  <c r="M1033" i="1"/>
  <c r="L1033" i="1"/>
  <c r="K1033" i="1"/>
  <c r="J1033" i="1"/>
  <c r="I1033" i="1"/>
  <c r="H1033" i="1"/>
  <c r="G1033" i="1"/>
  <c r="F1033" i="1"/>
  <c r="E1033" i="1"/>
  <c r="D1033" i="1"/>
  <c r="C1033" i="1"/>
  <c r="B1033" i="1"/>
  <c r="A1033" i="1"/>
  <c r="P1032" i="1"/>
  <c r="O1032" i="1"/>
  <c r="N1032" i="1"/>
  <c r="M1032" i="1"/>
  <c r="L1032" i="1"/>
  <c r="K1032" i="1"/>
  <c r="J1032" i="1"/>
  <c r="I1032" i="1"/>
  <c r="H1032" i="1"/>
  <c r="G1032" i="1"/>
  <c r="F1032" i="1"/>
  <c r="E1032" i="1"/>
  <c r="D1032" i="1"/>
  <c r="C1032" i="1"/>
  <c r="B1032" i="1"/>
  <c r="A1032" i="1"/>
  <c r="P1031" i="1"/>
  <c r="O1031" i="1"/>
  <c r="N1031" i="1"/>
  <c r="M1031" i="1"/>
  <c r="L1031" i="1"/>
  <c r="K1031" i="1"/>
  <c r="J1031" i="1"/>
  <c r="I1031" i="1"/>
  <c r="H1031" i="1"/>
  <c r="G1031" i="1"/>
  <c r="F1031" i="1"/>
  <c r="E1031" i="1"/>
  <c r="D1031" i="1"/>
  <c r="C1031" i="1"/>
  <c r="B1031" i="1"/>
  <c r="A1031" i="1"/>
  <c r="P1030" i="1"/>
  <c r="O1030" i="1"/>
  <c r="N1030" i="1"/>
  <c r="M1030" i="1"/>
  <c r="L1030" i="1"/>
  <c r="K1030" i="1"/>
  <c r="J1030" i="1"/>
  <c r="I1030" i="1"/>
  <c r="H1030" i="1"/>
  <c r="G1030" i="1"/>
  <c r="F1030" i="1"/>
  <c r="E1030" i="1"/>
  <c r="D1030" i="1"/>
  <c r="C1030" i="1"/>
  <c r="B1030" i="1"/>
  <c r="A1030" i="1"/>
  <c r="P1029" i="1"/>
  <c r="O1029" i="1"/>
  <c r="N1029" i="1"/>
  <c r="M1029" i="1"/>
  <c r="L1029" i="1"/>
  <c r="K1029" i="1"/>
  <c r="J1029" i="1"/>
  <c r="I1029" i="1"/>
  <c r="H1029" i="1"/>
  <c r="G1029" i="1"/>
  <c r="F1029" i="1"/>
  <c r="E1029" i="1"/>
  <c r="D1029" i="1"/>
  <c r="C1029" i="1"/>
  <c r="B1029" i="1"/>
  <c r="A1029" i="1"/>
  <c r="P1028" i="1"/>
  <c r="O1028" i="1"/>
  <c r="N1028" i="1"/>
  <c r="M1028" i="1"/>
  <c r="L1028" i="1"/>
  <c r="K1028" i="1"/>
  <c r="J1028" i="1"/>
  <c r="I1028" i="1"/>
  <c r="H1028" i="1"/>
  <c r="G1028" i="1"/>
  <c r="F1028" i="1"/>
  <c r="E1028" i="1"/>
  <c r="D1028" i="1"/>
  <c r="C1028" i="1"/>
  <c r="B1028" i="1"/>
  <c r="A1028" i="1"/>
  <c r="P1027" i="1"/>
  <c r="O1027" i="1"/>
  <c r="N1027" i="1"/>
  <c r="M1027" i="1"/>
  <c r="L1027" i="1"/>
  <c r="K1027" i="1"/>
  <c r="J1027" i="1"/>
  <c r="I1027" i="1"/>
  <c r="H1027" i="1"/>
  <c r="G1027" i="1"/>
  <c r="F1027" i="1"/>
  <c r="E1027" i="1"/>
  <c r="D1027" i="1"/>
  <c r="C1027" i="1"/>
  <c r="B1027" i="1"/>
  <c r="A1027" i="1"/>
  <c r="P1026" i="1"/>
  <c r="O1026" i="1"/>
  <c r="N1026" i="1"/>
  <c r="M1026" i="1"/>
  <c r="L1026" i="1"/>
  <c r="K1026" i="1"/>
  <c r="J1026" i="1"/>
  <c r="I1026" i="1"/>
  <c r="H1026" i="1"/>
  <c r="G1026" i="1"/>
  <c r="F1026" i="1"/>
  <c r="E1026" i="1"/>
  <c r="D1026" i="1"/>
  <c r="C1026" i="1"/>
  <c r="B1026" i="1"/>
  <c r="A1026" i="1"/>
  <c r="P1025" i="1"/>
  <c r="O1025" i="1"/>
  <c r="N1025" i="1"/>
  <c r="M1025" i="1"/>
  <c r="L1025" i="1"/>
  <c r="K1025" i="1"/>
  <c r="J1025" i="1"/>
  <c r="I1025" i="1"/>
  <c r="H1025" i="1"/>
  <c r="G1025" i="1"/>
  <c r="F1025" i="1"/>
  <c r="E1025" i="1"/>
  <c r="D1025" i="1"/>
  <c r="C1025" i="1"/>
  <c r="B1025" i="1"/>
  <c r="A1025" i="1"/>
  <c r="P1024" i="1"/>
  <c r="O1024" i="1"/>
  <c r="N1024" i="1"/>
  <c r="M1024" i="1"/>
  <c r="L1024" i="1"/>
  <c r="K1024" i="1"/>
  <c r="J1024" i="1"/>
  <c r="I1024" i="1"/>
  <c r="H1024" i="1"/>
  <c r="G1024" i="1"/>
  <c r="F1024" i="1"/>
  <c r="E1024" i="1"/>
  <c r="D1024" i="1"/>
  <c r="C1024" i="1"/>
  <c r="B1024" i="1"/>
  <c r="A1024" i="1"/>
  <c r="P1023" i="1"/>
  <c r="O1023" i="1"/>
  <c r="N1023" i="1"/>
  <c r="M1023" i="1"/>
  <c r="L1023" i="1"/>
  <c r="K1023" i="1"/>
  <c r="J1023" i="1"/>
  <c r="I1023" i="1"/>
  <c r="H1023" i="1"/>
  <c r="G1023" i="1"/>
  <c r="F1023" i="1"/>
  <c r="E1023" i="1"/>
  <c r="D1023" i="1"/>
  <c r="C1023" i="1"/>
  <c r="B1023" i="1"/>
  <c r="A1023" i="1"/>
  <c r="P1022" i="1"/>
  <c r="O1022" i="1"/>
  <c r="N1022" i="1"/>
  <c r="M1022" i="1"/>
  <c r="L1022" i="1"/>
  <c r="K1022" i="1"/>
  <c r="J1022" i="1"/>
  <c r="I1022" i="1"/>
  <c r="H1022" i="1"/>
  <c r="G1022" i="1"/>
  <c r="F1022" i="1"/>
  <c r="E1022" i="1"/>
  <c r="D1022" i="1"/>
  <c r="C1022" i="1"/>
  <c r="B1022" i="1"/>
  <c r="A1022" i="1"/>
  <c r="P1021" i="1"/>
  <c r="O1021" i="1"/>
  <c r="N1021" i="1"/>
  <c r="M1021" i="1"/>
  <c r="L1021" i="1"/>
  <c r="K1021" i="1"/>
  <c r="J1021" i="1"/>
  <c r="I1021" i="1"/>
  <c r="H1021" i="1"/>
  <c r="G1021" i="1"/>
  <c r="F1021" i="1"/>
  <c r="E1021" i="1"/>
  <c r="D1021" i="1"/>
  <c r="C1021" i="1"/>
  <c r="B1021" i="1"/>
  <c r="A1021" i="1"/>
  <c r="P1020" i="1"/>
  <c r="O1020" i="1"/>
  <c r="N1020" i="1"/>
  <c r="M1020" i="1"/>
  <c r="L1020" i="1"/>
  <c r="K1020" i="1"/>
  <c r="J1020" i="1"/>
  <c r="I1020" i="1"/>
  <c r="H1020" i="1"/>
  <c r="G1020" i="1"/>
  <c r="F1020" i="1"/>
  <c r="E1020" i="1"/>
  <c r="D1020" i="1"/>
  <c r="C1020" i="1"/>
  <c r="B1020" i="1"/>
  <c r="A1020" i="1"/>
  <c r="P1019" i="1"/>
  <c r="O1019" i="1"/>
  <c r="N1019" i="1"/>
  <c r="M1019" i="1"/>
  <c r="L1019" i="1"/>
  <c r="K1019" i="1"/>
  <c r="J1019" i="1"/>
  <c r="I1019" i="1"/>
  <c r="H1019" i="1"/>
  <c r="G1019" i="1"/>
  <c r="F1019" i="1"/>
  <c r="E1019" i="1"/>
  <c r="D1019" i="1"/>
  <c r="C1019" i="1"/>
  <c r="B1019" i="1"/>
  <c r="A1019" i="1"/>
  <c r="P1018" i="1"/>
  <c r="O1018" i="1"/>
  <c r="N1018" i="1"/>
  <c r="M1018" i="1"/>
  <c r="L1018" i="1"/>
  <c r="K1018" i="1"/>
  <c r="J1018" i="1"/>
  <c r="I1018" i="1"/>
  <c r="H1018" i="1"/>
  <c r="G1018" i="1"/>
  <c r="F1018" i="1"/>
  <c r="E1018" i="1"/>
  <c r="D1018" i="1"/>
  <c r="C1018" i="1"/>
  <c r="B1018" i="1"/>
  <c r="A1018" i="1"/>
  <c r="P1017" i="1"/>
  <c r="O1017" i="1"/>
  <c r="N1017" i="1"/>
  <c r="M1017" i="1"/>
  <c r="L1017" i="1"/>
  <c r="K1017" i="1"/>
  <c r="J1017" i="1"/>
  <c r="I1017" i="1"/>
  <c r="H1017" i="1"/>
  <c r="G1017" i="1"/>
  <c r="F1017" i="1"/>
  <c r="E1017" i="1"/>
  <c r="D1017" i="1"/>
  <c r="C1017" i="1"/>
  <c r="B1017" i="1"/>
  <c r="A1017" i="1"/>
  <c r="P1016" i="1"/>
  <c r="O1016" i="1"/>
  <c r="N1016" i="1"/>
  <c r="M1016" i="1"/>
  <c r="L1016" i="1"/>
  <c r="K1016" i="1"/>
  <c r="J1016" i="1"/>
  <c r="I1016" i="1"/>
  <c r="H1016" i="1"/>
  <c r="G1016" i="1"/>
  <c r="F1016" i="1"/>
  <c r="E1016" i="1"/>
  <c r="D1016" i="1"/>
  <c r="C1016" i="1"/>
  <c r="B1016" i="1"/>
  <c r="A1016" i="1"/>
  <c r="P1015" i="1"/>
  <c r="O1015" i="1"/>
  <c r="N1015" i="1"/>
  <c r="M1015" i="1"/>
  <c r="L1015" i="1"/>
  <c r="K1015" i="1"/>
  <c r="J1015" i="1"/>
  <c r="I1015" i="1"/>
  <c r="H1015" i="1"/>
  <c r="G1015" i="1"/>
  <c r="F1015" i="1"/>
  <c r="E1015" i="1"/>
  <c r="D1015" i="1"/>
  <c r="C1015" i="1"/>
  <c r="B1015" i="1"/>
  <c r="A1015" i="1"/>
  <c r="P1014" i="1"/>
  <c r="O1014" i="1"/>
  <c r="N1014" i="1"/>
  <c r="M1014" i="1"/>
  <c r="L1014" i="1"/>
  <c r="K1014" i="1"/>
  <c r="J1014" i="1"/>
  <c r="I1014" i="1"/>
  <c r="H1014" i="1"/>
  <c r="G1014" i="1"/>
  <c r="F1014" i="1"/>
  <c r="E1014" i="1"/>
  <c r="D1014" i="1"/>
  <c r="C1014" i="1"/>
  <c r="B1014" i="1"/>
  <c r="A1014" i="1"/>
  <c r="P1013" i="1"/>
  <c r="O1013" i="1"/>
  <c r="N1013" i="1"/>
  <c r="M1013" i="1"/>
  <c r="L1013" i="1"/>
  <c r="K1013" i="1"/>
  <c r="J1013" i="1"/>
  <c r="I1013" i="1"/>
  <c r="H1013" i="1"/>
  <c r="G1013" i="1"/>
  <c r="F1013" i="1"/>
  <c r="E1013" i="1"/>
  <c r="D1013" i="1"/>
  <c r="C1013" i="1"/>
  <c r="B1013" i="1"/>
  <c r="A1013" i="1"/>
  <c r="P1012" i="1"/>
  <c r="O1012" i="1"/>
  <c r="N1012" i="1"/>
  <c r="M1012" i="1"/>
  <c r="L1012" i="1"/>
  <c r="K1012" i="1"/>
  <c r="J1012" i="1"/>
  <c r="I1012" i="1"/>
  <c r="H1012" i="1"/>
  <c r="G1012" i="1"/>
  <c r="F1012" i="1"/>
  <c r="E1012" i="1"/>
  <c r="D1012" i="1"/>
  <c r="C1012" i="1"/>
  <c r="B1012" i="1"/>
  <c r="A1012" i="1"/>
  <c r="P1011" i="1"/>
  <c r="O1011" i="1"/>
  <c r="N1011" i="1"/>
  <c r="M1011" i="1"/>
  <c r="L1011" i="1"/>
  <c r="K1011" i="1"/>
  <c r="J1011" i="1"/>
  <c r="I1011" i="1"/>
  <c r="H1011" i="1"/>
  <c r="G1011" i="1"/>
  <c r="F1011" i="1"/>
  <c r="E1011" i="1"/>
  <c r="D1011" i="1"/>
  <c r="C1011" i="1"/>
  <c r="B1011" i="1"/>
  <c r="A1011" i="1"/>
  <c r="P1010" i="1"/>
  <c r="O1010" i="1"/>
  <c r="N1010" i="1"/>
  <c r="M1010" i="1"/>
  <c r="L1010" i="1"/>
  <c r="K1010" i="1"/>
  <c r="J1010" i="1"/>
  <c r="I1010" i="1"/>
  <c r="H1010" i="1"/>
  <c r="G1010" i="1"/>
  <c r="F1010" i="1"/>
  <c r="E1010" i="1"/>
  <c r="D1010" i="1"/>
  <c r="C1010" i="1"/>
  <c r="B1010" i="1"/>
  <c r="A1010" i="1"/>
  <c r="P1009" i="1"/>
  <c r="O1009" i="1"/>
  <c r="N1009" i="1"/>
  <c r="M1009" i="1"/>
  <c r="L1009" i="1"/>
  <c r="K1009" i="1"/>
  <c r="J1009" i="1"/>
  <c r="I1009" i="1"/>
  <c r="H1009" i="1"/>
  <c r="G1009" i="1"/>
  <c r="F1009" i="1"/>
  <c r="E1009" i="1"/>
  <c r="D1009" i="1"/>
  <c r="C1009" i="1"/>
  <c r="B1009" i="1"/>
  <c r="A1009" i="1"/>
  <c r="P1008" i="1"/>
  <c r="O1008" i="1"/>
  <c r="N1008" i="1"/>
  <c r="M1008" i="1"/>
  <c r="L1008" i="1"/>
  <c r="K1008" i="1"/>
  <c r="J1008" i="1"/>
  <c r="I1008" i="1"/>
  <c r="H1008" i="1"/>
  <c r="G1008" i="1"/>
  <c r="F1008" i="1"/>
  <c r="E1008" i="1"/>
  <c r="D1008" i="1"/>
  <c r="C1008" i="1"/>
  <c r="B1008" i="1"/>
  <c r="A1008" i="1"/>
  <c r="P1007" i="1"/>
  <c r="O1007" i="1"/>
  <c r="N1007" i="1"/>
  <c r="M1007" i="1"/>
  <c r="L1007" i="1"/>
  <c r="K1007" i="1"/>
  <c r="J1007" i="1"/>
  <c r="I1007" i="1"/>
  <c r="H1007" i="1"/>
  <c r="G1007" i="1"/>
  <c r="F1007" i="1"/>
  <c r="E1007" i="1"/>
  <c r="D1007" i="1"/>
  <c r="C1007" i="1"/>
  <c r="B1007" i="1"/>
  <c r="A1007" i="1"/>
  <c r="P1006" i="1"/>
  <c r="O1006" i="1"/>
  <c r="N1006" i="1"/>
  <c r="M1006" i="1"/>
  <c r="L1006" i="1"/>
  <c r="K1006" i="1"/>
  <c r="J1006" i="1"/>
  <c r="I1006" i="1"/>
  <c r="H1006" i="1"/>
  <c r="G1006" i="1"/>
  <c r="F1006" i="1"/>
  <c r="E1006" i="1"/>
  <c r="D1006" i="1"/>
  <c r="C1006" i="1"/>
  <c r="B1006" i="1"/>
  <c r="A1006" i="1"/>
  <c r="P1005" i="1"/>
  <c r="O1005" i="1"/>
  <c r="N1005" i="1"/>
  <c r="M1005" i="1"/>
  <c r="L1005" i="1"/>
  <c r="K1005" i="1"/>
  <c r="J1005" i="1"/>
  <c r="I1005" i="1"/>
  <c r="H1005" i="1"/>
  <c r="G1005" i="1"/>
  <c r="F1005" i="1"/>
  <c r="E1005" i="1"/>
  <c r="D1005" i="1"/>
  <c r="C1005" i="1"/>
  <c r="B1005" i="1"/>
  <c r="A1005" i="1"/>
  <c r="P1004" i="1"/>
  <c r="O1004" i="1"/>
  <c r="N1004" i="1"/>
  <c r="M1004" i="1"/>
  <c r="L1004" i="1"/>
  <c r="K1004" i="1"/>
  <c r="J1004" i="1"/>
  <c r="I1004" i="1"/>
  <c r="H1004" i="1"/>
  <c r="G1004" i="1"/>
  <c r="F1004" i="1"/>
  <c r="E1004" i="1"/>
  <c r="D1004" i="1"/>
  <c r="C1004" i="1"/>
  <c r="B1004" i="1"/>
  <c r="A1004" i="1"/>
  <c r="P1003" i="1"/>
  <c r="O1003" i="1"/>
  <c r="N1003" i="1"/>
  <c r="M1003" i="1"/>
  <c r="L1003" i="1"/>
  <c r="K1003" i="1"/>
  <c r="J1003" i="1"/>
  <c r="I1003" i="1"/>
  <c r="H1003" i="1"/>
  <c r="G1003" i="1"/>
  <c r="F1003" i="1"/>
  <c r="E1003" i="1"/>
  <c r="D1003" i="1"/>
  <c r="C1003" i="1"/>
  <c r="B1003" i="1"/>
  <c r="A1003" i="1"/>
  <c r="P1002" i="1"/>
  <c r="O1002" i="1"/>
  <c r="N1002" i="1"/>
  <c r="M1002" i="1"/>
  <c r="L1002" i="1"/>
  <c r="K1002" i="1"/>
  <c r="J1002" i="1"/>
  <c r="I1002" i="1"/>
  <c r="H1002" i="1"/>
  <c r="G1002" i="1"/>
  <c r="F1002" i="1"/>
  <c r="E1002" i="1"/>
  <c r="D1002" i="1"/>
  <c r="C1002" i="1"/>
  <c r="B1002" i="1"/>
  <c r="A1002" i="1"/>
  <c r="P1001" i="1"/>
  <c r="O1001" i="1"/>
  <c r="N1001" i="1"/>
  <c r="M1001" i="1"/>
  <c r="L1001" i="1"/>
  <c r="K1001" i="1"/>
  <c r="J1001" i="1"/>
  <c r="I1001" i="1"/>
  <c r="H1001" i="1"/>
  <c r="G1001" i="1"/>
  <c r="F1001" i="1"/>
  <c r="E1001" i="1"/>
  <c r="D1001" i="1"/>
  <c r="C1001" i="1"/>
  <c r="B1001" i="1"/>
  <c r="A1001" i="1"/>
  <c r="P1000" i="1"/>
  <c r="O1000" i="1"/>
  <c r="N1000" i="1"/>
  <c r="M1000" i="1"/>
  <c r="L1000" i="1"/>
  <c r="K1000" i="1"/>
  <c r="J1000" i="1"/>
  <c r="I1000" i="1"/>
  <c r="H1000" i="1"/>
  <c r="G1000" i="1"/>
  <c r="F1000" i="1"/>
  <c r="E1000" i="1"/>
  <c r="D1000" i="1"/>
  <c r="C1000" i="1"/>
  <c r="B1000" i="1"/>
  <c r="A1000" i="1"/>
  <c r="P999" i="1"/>
  <c r="O999" i="1"/>
  <c r="N999" i="1"/>
  <c r="M999" i="1"/>
  <c r="L999" i="1"/>
  <c r="K999" i="1"/>
  <c r="J999" i="1"/>
  <c r="I999" i="1"/>
  <c r="H999" i="1"/>
  <c r="G999" i="1"/>
  <c r="F999" i="1"/>
  <c r="E999" i="1"/>
  <c r="D999" i="1"/>
  <c r="C999" i="1"/>
  <c r="B999" i="1"/>
  <c r="A999" i="1"/>
  <c r="P998" i="1"/>
  <c r="O998" i="1"/>
  <c r="N998" i="1"/>
  <c r="M998" i="1"/>
  <c r="L998" i="1"/>
  <c r="K998" i="1"/>
  <c r="J998" i="1"/>
  <c r="I998" i="1"/>
  <c r="H998" i="1"/>
  <c r="G998" i="1"/>
  <c r="F998" i="1"/>
  <c r="E998" i="1"/>
  <c r="D998" i="1"/>
  <c r="C998" i="1"/>
  <c r="B998" i="1"/>
  <c r="A998" i="1"/>
  <c r="P997" i="1"/>
  <c r="O997" i="1"/>
  <c r="N997" i="1"/>
  <c r="M997" i="1"/>
  <c r="L997" i="1"/>
  <c r="K997" i="1"/>
  <c r="J997" i="1"/>
  <c r="I997" i="1"/>
  <c r="H997" i="1"/>
  <c r="G997" i="1"/>
  <c r="F997" i="1"/>
  <c r="E997" i="1"/>
  <c r="D997" i="1"/>
  <c r="C997" i="1"/>
  <c r="B997" i="1"/>
  <c r="A997" i="1"/>
  <c r="P996" i="1"/>
  <c r="O996" i="1"/>
  <c r="N996" i="1"/>
  <c r="M996" i="1"/>
  <c r="L996" i="1"/>
  <c r="K996" i="1"/>
  <c r="J996" i="1"/>
  <c r="I996" i="1"/>
  <c r="H996" i="1"/>
  <c r="G996" i="1"/>
  <c r="F996" i="1"/>
  <c r="E996" i="1"/>
  <c r="D996" i="1"/>
  <c r="C996" i="1"/>
  <c r="B996" i="1"/>
  <c r="A996" i="1"/>
  <c r="P995" i="1"/>
  <c r="O995" i="1"/>
  <c r="N995" i="1"/>
  <c r="M995" i="1"/>
  <c r="L995" i="1"/>
  <c r="K995" i="1"/>
  <c r="J995" i="1"/>
  <c r="I995" i="1"/>
  <c r="H995" i="1"/>
  <c r="G995" i="1"/>
  <c r="F995" i="1"/>
  <c r="E995" i="1"/>
  <c r="D995" i="1"/>
  <c r="C995" i="1"/>
  <c r="B995" i="1"/>
  <c r="A995" i="1"/>
  <c r="P994" i="1"/>
  <c r="O994" i="1"/>
  <c r="N994" i="1"/>
  <c r="M994" i="1"/>
  <c r="L994" i="1"/>
  <c r="K994" i="1"/>
  <c r="J994" i="1"/>
  <c r="I994" i="1"/>
  <c r="H994" i="1"/>
  <c r="G994" i="1"/>
  <c r="F994" i="1"/>
  <c r="E994" i="1"/>
  <c r="D994" i="1"/>
  <c r="C994" i="1"/>
  <c r="B994" i="1"/>
  <c r="A994" i="1"/>
  <c r="P993" i="1"/>
  <c r="O993" i="1"/>
  <c r="N993" i="1"/>
  <c r="M993" i="1"/>
  <c r="L993" i="1"/>
  <c r="K993" i="1"/>
  <c r="J993" i="1"/>
  <c r="I993" i="1"/>
  <c r="H993" i="1"/>
  <c r="G993" i="1"/>
  <c r="F993" i="1"/>
  <c r="E993" i="1"/>
  <c r="D993" i="1"/>
  <c r="C993" i="1"/>
  <c r="B993" i="1"/>
  <c r="A993" i="1"/>
  <c r="P992" i="1"/>
  <c r="O992" i="1"/>
  <c r="N992" i="1"/>
  <c r="M992" i="1"/>
  <c r="L992" i="1"/>
  <c r="K992" i="1"/>
  <c r="J992" i="1"/>
  <c r="I992" i="1"/>
  <c r="H992" i="1"/>
  <c r="G992" i="1"/>
  <c r="F992" i="1"/>
  <c r="E992" i="1"/>
  <c r="D992" i="1"/>
  <c r="C992" i="1"/>
  <c r="B992" i="1"/>
  <c r="A992" i="1"/>
  <c r="P991" i="1"/>
  <c r="O991" i="1"/>
  <c r="N991" i="1"/>
  <c r="M991" i="1"/>
  <c r="L991" i="1"/>
  <c r="K991" i="1"/>
  <c r="J991" i="1"/>
  <c r="I991" i="1"/>
  <c r="H991" i="1"/>
  <c r="G991" i="1"/>
  <c r="F991" i="1"/>
  <c r="E991" i="1"/>
  <c r="D991" i="1"/>
  <c r="C991" i="1"/>
  <c r="B991" i="1"/>
  <c r="A991" i="1"/>
  <c r="P990" i="1"/>
  <c r="O990" i="1"/>
  <c r="N990" i="1"/>
  <c r="M990" i="1"/>
  <c r="L990" i="1"/>
  <c r="K990" i="1"/>
  <c r="J990" i="1"/>
  <c r="I990" i="1"/>
  <c r="H990" i="1"/>
  <c r="G990" i="1"/>
  <c r="F990" i="1"/>
  <c r="E990" i="1"/>
  <c r="D990" i="1"/>
  <c r="C990" i="1"/>
  <c r="B990" i="1"/>
  <c r="A990" i="1"/>
  <c r="P989" i="1"/>
  <c r="O989" i="1"/>
  <c r="N989" i="1"/>
  <c r="M989" i="1"/>
  <c r="L989" i="1"/>
  <c r="K989" i="1"/>
  <c r="J989" i="1"/>
  <c r="I989" i="1"/>
  <c r="H989" i="1"/>
  <c r="G989" i="1"/>
  <c r="F989" i="1"/>
  <c r="E989" i="1"/>
  <c r="D989" i="1"/>
  <c r="C989" i="1"/>
  <c r="B989" i="1"/>
  <c r="A989" i="1"/>
  <c r="P988" i="1"/>
  <c r="O988" i="1"/>
  <c r="N988" i="1"/>
  <c r="M988" i="1"/>
  <c r="L988" i="1"/>
  <c r="K988" i="1"/>
  <c r="J988" i="1"/>
  <c r="I988" i="1"/>
  <c r="H988" i="1"/>
  <c r="G988" i="1"/>
  <c r="F988" i="1"/>
  <c r="E988" i="1"/>
  <c r="D988" i="1"/>
  <c r="C988" i="1"/>
  <c r="B988" i="1"/>
  <c r="A988" i="1"/>
  <c r="P987" i="1"/>
  <c r="O987" i="1"/>
  <c r="N987" i="1"/>
  <c r="M987" i="1"/>
  <c r="L987" i="1"/>
  <c r="K987" i="1"/>
  <c r="J987" i="1"/>
  <c r="I987" i="1"/>
  <c r="H987" i="1"/>
  <c r="G987" i="1"/>
  <c r="F987" i="1"/>
  <c r="E987" i="1"/>
  <c r="D987" i="1"/>
  <c r="C987" i="1"/>
  <c r="B987" i="1"/>
  <c r="A987" i="1"/>
  <c r="P986" i="1"/>
  <c r="O986" i="1"/>
  <c r="N986" i="1"/>
  <c r="M986" i="1"/>
  <c r="L986" i="1"/>
  <c r="K986" i="1"/>
  <c r="J986" i="1"/>
  <c r="I986" i="1"/>
  <c r="H986" i="1"/>
  <c r="G986" i="1"/>
  <c r="F986" i="1"/>
  <c r="E986" i="1"/>
  <c r="D986" i="1"/>
  <c r="C986" i="1"/>
  <c r="B986" i="1"/>
  <c r="A986" i="1"/>
  <c r="P985" i="1"/>
  <c r="O985" i="1"/>
  <c r="N985" i="1"/>
  <c r="M985" i="1"/>
  <c r="L985" i="1"/>
  <c r="K985" i="1"/>
  <c r="J985" i="1"/>
  <c r="I985" i="1"/>
  <c r="H985" i="1"/>
  <c r="G985" i="1"/>
  <c r="F985" i="1"/>
  <c r="E985" i="1"/>
  <c r="D985" i="1"/>
  <c r="C985" i="1"/>
  <c r="B985" i="1"/>
  <c r="A985" i="1"/>
  <c r="P984" i="1"/>
  <c r="O984" i="1"/>
  <c r="N984" i="1"/>
  <c r="M984" i="1"/>
  <c r="L984" i="1"/>
  <c r="K984" i="1"/>
  <c r="J984" i="1"/>
  <c r="I984" i="1"/>
  <c r="H984" i="1"/>
  <c r="G984" i="1"/>
  <c r="F984" i="1"/>
  <c r="E984" i="1"/>
  <c r="D984" i="1"/>
  <c r="C984" i="1"/>
  <c r="B984" i="1"/>
  <c r="A984" i="1"/>
  <c r="P983" i="1"/>
  <c r="O983" i="1"/>
  <c r="N983" i="1"/>
  <c r="M983" i="1"/>
  <c r="L983" i="1"/>
  <c r="K983" i="1"/>
  <c r="J983" i="1"/>
  <c r="I983" i="1"/>
  <c r="H983" i="1"/>
  <c r="G983" i="1"/>
  <c r="F983" i="1"/>
  <c r="E983" i="1"/>
  <c r="D983" i="1"/>
  <c r="C983" i="1"/>
  <c r="B983" i="1"/>
  <c r="A983" i="1"/>
  <c r="P982" i="1"/>
  <c r="O982" i="1"/>
  <c r="N982" i="1"/>
  <c r="M982" i="1"/>
  <c r="L982" i="1"/>
  <c r="K982" i="1"/>
  <c r="J982" i="1"/>
  <c r="I982" i="1"/>
  <c r="H982" i="1"/>
  <c r="G982" i="1"/>
  <c r="F982" i="1"/>
  <c r="E982" i="1"/>
  <c r="D982" i="1"/>
  <c r="C982" i="1"/>
  <c r="B982" i="1"/>
  <c r="A982" i="1"/>
  <c r="P981" i="1"/>
  <c r="O981" i="1"/>
  <c r="N981" i="1"/>
  <c r="M981" i="1"/>
  <c r="L981" i="1"/>
  <c r="K981" i="1"/>
  <c r="J981" i="1"/>
  <c r="I981" i="1"/>
  <c r="H981" i="1"/>
  <c r="G981" i="1"/>
  <c r="F981" i="1"/>
  <c r="E981" i="1"/>
  <c r="D981" i="1"/>
  <c r="C981" i="1"/>
  <c r="B981" i="1"/>
  <c r="A981" i="1"/>
  <c r="P980" i="1"/>
  <c r="O980" i="1"/>
  <c r="N980" i="1"/>
  <c r="M980" i="1"/>
  <c r="L980" i="1"/>
  <c r="K980" i="1"/>
  <c r="J980" i="1"/>
  <c r="I980" i="1"/>
  <c r="H980" i="1"/>
  <c r="G980" i="1"/>
  <c r="F980" i="1"/>
  <c r="E980" i="1"/>
  <c r="D980" i="1"/>
  <c r="C980" i="1"/>
  <c r="B980" i="1"/>
  <c r="A980" i="1"/>
  <c r="P979" i="1"/>
  <c r="O979" i="1"/>
  <c r="N979" i="1"/>
  <c r="M979" i="1"/>
  <c r="L979" i="1"/>
  <c r="K979" i="1"/>
  <c r="J979" i="1"/>
  <c r="I979" i="1"/>
  <c r="H979" i="1"/>
  <c r="G979" i="1"/>
  <c r="F979" i="1"/>
  <c r="E979" i="1"/>
  <c r="D979" i="1"/>
  <c r="C979" i="1"/>
  <c r="B979" i="1"/>
  <c r="A979" i="1"/>
  <c r="P978" i="1"/>
  <c r="O978" i="1"/>
  <c r="N978" i="1"/>
  <c r="M978" i="1"/>
  <c r="L978" i="1"/>
  <c r="K978" i="1"/>
  <c r="J978" i="1"/>
  <c r="I978" i="1"/>
  <c r="H978" i="1"/>
  <c r="G978" i="1"/>
  <c r="F978" i="1"/>
  <c r="E978" i="1"/>
  <c r="D978" i="1"/>
  <c r="C978" i="1"/>
  <c r="B978" i="1"/>
  <c r="A978" i="1"/>
  <c r="P977" i="1"/>
  <c r="O977" i="1"/>
  <c r="N977" i="1"/>
  <c r="M977" i="1"/>
  <c r="L977" i="1"/>
  <c r="K977" i="1"/>
  <c r="J977" i="1"/>
  <c r="I977" i="1"/>
  <c r="H977" i="1"/>
  <c r="G977" i="1"/>
  <c r="F977" i="1"/>
  <c r="E977" i="1"/>
  <c r="D977" i="1"/>
  <c r="C977" i="1"/>
  <c r="B977" i="1"/>
  <c r="A977" i="1"/>
  <c r="P976" i="1"/>
  <c r="O976" i="1"/>
  <c r="N976" i="1"/>
  <c r="M976" i="1"/>
  <c r="L976" i="1"/>
  <c r="K976" i="1"/>
  <c r="J976" i="1"/>
  <c r="I976" i="1"/>
  <c r="H976" i="1"/>
  <c r="G976" i="1"/>
  <c r="F976" i="1"/>
  <c r="E976" i="1"/>
  <c r="D976" i="1"/>
  <c r="C976" i="1"/>
  <c r="B976" i="1"/>
  <c r="A976" i="1"/>
  <c r="P975" i="1"/>
  <c r="O975" i="1"/>
  <c r="N975" i="1"/>
  <c r="M975" i="1"/>
  <c r="L975" i="1"/>
  <c r="K975" i="1"/>
  <c r="J975" i="1"/>
  <c r="I975" i="1"/>
  <c r="H975" i="1"/>
  <c r="G975" i="1"/>
  <c r="F975" i="1"/>
  <c r="E975" i="1"/>
  <c r="D975" i="1"/>
  <c r="C975" i="1"/>
  <c r="B975" i="1"/>
  <c r="A975" i="1"/>
  <c r="P974" i="1"/>
  <c r="O974" i="1"/>
  <c r="N974" i="1"/>
  <c r="M974" i="1"/>
  <c r="L974" i="1"/>
  <c r="K974" i="1"/>
  <c r="J974" i="1"/>
  <c r="I974" i="1"/>
  <c r="H974" i="1"/>
  <c r="G974" i="1"/>
  <c r="F974" i="1"/>
  <c r="E974" i="1"/>
  <c r="D974" i="1"/>
  <c r="C974" i="1"/>
  <c r="B974" i="1"/>
  <c r="A974" i="1"/>
  <c r="P973" i="1"/>
  <c r="O973" i="1"/>
  <c r="N973" i="1"/>
  <c r="M973" i="1"/>
  <c r="L973" i="1"/>
  <c r="K973" i="1"/>
  <c r="J973" i="1"/>
  <c r="I973" i="1"/>
  <c r="H973" i="1"/>
  <c r="G973" i="1"/>
  <c r="F973" i="1"/>
  <c r="E973" i="1"/>
  <c r="D973" i="1"/>
  <c r="C973" i="1"/>
  <c r="B973" i="1"/>
  <c r="A973" i="1"/>
  <c r="P972" i="1"/>
  <c r="O972" i="1"/>
  <c r="N972" i="1"/>
  <c r="M972" i="1"/>
  <c r="L972" i="1"/>
  <c r="K972" i="1"/>
  <c r="J972" i="1"/>
  <c r="I972" i="1"/>
  <c r="H972" i="1"/>
  <c r="G972" i="1"/>
  <c r="F972" i="1"/>
  <c r="E972" i="1"/>
  <c r="D972" i="1"/>
  <c r="C972" i="1"/>
  <c r="B972" i="1"/>
  <c r="A972" i="1"/>
  <c r="P971" i="1"/>
  <c r="O971" i="1"/>
  <c r="N971" i="1"/>
  <c r="M971" i="1"/>
  <c r="L971" i="1"/>
  <c r="K971" i="1"/>
  <c r="J971" i="1"/>
  <c r="I971" i="1"/>
  <c r="H971" i="1"/>
  <c r="G971" i="1"/>
  <c r="F971" i="1"/>
  <c r="E971" i="1"/>
  <c r="D971" i="1"/>
  <c r="C971" i="1"/>
  <c r="B971" i="1"/>
  <c r="A971" i="1"/>
  <c r="P970" i="1"/>
  <c r="O970" i="1"/>
  <c r="N970" i="1"/>
  <c r="M970" i="1"/>
  <c r="L970" i="1"/>
  <c r="K970" i="1"/>
  <c r="J970" i="1"/>
  <c r="I970" i="1"/>
  <c r="H970" i="1"/>
  <c r="G970" i="1"/>
  <c r="F970" i="1"/>
  <c r="E970" i="1"/>
  <c r="D970" i="1"/>
  <c r="C970" i="1"/>
  <c r="B970" i="1"/>
  <c r="A970" i="1"/>
  <c r="P969" i="1"/>
  <c r="O969" i="1"/>
  <c r="N969" i="1"/>
  <c r="M969" i="1"/>
  <c r="L969" i="1"/>
  <c r="K969" i="1"/>
  <c r="J969" i="1"/>
  <c r="I969" i="1"/>
  <c r="H969" i="1"/>
  <c r="G969" i="1"/>
  <c r="F969" i="1"/>
  <c r="E969" i="1"/>
  <c r="D969" i="1"/>
  <c r="C969" i="1"/>
  <c r="B969" i="1"/>
  <c r="A969" i="1"/>
  <c r="P968" i="1"/>
  <c r="O968" i="1"/>
  <c r="N968" i="1"/>
  <c r="M968" i="1"/>
  <c r="L968" i="1"/>
  <c r="K968" i="1"/>
  <c r="J968" i="1"/>
  <c r="I968" i="1"/>
  <c r="H968" i="1"/>
  <c r="G968" i="1"/>
  <c r="F968" i="1"/>
  <c r="E968" i="1"/>
  <c r="D968" i="1"/>
  <c r="C968" i="1"/>
  <c r="B968" i="1"/>
  <c r="A968" i="1"/>
  <c r="P967" i="1"/>
  <c r="O967" i="1"/>
  <c r="N967" i="1"/>
  <c r="M967" i="1"/>
  <c r="L967" i="1"/>
  <c r="K967" i="1"/>
  <c r="J967" i="1"/>
  <c r="I967" i="1"/>
  <c r="H967" i="1"/>
  <c r="G967" i="1"/>
  <c r="F967" i="1"/>
  <c r="E967" i="1"/>
  <c r="D967" i="1"/>
  <c r="C967" i="1"/>
  <c r="B967" i="1"/>
  <c r="A967" i="1"/>
  <c r="P966" i="1"/>
  <c r="O966" i="1"/>
  <c r="N966" i="1"/>
  <c r="M966" i="1"/>
  <c r="L966" i="1"/>
  <c r="K966" i="1"/>
  <c r="J966" i="1"/>
  <c r="I966" i="1"/>
  <c r="H966" i="1"/>
  <c r="G966" i="1"/>
  <c r="F966" i="1"/>
  <c r="E966" i="1"/>
  <c r="D966" i="1"/>
  <c r="C966" i="1"/>
  <c r="B966" i="1"/>
  <c r="A966" i="1"/>
  <c r="P965" i="1"/>
  <c r="O965" i="1"/>
  <c r="N965" i="1"/>
  <c r="M965" i="1"/>
  <c r="L965" i="1"/>
  <c r="K965" i="1"/>
  <c r="J965" i="1"/>
  <c r="I965" i="1"/>
  <c r="H965" i="1"/>
  <c r="G965" i="1"/>
  <c r="F965" i="1"/>
  <c r="E965" i="1"/>
  <c r="D965" i="1"/>
  <c r="C965" i="1"/>
  <c r="B965" i="1"/>
  <c r="A965" i="1"/>
  <c r="P964" i="1"/>
  <c r="O964" i="1"/>
  <c r="N964" i="1"/>
  <c r="M964" i="1"/>
  <c r="L964" i="1"/>
  <c r="K964" i="1"/>
  <c r="J964" i="1"/>
  <c r="I964" i="1"/>
  <c r="H964" i="1"/>
  <c r="G964" i="1"/>
  <c r="F964" i="1"/>
  <c r="E964" i="1"/>
  <c r="D964" i="1"/>
  <c r="C964" i="1"/>
  <c r="B964" i="1"/>
  <c r="A964" i="1"/>
  <c r="P963" i="1"/>
  <c r="O963" i="1"/>
  <c r="N963" i="1"/>
  <c r="M963" i="1"/>
  <c r="L963" i="1"/>
  <c r="K963" i="1"/>
  <c r="J963" i="1"/>
  <c r="I963" i="1"/>
  <c r="H963" i="1"/>
  <c r="G963" i="1"/>
  <c r="F963" i="1"/>
  <c r="E963" i="1"/>
  <c r="D963" i="1"/>
  <c r="C963" i="1"/>
  <c r="B963" i="1"/>
  <c r="A963" i="1"/>
  <c r="P962" i="1"/>
  <c r="O962" i="1"/>
  <c r="N962" i="1"/>
  <c r="M962" i="1"/>
  <c r="L962" i="1"/>
  <c r="K962" i="1"/>
  <c r="J962" i="1"/>
  <c r="I962" i="1"/>
  <c r="H962" i="1"/>
  <c r="G962" i="1"/>
  <c r="F962" i="1"/>
  <c r="E962" i="1"/>
  <c r="D962" i="1"/>
  <c r="C962" i="1"/>
  <c r="B962" i="1"/>
  <c r="A962" i="1"/>
  <c r="P961" i="1"/>
  <c r="O961" i="1"/>
  <c r="N961" i="1"/>
  <c r="M961" i="1"/>
  <c r="L961" i="1"/>
  <c r="K961" i="1"/>
  <c r="J961" i="1"/>
  <c r="I961" i="1"/>
  <c r="H961" i="1"/>
  <c r="G961" i="1"/>
  <c r="F961" i="1"/>
  <c r="E961" i="1"/>
  <c r="D961" i="1"/>
  <c r="C961" i="1"/>
  <c r="B961" i="1"/>
  <c r="A961" i="1"/>
  <c r="P960" i="1"/>
  <c r="O960" i="1"/>
  <c r="N960" i="1"/>
  <c r="M960" i="1"/>
  <c r="L960" i="1"/>
  <c r="K960" i="1"/>
  <c r="J960" i="1"/>
  <c r="I960" i="1"/>
  <c r="H960" i="1"/>
  <c r="G960" i="1"/>
  <c r="F960" i="1"/>
  <c r="E960" i="1"/>
  <c r="D960" i="1"/>
  <c r="C960" i="1"/>
  <c r="B960" i="1"/>
  <c r="A960" i="1"/>
  <c r="P959" i="1"/>
  <c r="O959" i="1"/>
  <c r="N959" i="1"/>
  <c r="M959" i="1"/>
  <c r="L959" i="1"/>
  <c r="K959" i="1"/>
  <c r="J959" i="1"/>
  <c r="I959" i="1"/>
  <c r="H959" i="1"/>
  <c r="G959" i="1"/>
  <c r="F959" i="1"/>
  <c r="E959" i="1"/>
  <c r="D959" i="1"/>
  <c r="C959" i="1"/>
  <c r="B959" i="1"/>
  <c r="A959" i="1"/>
  <c r="P958" i="1"/>
  <c r="O958" i="1"/>
  <c r="N958" i="1"/>
  <c r="M958" i="1"/>
  <c r="L958" i="1"/>
  <c r="K958" i="1"/>
  <c r="J958" i="1"/>
  <c r="I958" i="1"/>
  <c r="H958" i="1"/>
  <c r="G958" i="1"/>
  <c r="F958" i="1"/>
  <c r="E958" i="1"/>
  <c r="D958" i="1"/>
  <c r="C958" i="1"/>
  <c r="B958" i="1"/>
  <c r="A958" i="1"/>
  <c r="P957" i="1"/>
  <c r="O957" i="1"/>
  <c r="N957" i="1"/>
  <c r="M957" i="1"/>
  <c r="L957" i="1"/>
  <c r="K957" i="1"/>
  <c r="J957" i="1"/>
  <c r="I957" i="1"/>
  <c r="H957" i="1"/>
  <c r="G957" i="1"/>
  <c r="F957" i="1"/>
  <c r="E957" i="1"/>
  <c r="D957" i="1"/>
  <c r="C957" i="1"/>
  <c r="B957" i="1"/>
  <c r="A957" i="1"/>
  <c r="P956" i="1"/>
  <c r="O956" i="1"/>
  <c r="N956" i="1"/>
  <c r="M956" i="1"/>
  <c r="L956" i="1"/>
  <c r="K956" i="1"/>
  <c r="J956" i="1"/>
  <c r="I956" i="1"/>
  <c r="H956" i="1"/>
  <c r="G956" i="1"/>
  <c r="F956" i="1"/>
  <c r="E956" i="1"/>
  <c r="D956" i="1"/>
  <c r="C956" i="1"/>
  <c r="B956" i="1"/>
  <c r="A956" i="1"/>
  <c r="P955" i="1"/>
  <c r="O955" i="1"/>
  <c r="N955" i="1"/>
  <c r="M955" i="1"/>
  <c r="L955" i="1"/>
  <c r="K955" i="1"/>
  <c r="J955" i="1"/>
  <c r="I955" i="1"/>
  <c r="H955" i="1"/>
  <c r="G955" i="1"/>
  <c r="F955" i="1"/>
  <c r="E955" i="1"/>
  <c r="D955" i="1"/>
  <c r="C955" i="1"/>
  <c r="B955" i="1"/>
  <c r="A955" i="1"/>
  <c r="P954" i="1"/>
  <c r="O954" i="1"/>
  <c r="N954" i="1"/>
  <c r="M954" i="1"/>
  <c r="L954" i="1"/>
  <c r="K954" i="1"/>
  <c r="J954" i="1"/>
  <c r="I954" i="1"/>
  <c r="H954" i="1"/>
  <c r="G954" i="1"/>
  <c r="F954" i="1"/>
  <c r="E954" i="1"/>
  <c r="D954" i="1"/>
  <c r="C954" i="1"/>
  <c r="B954" i="1"/>
  <c r="A954" i="1"/>
  <c r="P953" i="1"/>
  <c r="O953" i="1"/>
  <c r="N953" i="1"/>
  <c r="M953" i="1"/>
  <c r="L953" i="1"/>
  <c r="K953" i="1"/>
  <c r="J953" i="1"/>
  <c r="I953" i="1"/>
  <c r="H953" i="1"/>
  <c r="G953" i="1"/>
  <c r="F953" i="1"/>
  <c r="E953" i="1"/>
  <c r="D953" i="1"/>
  <c r="C953" i="1"/>
  <c r="B953" i="1"/>
  <c r="A953" i="1"/>
  <c r="P952" i="1"/>
  <c r="O952" i="1"/>
  <c r="N952" i="1"/>
  <c r="M952" i="1"/>
  <c r="L952" i="1"/>
  <c r="K952" i="1"/>
  <c r="J952" i="1"/>
  <c r="I952" i="1"/>
  <c r="H952" i="1"/>
  <c r="G952" i="1"/>
  <c r="F952" i="1"/>
  <c r="E952" i="1"/>
  <c r="D952" i="1"/>
  <c r="C952" i="1"/>
  <c r="B952" i="1"/>
  <c r="A952" i="1"/>
  <c r="P951" i="1"/>
  <c r="O951" i="1"/>
  <c r="N951" i="1"/>
  <c r="M951" i="1"/>
  <c r="L951" i="1"/>
  <c r="K951" i="1"/>
  <c r="J951" i="1"/>
  <c r="I951" i="1"/>
  <c r="H951" i="1"/>
  <c r="G951" i="1"/>
  <c r="F951" i="1"/>
  <c r="E951" i="1"/>
  <c r="D951" i="1"/>
  <c r="C951" i="1"/>
  <c r="B951" i="1"/>
  <c r="A951" i="1"/>
  <c r="P950" i="1"/>
  <c r="O950" i="1"/>
  <c r="N950" i="1"/>
  <c r="M950" i="1"/>
  <c r="L950" i="1"/>
  <c r="K950" i="1"/>
  <c r="J950" i="1"/>
  <c r="I950" i="1"/>
  <c r="H950" i="1"/>
  <c r="G950" i="1"/>
  <c r="F950" i="1"/>
  <c r="E950" i="1"/>
  <c r="D950" i="1"/>
  <c r="C950" i="1"/>
  <c r="B950" i="1"/>
  <c r="A950" i="1"/>
  <c r="P949" i="1"/>
  <c r="O949" i="1"/>
  <c r="N949" i="1"/>
  <c r="M949" i="1"/>
  <c r="L949" i="1"/>
  <c r="K949" i="1"/>
  <c r="J949" i="1"/>
  <c r="I949" i="1"/>
  <c r="H949" i="1"/>
  <c r="G949" i="1"/>
  <c r="F949" i="1"/>
  <c r="E949" i="1"/>
  <c r="D949" i="1"/>
  <c r="C949" i="1"/>
  <c r="B949" i="1"/>
  <c r="A949" i="1"/>
  <c r="P948" i="1"/>
  <c r="O948" i="1"/>
  <c r="N948" i="1"/>
  <c r="M948" i="1"/>
  <c r="L948" i="1"/>
  <c r="K948" i="1"/>
  <c r="J948" i="1"/>
  <c r="I948" i="1"/>
  <c r="H948" i="1"/>
  <c r="G948" i="1"/>
  <c r="F948" i="1"/>
  <c r="E948" i="1"/>
  <c r="D948" i="1"/>
  <c r="C948" i="1"/>
  <c r="B948" i="1"/>
  <c r="A948" i="1"/>
  <c r="P947" i="1"/>
  <c r="O947" i="1"/>
  <c r="N947" i="1"/>
  <c r="M947" i="1"/>
  <c r="L947" i="1"/>
  <c r="K947" i="1"/>
  <c r="J947" i="1"/>
  <c r="I947" i="1"/>
  <c r="H947" i="1"/>
  <c r="G947" i="1"/>
  <c r="F947" i="1"/>
  <c r="E947" i="1"/>
  <c r="D947" i="1"/>
  <c r="C947" i="1"/>
  <c r="B947" i="1"/>
  <c r="A947" i="1"/>
  <c r="P946" i="1"/>
  <c r="O946" i="1"/>
  <c r="N946" i="1"/>
  <c r="M946" i="1"/>
  <c r="L946" i="1"/>
  <c r="K946" i="1"/>
  <c r="J946" i="1"/>
  <c r="I946" i="1"/>
  <c r="H946" i="1"/>
  <c r="G946" i="1"/>
  <c r="F946" i="1"/>
  <c r="E946" i="1"/>
  <c r="D946" i="1"/>
  <c r="C946" i="1"/>
  <c r="B946" i="1"/>
  <c r="A946" i="1"/>
  <c r="P945" i="1"/>
  <c r="O945" i="1"/>
  <c r="N945" i="1"/>
  <c r="M945" i="1"/>
  <c r="L945" i="1"/>
  <c r="K945" i="1"/>
  <c r="J945" i="1"/>
  <c r="I945" i="1"/>
  <c r="H945" i="1"/>
  <c r="G945" i="1"/>
  <c r="F945" i="1"/>
  <c r="E945" i="1"/>
  <c r="D945" i="1"/>
  <c r="C945" i="1"/>
  <c r="B945" i="1"/>
  <c r="A945" i="1"/>
  <c r="P944" i="1"/>
  <c r="O944" i="1"/>
  <c r="N944" i="1"/>
  <c r="M944" i="1"/>
  <c r="L944" i="1"/>
  <c r="K944" i="1"/>
  <c r="J944" i="1"/>
  <c r="I944" i="1"/>
  <c r="H944" i="1"/>
  <c r="G944" i="1"/>
  <c r="F944" i="1"/>
  <c r="E944" i="1"/>
  <c r="D944" i="1"/>
  <c r="C944" i="1"/>
  <c r="B944" i="1"/>
  <c r="A944" i="1"/>
  <c r="P943" i="1"/>
  <c r="O943" i="1"/>
  <c r="N943" i="1"/>
  <c r="M943" i="1"/>
  <c r="L943" i="1"/>
  <c r="K943" i="1"/>
  <c r="J943" i="1"/>
  <c r="I943" i="1"/>
  <c r="H943" i="1"/>
  <c r="G943" i="1"/>
  <c r="F943" i="1"/>
  <c r="E943" i="1"/>
  <c r="D943" i="1"/>
  <c r="C943" i="1"/>
  <c r="B943" i="1"/>
  <c r="A943" i="1"/>
  <c r="P942" i="1"/>
  <c r="O942" i="1"/>
  <c r="N942" i="1"/>
  <c r="M942" i="1"/>
  <c r="L942" i="1"/>
  <c r="K942" i="1"/>
  <c r="J942" i="1"/>
  <c r="I942" i="1"/>
  <c r="H942" i="1"/>
  <c r="G942" i="1"/>
  <c r="F942" i="1"/>
  <c r="E942" i="1"/>
  <c r="D942" i="1"/>
  <c r="C942" i="1"/>
  <c r="B942" i="1"/>
  <c r="A942" i="1"/>
  <c r="P941" i="1"/>
  <c r="O941" i="1"/>
  <c r="N941" i="1"/>
  <c r="M941" i="1"/>
  <c r="L941" i="1"/>
  <c r="K941" i="1"/>
  <c r="J941" i="1"/>
  <c r="I941" i="1"/>
  <c r="H941" i="1"/>
  <c r="G941" i="1"/>
  <c r="F941" i="1"/>
  <c r="E941" i="1"/>
  <c r="D941" i="1"/>
  <c r="C941" i="1"/>
  <c r="B941" i="1"/>
  <c r="A941" i="1"/>
  <c r="P940" i="1"/>
  <c r="O940" i="1"/>
  <c r="N940" i="1"/>
  <c r="M940" i="1"/>
  <c r="L940" i="1"/>
  <c r="K940" i="1"/>
  <c r="J940" i="1"/>
  <c r="I940" i="1"/>
  <c r="H940" i="1"/>
  <c r="G940" i="1"/>
  <c r="F940" i="1"/>
  <c r="E940" i="1"/>
  <c r="D940" i="1"/>
  <c r="C940" i="1"/>
  <c r="B940" i="1"/>
  <c r="A940" i="1"/>
  <c r="P939" i="1"/>
  <c r="O939" i="1"/>
  <c r="N939" i="1"/>
  <c r="M939" i="1"/>
  <c r="L939" i="1"/>
  <c r="K939" i="1"/>
  <c r="J939" i="1"/>
  <c r="I939" i="1"/>
  <c r="H939" i="1"/>
  <c r="G939" i="1"/>
  <c r="F939" i="1"/>
  <c r="E939" i="1"/>
  <c r="D939" i="1"/>
  <c r="C939" i="1"/>
  <c r="B939" i="1"/>
  <c r="A939" i="1"/>
  <c r="P938" i="1"/>
  <c r="O938" i="1"/>
  <c r="N938" i="1"/>
  <c r="M938" i="1"/>
  <c r="L938" i="1"/>
  <c r="K938" i="1"/>
  <c r="J938" i="1"/>
  <c r="I938" i="1"/>
  <c r="H938" i="1"/>
  <c r="G938" i="1"/>
  <c r="F938" i="1"/>
  <c r="E938" i="1"/>
  <c r="D938" i="1"/>
  <c r="C938" i="1"/>
  <c r="B938" i="1"/>
  <c r="A938" i="1"/>
  <c r="P937" i="1"/>
  <c r="O937" i="1"/>
  <c r="N937" i="1"/>
  <c r="M937" i="1"/>
  <c r="L937" i="1"/>
  <c r="K937" i="1"/>
  <c r="J937" i="1"/>
  <c r="I937" i="1"/>
  <c r="H937" i="1"/>
  <c r="G937" i="1"/>
  <c r="F937" i="1"/>
  <c r="E937" i="1"/>
  <c r="D937" i="1"/>
  <c r="C937" i="1"/>
  <c r="B937" i="1"/>
  <c r="A937" i="1"/>
  <c r="P936" i="1"/>
  <c r="O936" i="1"/>
  <c r="N936" i="1"/>
  <c r="M936" i="1"/>
  <c r="L936" i="1"/>
  <c r="K936" i="1"/>
  <c r="J936" i="1"/>
  <c r="I936" i="1"/>
  <c r="H936" i="1"/>
  <c r="G936" i="1"/>
  <c r="F936" i="1"/>
  <c r="E936" i="1"/>
  <c r="D936" i="1"/>
  <c r="C936" i="1"/>
  <c r="B936" i="1"/>
  <c r="A936" i="1"/>
  <c r="P935" i="1"/>
  <c r="O935" i="1"/>
  <c r="N935" i="1"/>
  <c r="M935" i="1"/>
  <c r="L935" i="1"/>
  <c r="K935" i="1"/>
  <c r="J935" i="1"/>
  <c r="I935" i="1"/>
  <c r="H935" i="1"/>
  <c r="G935" i="1"/>
  <c r="F935" i="1"/>
  <c r="E935" i="1"/>
  <c r="D935" i="1"/>
  <c r="C935" i="1"/>
  <c r="B935" i="1"/>
  <c r="A935" i="1"/>
  <c r="P934" i="1"/>
  <c r="O934" i="1"/>
  <c r="N934" i="1"/>
  <c r="M934" i="1"/>
  <c r="L934" i="1"/>
  <c r="K934" i="1"/>
  <c r="J934" i="1"/>
  <c r="I934" i="1"/>
  <c r="H934" i="1"/>
  <c r="G934" i="1"/>
  <c r="F934" i="1"/>
  <c r="E934" i="1"/>
  <c r="D934" i="1"/>
  <c r="C934" i="1"/>
  <c r="B934" i="1"/>
  <c r="A934" i="1"/>
  <c r="P933" i="1"/>
  <c r="O933" i="1"/>
  <c r="N933" i="1"/>
  <c r="M933" i="1"/>
  <c r="L933" i="1"/>
  <c r="K933" i="1"/>
  <c r="J933" i="1"/>
  <c r="I933" i="1"/>
  <c r="H933" i="1"/>
  <c r="G933" i="1"/>
  <c r="F933" i="1"/>
  <c r="E933" i="1"/>
  <c r="D933" i="1"/>
  <c r="C933" i="1"/>
  <c r="B933" i="1"/>
  <c r="A933" i="1"/>
  <c r="P932" i="1"/>
  <c r="O932" i="1"/>
  <c r="N932" i="1"/>
  <c r="M932" i="1"/>
  <c r="L932" i="1"/>
  <c r="K932" i="1"/>
  <c r="J932" i="1"/>
  <c r="I932" i="1"/>
  <c r="H932" i="1"/>
  <c r="G932" i="1"/>
  <c r="F932" i="1"/>
  <c r="E932" i="1"/>
  <c r="D932" i="1"/>
  <c r="C932" i="1"/>
  <c r="B932" i="1"/>
  <c r="A932" i="1"/>
  <c r="P931" i="1"/>
  <c r="O931" i="1"/>
  <c r="N931" i="1"/>
  <c r="M931" i="1"/>
  <c r="L931" i="1"/>
  <c r="K931" i="1"/>
  <c r="J931" i="1"/>
  <c r="I931" i="1"/>
  <c r="H931" i="1"/>
  <c r="G931" i="1"/>
  <c r="F931" i="1"/>
  <c r="E931" i="1"/>
  <c r="D931" i="1"/>
  <c r="C931" i="1"/>
  <c r="B931" i="1"/>
  <c r="A931" i="1"/>
  <c r="P930" i="1"/>
  <c r="O930" i="1"/>
  <c r="N930" i="1"/>
  <c r="M930" i="1"/>
  <c r="L930" i="1"/>
  <c r="K930" i="1"/>
  <c r="J930" i="1"/>
  <c r="I930" i="1"/>
  <c r="H930" i="1"/>
  <c r="G930" i="1"/>
  <c r="F930" i="1"/>
  <c r="E930" i="1"/>
  <c r="D930" i="1"/>
  <c r="C930" i="1"/>
  <c r="B930" i="1"/>
  <c r="A930" i="1"/>
  <c r="P929" i="1"/>
  <c r="O929" i="1"/>
  <c r="N929" i="1"/>
  <c r="M929" i="1"/>
  <c r="L929" i="1"/>
  <c r="K929" i="1"/>
  <c r="J929" i="1"/>
  <c r="I929" i="1"/>
  <c r="H929" i="1"/>
  <c r="G929" i="1"/>
  <c r="F929" i="1"/>
  <c r="E929" i="1"/>
  <c r="D929" i="1"/>
  <c r="C929" i="1"/>
  <c r="B929" i="1"/>
  <c r="A929" i="1"/>
  <c r="P928" i="1"/>
  <c r="O928" i="1"/>
  <c r="N928" i="1"/>
  <c r="M928" i="1"/>
  <c r="L928" i="1"/>
  <c r="K928" i="1"/>
  <c r="J928" i="1"/>
  <c r="I928" i="1"/>
  <c r="H928" i="1"/>
  <c r="G928" i="1"/>
  <c r="F928" i="1"/>
  <c r="E928" i="1"/>
  <c r="D928" i="1"/>
  <c r="C928" i="1"/>
  <c r="B928" i="1"/>
  <c r="A928" i="1"/>
  <c r="P927" i="1"/>
  <c r="O927" i="1"/>
  <c r="N927" i="1"/>
  <c r="M927" i="1"/>
  <c r="L927" i="1"/>
  <c r="K927" i="1"/>
  <c r="J927" i="1"/>
  <c r="I927" i="1"/>
  <c r="H927" i="1"/>
  <c r="G927" i="1"/>
  <c r="F927" i="1"/>
  <c r="E927" i="1"/>
  <c r="D927" i="1"/>
  <c r="C927" i="1"/>
  <c r="B927" i="1"/>
  <c r="A927" i="1"/>
  <c r="P926" i="1"/>
  <c r="O926" i="1"/>
  <c r="N926" i="1"/>
  <c r="M926" i="1"/>
  <c r="L926" i="1"/>
  <c r="K926" i="1"/>
  <c r="J926" i="1"/>
  <c r="I926" i="1"/>
  <c r="H926" i="1"/>
  <c r="G926" i="1"/>
  <c r="F926" i="1"/>
  <c r="E926" i="1"/>
  <c r="D926" i="1"/>
  <c r="C926" i="1"/>
  <c r="B926" i="1"/>
  <c r="A926" i="1"/>
  <c r="P925" i="1"/>
  <c r="O925" i="1"/>
  <c r="N925" i="1"/>
  <c r="M925" i="1"/>
  <c r="L925" i="1"/>
  <c r="K925" i="1"/>
  <c r="J925" i="1"/>
  <c r="I925" i="1"/>
  <c r="H925" i="1"/>
  <c r="G925" i="1"/>
  <c r="F925" i="1"/>
  <c r="E925" i="1"/>
  <c r="D925" i="1"/>
  <c r="C925" i="1"/>
  <c r="B925" i="1"/>
  <c r="A925" i="1"/>
  <c r="P924" i="1"/>
  <c r="O924" i="1"/>
  <c r="N924" i="1"/>
  <c r="M924" i="1"/>
  <c r="L924" i="1"/>
  <c r="K924" i="1"/>
  <c r="J924" i="1"/>
  <c r="I924" i="1"/>
  <c r="H924" i="1"/>
  <c r="G924" i="1"/>
  <c r="F924" i="1"/>
  <c r="E924" i="1"/>
  <c r="D924" i="1"/>
  <c r="C924" i="1"/>
  <c r="B924" i="1"/>
  <c r="A924" i="1"/>
  <c r="P923" i="1"/>
  <c r="O923" i="1"/>
  <c r="N923" i="1"/>
  <c r="M923" i="1"/>
  <c r="L923" i="1"/>
  <c r="K923" i="1"/>
  <c r="J923" i="1"/>
  <c r="I923" i="1"/>
  <c r="H923" i="1"/>
  <c r="G923" i="1"/>
  <c r="F923" i="1"/>
  <c r="E923" i="1"/>
  <c r="D923" i="1"/>
  <c r="C923" i="1"/>
  <c r="B923" i="1"/>
  <c r="A923" i="1"/>
  <c r="P922" i="1"/>
  <c r="O922" i="1"/>
  <c r="N922" i="1"/>
  <c r="M922" i="1"/>
  <c r="L922" i="1"/>
  <c r="K922" i="1"/>
  <c r="J922" i="1"/>
  <c r="I922" i="1"/>
  <c r="H922" i="1"/>
  <c r="G922" i="1"/>
  <c r="F922" i="1"/>
  <c r="E922" i="1"/>
  <c r="D922" i="1"/>
  <c r="C922" i="1"/>
  <c r="B922" i="1"/>
  <c r="A922" i="1"/>
  <c r="P921" i="1"/>
  <c r="O921" i="1"/>
  <c r="N921" i="1"/>
  <c r="M921" i="1"/>
  <c r="L921" i="1"/>
  <c r="K921" i="1"/>
  <c r="J921" i="1"/>
  <c r="I921" i="1"/>
  <c r="H921" i="1"/>
  <c r="G921" i="1"/>
  <c r="F921" i="1"/>
  <c r="E921" i="1"/>
  <c r="D921" i="1"/>
  <c r="C921" i="1"/>
  <c r="B921" i="1"/>
  <c r="A921" i="1"/>
  <c r="P920" i="1"/>
  <c r="O920" i="1"/>
  <c r="N920" i="1"/>
  <c r="M920" i="1"/>
  <c r="L920" i="1"/>
  <c r="K920" i="1"/>
  <c r="J920" i="1"/>
  <c r="I920" i="1"/>
  <c r="H920" i="1"/>
  <c r="G920" i="1"/>
  <c r="F920" i="1"/>
  <c r="E920" i="1"/>
  <c r="D920" i="1"/>
  <c r="C920" i="1"/>
  <c r="B920" i="1"/>
  <c r="A920" i="1"/>
  <c r="P919" i="1"/>
  <c r="O919" i="1"/>
  <c r="N919" i="1"/>
  <c r="M919" i="1"/>
  <c r="L919" i="1"/>
  <c r="K919" i="1"/>
  <c r="J919" i="1"/>
  <c r="I919" i="1"/>
  <c r="H919" i="1"/>
  <c r="G919" i="1"/>
  <c r="F919" i="1"/>
  <c r="E919" i="1"/>
  <c r="D919" i="1"/>
  <c r="C919" i="1"/>
  <c r="B919" i="1"/>
  <c r="A919" i="1"/>
  <c r="P918" i="1"/>
  <c r="O918" i="1"/>
  <c r="N918" i="1"/>
  <c r="M918" i="1"/>
  <c r="L918" i="1"/>
  <c r="K918" i="1"/>
  <c r="J918" i="1"/>
  <c r="I918" i="1"/>
  <c r="H918" i="1"/>
  <c r="G918" i="1"/>
  <c r="F918" i="1"/>
  <c r="E918" i="1"/>
  <c r="D918" i="1"/>
  <c r="C918" i="1"/>
  <c r="B918" i="1"/>
  <c r="A918" i="1"/>
  <c r="P917" i="1"/>
  <c r="O917" i="1"/>
  <c r="N917" i="1"/>
  <c r="M917" i="1"/>
  <c r="L917" i="1"/>
  <c r="K917" i="1"/>
  <c r="J917" i="1"/>
  <c r="I917" i="1"/>
  <c r="H917" i="1"/>
  <c r="G917" i="1"/>
  <c r="F917" i="1"/>
  <c r="E917" i="1"/>
  <c r="D917" i="1"/>
  <c r="C917" i="1"/>
  <c r="B917" i="1"/>
  <c r="A917" i="1"/>
  <c r="P916" i="1"/>
  <c r="O916" i="1"/>
  <c r="N916" i="1"/>
  <c r="M916" i="1"/>
  <c r="L916" i="1"/>
  <c r="K916" i="1"/>
  <c r="J916" i="1"/>
  <c r="I916" i="1"/>
  <c r="H916" i="1"/>
  <c r="G916" i="1"/>
  <c r="F916" i="1"/>
  <c r="E916" i="1"/>
  <c r="D916" i="1"/>
  <c r="C916" i="1"/>
  <c r="B916" i="1"/>
  <c r="A916" i="1"/>
  <c r="P915" i="1"/>
  <c r="O915" i="1"/>
  <c r="N915" i="1"/>
  <c r="M915" i="1"/>
  <c r="L915" i="1"/>
  <c r="K915" i="1"/>
  <c r="J915" i="1"/>
  <c r="I915" i="1"/>
  <c r="H915" i="1"/>
  <c r="G915" i="1"/>
  <c r="F915" i="1"/>
  <c r="E915" i="1"/>
  <c r="D915" i="1"/>
  <c r="C915" i="1"/>
  <c r="B915" i="1"/>
  <c r="A915" i="1"/>
  <c r="P914" i="1"/>
  <c r="O914" i="1"/>
  <c r="N914" i="1"/>
  <c r="M914" i="1"/>
  <c r="L914" i="1"/>
  <c r="K914" i="1"/>
  <c r="J914" i="1"/>
  <c r="I914" i="1"/>
  <c r="H914" i="1"/>
  <c r="G914" i="1"/>
  <c r="F914" i="1"/>
  <c r="E914" i="1"/>
  <c r="D914" i="1"/>
  <c r="C914" i="1"/>
  <c r="B914" i="1"/>
  <c r="A914" i="1"/>
  <c r="P913" i="1"/>
  <c r="O913" i="1"/>
  <c r="N913" i="1"/>
  <c r="M913" i="1"/>
  <c r="L913" i="1"/>
  <c r="K913" i="1"/>
  <c r="J913" i="1"/>
  <c r="I913" i="1"/>
  <c r="H913" i="1"/>
  <c r="G913" i="1"/>
  <c r="F913" i="1"/>
  <c r="E913" i="1"/>
  <c r="D913" i="1"/>
  <c r="C913" i="1"/>
  <c r="B913" i="1"/>
  <c r="A913" i="1"/>
  <c r="P912" i="1"/>
  <c r="O912" i="1"/>
  <c r="N912" i="1"/>
  <c r="M912" i="1"/>
  <c r="L912" i="1"/>
  <c r="K912" i="1"/>
  <c r="J912" i="1"/>
  <c r="I912" i="1"/>
  <c r="H912" i="1"/>
  <c r="G912" i="1"/>
  <c r="F912" i="1"/>
  <c r="E912" i="1"/>
  <c r="D912" i="1"/>
  <c r="C912" i="1"/>
  <c r="B912" i="1"/>
  <c r="A912" i="1"/>
  <c r="P911" i="1"/>
  <c r="O911" i="1"/>
  <c r="N911" i="1"/>
  <c r="M911" i="1"/>
  <c r="L911" i="1"/>
  <c r="K911" i="1"/>
  <c r="J911" i="1"/>
  <c r="I911" i="1"/>
  <c r="H911" i="1"/>
  <c r="G911" i="1"/>
  <c r="F911" i="1"/>
  <c r="E911" i="1"/>
  <c r="D911" i="1"/>
  <c r="C911" i="1"/>
  <c r="B911" i="1"/>
  <c r="A911" i="1"/>
  <c r="P910" i="1"/>
  <c r="O910" i="1"/>
  <c r="N910" i="1"/>
  <c r="M910" i="1"/>
  <c r="L910" i="1"/>
  <c r="K910" i="1"/>
  <c r="J910" i="1"/>
  <c r="I910" i="1"/>
  <c r="H910" i="1"/>
  <c r="G910" i="1"/>
  <c r="F910" i="1"/>
  <c r="E910" i="1"/>
  <c r="D910" i="1"/>
  <c r="C910" i="1"/>
  <c r="B910" i="1"/>
  <c r="A910" i="1"/>
  <c r="P909" i="1"/>
  <c r="O909" i="1"/>
  <c r="N909" i="1"/>
  <c r="M909" i="1"/>
  <c r="L909" i="1"/>
  <c r="K909" i="1"/>
  <c r="J909" i="1"/>
  <c r="I909" i="1"/>
  <c r="H909" i="1"/>
  <c r="G909" i="1"/>
  <c r="F909" i="1"/>
  <c r="E909" i="1"/>
  <c r="D909" i="1"/>
  <c r="C909" i="1"/>
  <c r="B909" i="1"/>
  <c r="A909" i="1"/>
  <c r="P908" i="1"/>
  <c r="O908" i="1"/>
  <c r="N908" i="1"/>
  <c r="M908" i="1"/>
  <c r="L908" i="1"/>
  <c r="K908" i="1"/>
  <c r="J908" i="1"/>
  <c r="I908" i="1"/>
  <c r="H908" i="1"/>
  <c r="G908" i="1"/>
  <c r="F908" i="1"/>
  <c r="E908" i="1"/>
  <c r="D908" i="1"/>
  <c r="C908" i="1"/>
  <c r="B908" i="1"/>
  <c r="A908" i="1"/>
  <c r="P907" i="1"/>
  <c r="O907" i="1"/>
  <c r="N907" i="1"/>
  <c r="M907" i="1"/>
  <c r="L907" i="1"/>
  <c r="K907" i="1"/>
  <c r="J907" i="1"/>
  <c r="I907" i="1"/>
  <c r="H907" i="1"/>
  <c r="G907" i="1"/>
  <c r="F907" i="1"/>
  <c r="E907" i="1"/>
  <c r="D907" i="1"/>
  <c r="C907" i="1"/>
  <c r="B907" i="1"/>
  <c r="A907" i="1"/>
  <c r="P906" i="1"/>
  <c r="O906" i="1"/>
  <c r="N906" i="1"/>
  <c r="M906" i="1"/>
  <c r="L906" i="1"/>
  <c r="K906" i="1"/>
  <c r="J906" i="1"/>
  <c r="I906" i="1"/>
  <c r="H906" i="1"/>
  <c r="G906" i="1"/>
  <c r="F906" i="1"/>
  <c r="E906" i="1"/>
  <c r="D906" i="1"/>
  <c r="C906" i="1"/>
  <c r="B906" i="1"/>
  <c r="A906" i="1"/>
  <c r="P905" i="1"/>
  <c r="O905" i="1"/>
  <c r="N905" i="1"/>
  <c r="M905" i="1"/>
  <c r="L905" i="1"/>
  <c r="K905" i="1"/>
  <c r="J905" i="1"/>
  <c r="I905" i="1"/>
  <c r="H905" i="1"/>
  <c r="G905" i="1"/>
  <c r="F905" i="1"/>
  <c r="E905" i="1"/>
  <c r="D905" i="1"/>
  <c r="C905" i="1"/>
  <c r="B905" i="1"/>
  <c r="A905" i="1"/>
  <c r="P904" i="1"/>
  <c r="O904" i="1"/>
  <c r="N904" i="1"/>
  <c r="M904" i="1"/>
  <c r="L904" i="1"/>
  <c r="K904" i="1"/>
  <c r="J904" i="1"/>
  <c r="I904" i="1"/>
  <c r="H904" i="1"/>
  <c r="G904" i="1"/>
  <c r="F904" i="1"/>
  <c r="E904" i="1"/>
  <c r="D904" i="1"/>
  <c r="C904" i="1"/>
  <c r="B904" i="1"/>
  <c r="A904" i="1"/>
  <c r="P903" i="1"/>
  <c r="O903" i="1"/>
  <c r="N903" i="1"/>
  <c r="M903" i="1"/>
  <c r="L903" i="1"/>
  <c r="K903" i="1"/>
  <c r="J903" i="1"/>
  <c r="I903" i="1"/>
  <c r="H903" i="1"/>
  <c r="G903" i="1"/>
  <c r="F903" i="1"/>
  <c r="E903" i="1"/>
  <c r="D903" i="1"/>
  <c r="C903" i="1"/>
  <c r="B903" i="1"/>
  <c r="A903" i="1"/>
  <c r="P902" i="1"/>
  <c r="O902" i="1"/>
  <c r="N902" i="1"/>
  <c r="M902" i="1"/>
  <c r="L902" i="1"/>
  <c r="K902" i="1"/>
  <c r="J902" i="1"/>
  <c r="I902" i="1"/>
  <c r="H902" i="1"/>
  <c r="G902" i="1"/>
  <c r="F902" i="1"/>
  <c r="E902" i="1"/>
  <c r="D902" i="1"/>
  <c r="C902" i="1"/>
  <c r="B902" i="1"/>
  <c r="A902" i="1"/>
  <c r="P901" i="1"/>
  <c r="O901" i="1"/>
  <c r="N901" i="1"/>
  <c r="M901" i="1"/>
  <c r="L901" i="1"/>
  <c r="K901" i="1"/>
  <c r="J901" i="1"/>
  <c r="I901" i="1"/>
  <c r="H901" i="1"/>
  <c r="G901" i="1"/>
  <c r="F901" i="1"/>
  <c r="E901" i="1"/>
  <c r="D901" i="1"/>
  <c r="C901" i="1"/>
  <c r="B901" i="1"/>
  <c r="A901" i="1"/>
  <c r="P900" i="1"/>
  <c r="O900" i="1"/>
  <c r="N900" i="1"/>
  <c r="M900" i="1"/>
  <c r="L900" i="1"/>
  <c r="K900" i="1"/>
  <c r="J900" i="1"/>
  <c r="I900" i="1"/>
  <c r="H900" i="1"/>
  <c r="G900" i="1"/>
  <c r="F900" i="1"/>
  <c r="E900" i="1"/>
  <c r="D900" i="1"/>
  <c r="C900" i="1"/>
  <c r="B900" i="1"/>
  <c r="A900" i="1"/>
  <c r="P899" i="1"/>
  <c r="O899" i="1"/>
  <c r="N899" i="1"/>
  <c r="M899" i="1"/>
  <c r="L899" i="1"/>
  <c r="K899" i="1"/>
  <c r="J899" i="1"/>
  <c r="I899" i="1"/>
  <c r="H899" i="1"/>
  <c r="G899" i="1"/>
  <c r="F899" i="1"/>
  <c r="E899" i="1"/>
  <c r="D899" i="1"/>
  <c r="C899" i="1"/>
  <c r="B899" i="1"/>
  <c r="A899" i="1"/>
  <c r="P898" i="1"/>
  <c r="O898" i="1"/>
  <c r="N898" i="1"/>
  <c r="M898" i="1"/>
  <c r="L898" i="1"/>
  <c r="K898" i="1"/>
  <c r="J898" i="1"/>
  <c r="I898" i="1"/>
  <c r="H898" i="1"/>
  <c r="G898" i="1"/>
  <c r="F898" i="1"/>
  <c r="E898" i="1"/>
  <c r="D898" i="1"/>
  <c r="C898" i="1"/>
  <c r="B898" i="1"/>
  <c r="A898" i="1"/>
  <c r="P897" i="1"/>
  <c r="O897" i="1"/>
  <c r="N897" i="1"/>
  <c r="M897" i="1"/>
  <c r="L897" i="1"/>
  <c r="K897" i="1"/>
  <c r="J897" i="1"/>
  <c r="I897" i="1"/>
  <c r="H897" i="1"/>
  <c r="G897" i="1"/>
  <c r="F897" i="1"/>
  <c r="E897" i="1"/>
  <c r="D897" i="1"/>
  <c r="C897" i="1"/>
  <c r="B897" i="1"/>
  <c r="A897" i="1"/>
  <c r="P896" i="1"/>
  <c r="O896" i="1"/>
  <c r="N896" i="1"/>
  <c r="M896" i="1"/>
  <c r="L896" i="1"/>
  <c r="K896" i="1"/>
  <c r="J896" i="1"/>
  <c r="I896" i="1"/>
  <c r="H896" i="1"/>
  <c r="G896" i="1"/>
  <c r="F896" i="1"/>
  <c r="E896" i="1"/>
  <c r="D896" i="1"/>
  <c r="C896" i="1"/>
  <c r="B896" i="1"/>
  <c r="A896" i="1"/>
  <c r="P895" i="1"/>
  <c r="O895" i="1"/>
  <c r="N895" i="1"/>
  <c r="M895" i="1"/>
  <c r="L895" i="1"/>
  <c r="K895" i="1"/>
  <c r="J895" i="1"/>
  <c r="I895" i="1"/>
  <c r="H895" i="1"/>
  <c r="G895" i="1"/>
  <c r="F895" i="1"/>
  <c r="E895" i="1"/>
  <c r="D895" i="1"/>
  <c r="C895" i="1"/>
  <c r="B895" i="1"/>
  <c r="A895" i="1"/>
  <c r="P894" i="1"/>
  <c r="O894" i="1"/>
  <c r="N894" i="1"/>
  <c r="M894" i="1"/>
  <c r="L894" i="1"/>
  <c r="K894" i="1"/>
  <c r="J894" i="1"/>
  <c r="I894" i="1"/>
  <c r="H894" i="1"/>
  <c r="G894" i="1"/>
  <c r="F894" i="1"/>
  <c r="E894" i="1"/>
  <c r="D894" i="1"/>
  <c r="C894" i="1"/>
  <c r="B894" i="1"/>
  <c r="A894" i="1"/>
  <c r="P893" i="1"/>
  <c r="O893" i="1"/>
  <c r="N893" i="1"/>
  <c r="M893" i="1"/>
  <c r="L893" i="1"/>
  <c r="K893" i="1"/>
  <c r="J893" i="1"/>
  <c r="I893" i="1"/>
  <c r="H893" i="1"/>
  <c r="G893" i="1"/>
  <c r="F893" i="1"/>
  <c r="E893" i="1"/>
  <c r="D893" i="1"/>
  <c r="C893" i="1"/>
  <c r="B893" i="1"/>
  <c r="A893" i="1"/>
  <c r="P892" i="1"/>
  <c r="O892" i="1"/>
  <c r="N892" i="1"/>
  <c r="M892" i="1"/>
  <c r="L892" i="1"/>
  <c r="K892" i="1"/>
  <c r="J892" i="1"/>
  <c r="I892" i="1"/>
  <c r="H892" i="1"/>
  <c r="G892" i="1"/>
  <c r="F892" i="1"/>
  <c r="E892" i="1"/>
  <c r="D892" i="1"/>
  <c r="C892" i="1"/>
  <c r="B892" i="1"/>
  <c r="A892" i="1"/>
  <c r="P891" i="1"/>
  <c r="O891" i="1"/>
  <c r="N891" i="1"/>
  <c r="M891" i="1"/>
  <c r="L891" i="1"/>
  <c r="K891" i="1"/>
  <c r="J891" i="1"/>
  <c r="I891" i="1"/>
  <c r="H891" i="1"/>
  <c r="G891" i="1"/>
  <c r="F891" i="1"/>
  <c r="E891" i="1"/>
  <c r="D891" i="1"/>
  <c r="C891" i="1"/>
  <c r="B891" i="1"/>
  <c r="A891" i="1"/>
  <c r="P890" i="1"/>
  <c r="O890" i="1"/>
  <c r="N890" i="1"/>
  <c r="M890" i="1"/>
  <c r="L890" i="1"/>
  <c r="K890" i="1"/>
  <c r="J890" i="1"/>
  <c r="I890" i="1"/>
  <c r="H890" i="1"/>
  <c r="G890" i="1"/>
  <c r="F890" i="1"/>
  <c r="E890" i="1"/>
  <c r="D890" i="1"/>
  <c r="C890" i="1"/>
  <c r="B890" i="1"/>
  <c r="A890" i="1"/>
  <c r="P889" i="1"/>
  <c r="O889" i="1"/>
  <c r="N889" i="1"/>
  <c r="M889" i="1"/>
  <c r="L889" i="1"/>
  <c r="K889" i="1"/>
  <c r="J889" i="1"/>
  <c r="I889" i="1"/>
  <c r="H889" i="1"/>
  <c r="G889" i="1"/>
  <c r="F889" i="1"/>
  <c r="E889" i="1"/>
  <c r="D889" i="1"/>
  <c r="C889" i="1"/>
  <c r="B889" i="1"/>
  <c r="A889" i="1"/>
  <c r="P888" i="1"/>
  <c r="O888" i="1"/>
  <c r="N888" i="1"/>
  <c r="M888" i="1"/>
  <c r="L888" i="1"/>
  <c r="K888" i="1"/>
  <c r="J888" i="1"/>
  <c r="I888" i="1"/>
  <c r="H888" i="1"/>
  <c r="G888" i="1"/>
  <c r="F888" i="1"/>
  <c r="E888" i="1"/>
  <c r="D888" i="1"/>
  <c r="C888" i="1"/>
  <c r="B888" i="1"/>
  <c r="A888" i="1"/>
  <c r="P887" i="1"/>
  <c r="O887" i="1"/>
  <c r="N887" i="1"/>
  <c r="M887" i="1"/>
  <c r="L887" i="1"/>
  <c r="K887" i="1"/>
  <c r="J887" i="1"/>
  <c r="I887" i="1"/>
  <c r="H887" i="1"/>
  <c r="G887" i="1"/>
  <c r="F887" i="1"/>
  <c r="E887" i="1"/>
  <c r="D887" i="1"/>
  <c r="C887" i="1"/>
  <c r="B887" i="1"/>
  <c r="A887" i="1"/>
  <c r="P886" i="1"/>
  <c r="O886" i="1"/>
  <c r="N886" i="1"/>
  <c r="M886" i="1"/>
  <c r="L886" i="1"/>
  <c r="K886" i="1"/>
  <c r="J886" i="1"/>
  <c r="I886" i="1"/>
  <c r="H886" i="1"/>
  <c r="G886" i="1"/>
  <c r="F886" i="1"/>
  <c r="E886" i="1"/>
  <c r="D886" i="1"/>
  <c r="C886" i="1"/>
  <c r="B886" i="1"/>
  <c r="A886" i="1"/>
  <c r="P885" i="1"/>
  <c r="O885" i="1"/>
  <c r="N885" i="1"/>
  <c r="M885" i="1"/>
  <c r="L885" i="1"/>
  <c r="K885" i="1"/>
  <c r="J885" i="1"/>
  <c r="I885" i="1"/>
  <c r="H885" i="1"/>
  <c r="G885" i="1"/>
  <c r="F885" i="1"/>
  <c r="E885" i="1"/>
  <c r="D885" i="1"/>
  <c r="C885" i="1"/>
  <c r="B885" i="1"/>
  <c r="A885" i="1"/>
  <c r="P884" i="1"/>
  <c r="O884" i="1"/>
  <c r="N884" i="1"/>
  <c r="M884" i="1"/>
  <c r="L884" i="1"/>
  <c r="K884" i="1"/>
  <c r="J884" i="1"/>
  <c r="I884" i="1"/>
  <c r="H884" i="1"/>
  <c r="G884" i="1"/>
  <c r="F884" i="1"/>
  <c r="E884" i="1"/>
  <c r="D884" i="1"/>
  <c r="C884" i="1"/>
  <c r="B884" i="1"/>
  <c r="A884" i="1"/>
  <c r="P883" i="1"/>
  <c r="O883" i="1"/>
  <c r="N883" i="1"/>
  <c r="M883" i="1"/>
  <c r="L883" i="1"/>
  <c r="K883" i="1"/>
  <c r="J883" i="1"/>
  <c r="I883" i="1"/>
  <c r="H883" i="1"/>
  <c r="G883" i="1"/>
  <c r="F883" i="1"/>
  <c r="E883" i="1"/>
  <c r="D883" i="1"/>
  <c r="C883" i="1"/>
  <c r="B883" i="1"/>
  <c r="A883" i="1"/>
  <c r="P882" i="1"/>
  <c r="O882" i="1"/>
  <c r="N882" i="1"/>
  <c r="M882" i="1"/>
  <c r="L882" i="1"/>
  <c r="K882" i="1"/>
  <c r="J882" i="1"/>
  <c r="I882" i="1"/>
  <c r="H882" i="1"/>
  <c r="G882" i="1"/>
  <c r="F882" i="1"/>
  <c r="E882" i="1"/>
  <c r="D882" i="1"/>
  <c r="C882" i="1"/>
  <c r="B882" i="1"/>
  <c r="A882" i="1"/>
  <c r="P881" i="1"/>
  <c r="O881" i="1"/>
  <c r="N881" i="1"/>
  <c r="M881" i="1"/>
  <c r="L881" i="1"/>
  <c r="K881" i="1"/>
  <c r="J881" i="1"/>
  <c r="I881" i="1"/>
  <c r="H881" i="1"/>
  <c r="G881" i="1"/>
  <c r="F881" i="1"/>
  <c r="E881" i="1"/>
  <c r="D881" i="1"/>
  <c r="C881" i="1"/>
  <c r="B881" i="1"/>
  <c r="A881" i="1"/>
  <c r="P880" i="1"/>
  <c r="O880" i="1"/>
  <c r="N880" i="1"/>
  <c r="M880" i="1"/>
  <c r="L880" i="1"/>
  <c r="K880" i="1"/>
  <c r="J880" i="1"/>
  <c r="I880" i="1"/>
  <c r="H880" i="1"/>
  <c r="G880" i="1"/>
  <c r="F880" i="1"/>
  <c r="E880" i="1"/>
  <c r="D880" i="1"/>
  <c r="C880" i="1"/>
  <c r="B880" i="1"/>
  <c r="A880" i="1"/>
  <c r="P879" i="1"/>
  <c r="O879" i="1"/>
  <c r="N879" i="1"/>
  <c r="M879" i="1"/>
  <c r="L879" i="1"/>
  <c r="K879" i="1"/>
  <c r="J879" i="1"/>
  <c r="I879" i="1"/>
  <c r="H879" i="1"/>
  <c r="G879" i="1"/>
  <c r="F879" i="1"/>
  <c r="E879" i="1"/>
  <c r="D879" i="1"/>
  <c r="C879" i="1"/>
  <c r="B879" i="1"/>
  <c r="A879" i="1"/>
  <c r="P878" i="1"/>
  <c r="O878" i="1"/>
  <c r="N878" i="1"/>
  <c r="M878" i="1"/>
  <c r="L878" i="1"/>
  <c r="K878" i="1"/>
  <c r="J878" i="1"/>
  <c r="I878" i="1"/>
  <c r="H878" i="1"/>
  <c r="G878" i="1"/>
  <c r="F878" i="1"/>
  <c r="E878" i="1"/>
  <c r="D878" i="1"/>
  <c r="C878" i="1"/>
  <c r="B878" i="1"/>
  <c r="A878" i="1"/>
  <c r="P877" i="1"/>
  <c r="O877" i="1"/>
  <c r="N877" i="1"/>
  <c r="M877" i="1"/>
  <c r="L877" i="1"/>
  <c r="K877" i="1"/>
  <c r="J877" i="1"/>
  <c r="I877" i="1"/>
  <c r="H877" i="1"/>
  <c r="G877" i="1"/>
  <c r="F877" i="1"/>
  <c r="E877" i="1"/>
  <c r="D877" i="1"/>
  <c r="C877" i="1"/>
  <c r="B877" i="1"/>
  <c r="A877" i="1"/>
  <c r="P876" i="1"/>
  <c r="O876" i="1"/>
  <c r="N876" i="1"/>
  <c r="M876" i="1"/>
  <c r="L876" i="1"/>
  <c r="K876" i="1"/>
  <c r="J876" i="1"/>
  <c r="I876" i="1"/>
  <c r="H876" i="1"/>
  <c r="G876" i="1"/>
  <c r="F876" i="1"/>
  <c r="E876" i="1"/>
  <c r="D876" i="1"/>
  <c r="C876" i="1"/>
  <c r="B876" i="1"/>
  <c r="A876" i="1"/>
  <c r="P875" i="1"/>
  <c r="O875" i="1"/>
  <c r="N875" i="1"/>
  <c r="M875" i="1"/>
  <c r="L875" i="1"/>
  <c r="K875" i="1"/>
  <c r="J875" i="1"/>
  <c r="I875" i="1"/>
  <c r="H875" i="1"/>
  <c r="G875" i="1"/>
  <c r="F875" i="1"/>
  <c r="E875" i="1"/>
  <c r="D875" i="1"/>
  <c r="C875" i="1"/>
  <c r="B875" i="1"/>
  <c r="A875" i="1"/>
  <c r="P874" i="1"/>
  <c r="O874" i="1"/>
  <c r="N874" i="1"/>
  <c r="M874" i="1"/>
  <c r="L874" i="1"/>
  <c r="K874" i="1"/>
  <c r="J874" i="1"/>
  <c r="I874" i="1"/>
  <c r="H874" i="1"/>
  <c r="G874" i="1"/>
  <c r="F874" i="1"/>
  <c r="E874" i="1"/>
  <c r="D874" i="1"/>
  <c r="C874" i="1"/>
  <c r="B874" i="1"/>
  <c r="A874" i="1"/>
  <c r="P873" i="1"/>
  <c r="O873" i="1"/>
  <c r="N873" i="1"/>
  <c r="M873" i="1"/>
  <c r="L873" i="1"/>
  <c r="K873" i="1"/>
  <c r="J873" i="1"/>
  <c r="I873" i="1"/>
  <c r="H873" i="1"/>
  <c r="G873" i="1"/>
  <c r="F873" i="1"/>
  <c r="E873" i="1"/>
  <c r="D873" i="1"/>
  <c r="C873" i="1"/>
  <c r="B873" i="1"/>
  <c r="A873" i="1"/>
  <c r="P872" i="1"/>
  <c r="O872" i="1"/>
  <c r="N872" i="1"/>
  <c r="M872" i="1"/>
  <c r="L872" i="1"/>
  <c r="K872" i="1"/>
  <c r="J872" i="1"/>
  <c r="I872" i="1"/>
  <c r="H872" i="1"/>
  <c r="G872" i="1"/>
  <c r="F872" i="1"/>
  <c r="E872" i="1"/>
  <c r="D872" i="1"/>
  <c r="C872" i="1"/>
  <c r="B872" i="1"/>
  <c r="A872" i="1"/>
  <c r="P871" i="1"/>
  <c r="O871" i="1"/>
  <c r="N871" i="1"/>
  <c r="M871" i="1"/>
  <c r="L871" i="1"/>
  <c r="K871" i="1"/>
  <c r="J871" i="1"/>
  <c r="I871" i="1"/>
  <c r="H871" i="1"/>
  <c r="G871" i="1"/>
  <c r="F871" i="1"/>
  <c r="E871" i="1"/>
  <c r="D871" i="1"/>
  <c r="C871" i="1"/>
  <c r="B871" i="1"/>
  <c r="A871" i="1"/>
  <c r="P870" i="1"/>
  <c r="O870" i="1"/>
  <c r="N870" i="1"/>
  <c r="M870" i="1"/>
  <c r="L870" i="1"/>
  <c r="K870" i="1"/>
  <c r="J870" i="1"/>
  <c r="I870" i="1"/>
  <c r="H870" i="1"/>
  <c r="G870" i="1"/>
  <c r="F870" i="1"/>
  <c r="E870" i="1"/>
  <c r="D870" i="1"/>
  <c r="C870" i="1"/>
  <c r="B870" i="1"/>
  <c r="A870" i="1"/>
  <c r="P869" i="1"/>
  <c r="O869" i="1"/>
  <c r="N869" i="1"/>
  <c r="M869" i="1"/>
  <c r="L869" i="1"/>
  <c r="K869" i="1"/>
  <c r="J869" i="1"/>
  <c r="I869" i="1"/>
  <c r="H869" i="1"/>
  <c r="G869" i="1"/>
  <c r="F869" i="1"/>
  <c r="E869" i="1"/>
  <c r="D869" i="1"/>
  <c r="C869" i="1"/>
  <c r="B869" i="1"/>
  <c r="A869" i="1"/>
  <c r="P868" i="1"/>
  <c r="O868" i="1"/>
  <c r="N868" i="1"/>
  <c r="M868" i="1"/>
  <c r="L868" i="1"/>
  <c r="K868" i="1"/>
  <c r="J868" i="1"/>
  <c r="I868" i="1"/>
  <c r="H868" i="1"/>
  <c r="G868" i="1"/>
  <c r="F868" i="1"/>
  <c r="E868" i="1"/>
  <c r="D868" i="1"/>
  <c r="C868" i="1"/>
  <c r="B868" i="1"/>
  <c r="A868" i="1"/>
  <c r="P867" i="1"/>
  <c r="O867" i="1"/>
  <c r="N867" i="1"/>
  <c r="M867" i="1"/>
  <c r="L867" i="1"/>
  <c r="K867" i="1"/>
  <c r="J867" i="1"/>
  <c r="I867" i="1"/>
  <c r="H867" i="1"/>
  <c r="G867" i="1"/>
  <c r="F867" i="1"/>
  <c r="E867" i="1"/>
  <c r="D867" i="1"/>
  <c r="C867" i="1"/>
  <c r="B867" i="1"/>
  <c r="A867" i="1"/>
  <c r="P866" i="1"/>
  <c r="O866" i="1"/>
  <c r="N866" i="1"/>
  <c r="M866" i="1"/>
  <c r="L866" i="1"/>
  <c r="K866" i="1"/>
  <c r="J866" i="1"/>
  <c r="I866" i="1"/>
  <c r="H866" i="1"/>
  <c r="G866" i="1"/>
  <c r="F866" i="1"/>
  <c r="E866" i="1"/>
  <c r="D866" i="1"/>
  <c r="C866" i="1"/>
  <c r="B866" i="1"/>
  <c r="A866" i="1"/>
  <c r="P865" i="1"/>
  <c r="O865" i="1"/>
  <c r="N865" i="1"/>
  <c r="M865" i="1"/>
  <c r="L865" i="1"/>
  <c r="K865" i="1"/>
  <c r="J865" i="1"/>
  <c r="I865" i="1"/>
  <c r="H865" i="1"/>
  <c r="G865" i="1"/>
  <c r="F865" i="1"/>
  <c r="E865" i="1"/>
  <c r="D865" i="1"/>
  <c r="C865" i="1"/>
  <c r="B865" i="1"/>
  <c r="A865" i="1"/>
  <c r="P864" i="1"/>
  <c r="O864" i="1"/>
  <c r="N864" i="1"/>
  <c r="M864" i="1"/>
  <c r="L864" i="1"/>
  <c r="K864" i="1"/>
  <c r="J864" i="1"/>
  <c r="I864" i="1"/>
  <c r="H864" i="1"/>
  <c r="G864" i="1"/>
  <c r="F864" i="1"/>
  <c r="E864" i="1"/>
  <c r="D864" i="1"/>
  <c r="C864" i="1"/>
  <c r="B864" i="1"/>
  <c r="A864" i="1"/>
  <c r="P863" i="1"/>
  <c r="O863" i="1"/>
  <c r="N863" i="1"/>
  <c r="M863" i="1"/>
  <c r="L863" i="1"/>
  <c r="K863" i="1"/>
  <c r="J863" i="1"/>
  <c r="I863" i="1"/>
  <c r="H863" i="1"/>
  <c r="G863" i="1"/>
  <c r="F863" i="1"/>
  <c r="E863" i="1"/>
  <c r="D863" i="1"/>
  <c r="C863" i="1"/>
  <c r="B863" i="1"/>
  <c r="A863" i="1"/>
  <c r="P862" i="1"/>
  <c r="O862" i="1"/>
  <c r="N862" i="1"/>
  <c r="M862" i="1"/>
  <c r="L862" i="1"/>
  <c r="K862" i="1"/>
  <c r="J862" i="1"/>
  <c r="I862" i="1"/>
  <c r="H862" i="1"/>
  <c r="G862" i="1"/>
  <c r="F862" i="1"/>
  <c r="E862" i="1"/>
  <c r="D862" i="1"/>
  <c r="C862" i="1"/>
  <c r="B862" i="1"/>
  <c r="A862" i="1"/>
  <c r="P861" i="1"/>
  <c r="O861" i="1"/>
  <c r="N861" i="1"/>
  <c r="M861" i="1"/>
  <c r="L861" i="1"/>
  <c r="K861" i="1"/>
  <c r="J861" i="1"/>
  <c r="I861" i="1"/>
  <c r="H861" i="1"/>
  <c r="G861" i="1"/>
  <c r="F861" i="1"/>
  <c r="E861" i="1"/>
  <c r="D861" i="1"/>
  <c r="C861" i="1"/>
  <c r="B861" i="1"/>
  <c r="A861" i="1"/>
  <c r="P860" i="1"/>
  <c r="O860" i="1"/>
  <c r="N860" i="1"/>
  <c r="M860" i="1"/>
  <c r="L860" i="1"/>
  <c r="K860" i="1"/>
  <c r="J860" i="1"/>
  <c r="I860" i="1"/>
  <c r="H860" i="1"/>
  <c r="G860" i="1"/>
  <c r="F860" i="1"/>
  <c r="E860" i="1"/>
  <c r="D860" i="1"/>
  <c r="C860" i="1"/>
  <c r="B860" i="1"/>
  <c r="A860" i="1"/>
  <c r="P859" i="1"/>
  <c r="O859" i="1"/>
  <c r="N859" i="1"/>
  <c r="M859" i="1"/>
  <c r="L859" i="1"/>
  <c r="K859" i="1"/>
  <c r="J859" i="1"/>
  <c r="I859" i="1"/>
  <c r="H859" i="1"/>
  <c r="G859" i="1"/>
  <c r="F859" i="1"/>
  <c r="E859" i="1"/>
  <c r="D859" i="1"/>
  <c r="C859" i="1"/>
  <c r="B859" i="1"/>
  <c r="A859" i="1"/>
  <c r="P858" i="1"/>
  <c r="O858" i="1"/>
  <c r="N858" i="1"/>
  <c r="M858" i="1"/>
  <c r="L858" i="1"/>
  <c r="K858" i="1"/>
  <c r="J858" i="1"/>
  <c r="I858" i="1"/>
  <c r="H858" i="1"/>
  <c r="G858" i="1"/>
  <c r="F858" i="1"/>
  <c r="E858" i="1"/>
  <c r="D858" i="1"/>
  <c r="C858" i="1"/>
  <c r="B858" i="1"/>
  <c r="A858" i="1"/>
  <c r="P857" i="1"/>
  <c r="O857" i="1"/>
  <c r="N857" i="1"/>
  <c r="M857" i="1"/>
  <c r="L857" i="1"/>
  <c r="K857" i="1"/>
  <c r="J857" i="1"/>
  <c r="I857" i="1"/>
  <c r="H857" i="1"/>
  <c r="G857" i="1"/>
  <c r="F857" i="1"/>
  <c r="E857" i="1"/>
  <c r="D857" i="1"/>
  <c r="C857" i="1"/>
  <c r="B857" i="1"/>
  <c r="A857" i="1"/>
  <c r="P856" i="1"/>
  <c r="O856" i="1"/>
  <c r="N856" i="1"/>
  <c r="M856" i="1"/>
  <c r="L856" i="1"/>
  <c r="K856" i="1"/>
  <c r="J856" i="1"/>
  <c r="I856" i="1"/>
  <c r="H856" i="1"/>
  <c r="G856" i="1"/>
  <c r="F856" i="1"/>
  <c r="E856" i="1"/>
  <c r="D856" i="1"/>
  <c r="C856" i="1"/>
  <c r="B856" i="1"/>
  <c r="A856" i="1"/>
  <c r="P855" i="1"/>
  <c r="O855" i="1"/>
  <c r="N855" i="1"/>
  <c r="M855" i="1"/>
  <c r="L855" i="1"/>
  <c r="K855" i="1"/>
  <c r="J855" i="1"/>
  <c r="I855" i="1"/>
  <c r="H855" i="1"/>
  <c r="G855" i="1"/>
  <c r="F855" i="1"/>
  <c r="E855" i="1"/>
  <c r="D855" i="1"/>
  <c r="C855" i="1"/>
  <c r="B855" i="1"/>
  <c r="A855" i="1"/>
  <c r="P854" i="1"/>
  <c r="O854" i="1"/>
  <c r="N854" i="1"/>
  <c r="M854" i="1"/>
  <c r="L854" i="1"/>
  <c r="K854" i="1"/>
  <c r="J854" i="1"/>
  <c r="I854" i="1"/>
  <c r="H854" i="1"/>
  <c r="G854" i="1"/>
  <c r="F854" i="1"/>
  <c r="E854" i="1"/>
  <c r="D854" i="1"/>
  <c r="C854" i="1"/>
  <c r="B854" i="1"/>
  <c r="A854" i="1"/>
  <c r="P853" i="1"/>
  <c r="O853" i="1"/>
  <c r="N853" i="1"/>
  <c r="M853" i="1"/>
  <c r="L853" i="1"/>
  <c r="K853" i="1"/>
  <c r="J853" i="1"/>
  <c r="I853" i="1"/>
  <c r="H853" i="1"/>
  <c r="G853" i="1"/>
  <c r="F853" i="1"/>
  <c r="E853" i="1"/>
  <c r="D853" i="1"/>
  <c r="C853" i="1"/>
  <c r="B853" i="1"/>
  <c r="A853" i="1"/>
  <c r="P852" i="1"/>
  <c r="O852" i="1"/>
  <c r="N852" i="1"/>
  <c r="M852" i="1"/>
  <c r="L852" i="1"/>
  <c r="K852" i="1"/>
  <c r="J852" i="1"/>
  <c r="I852" i="1"/>
  <c r="H852" i="1"/>
  <c r="G852" i="1"/>
  <c r="F852" i="1"/>
  <c r="E852" i="1"/>
  <c r="D852" i="1"/>
  <c r="C852" i="1"/>
  <c r="B852" i="1"/>
  <c r="A852" i="1"/>
  <c r="P851" i="1"/>
  <c r="O851" i="1"/>
  <c r="N851" i="1"/>
  <c r="M851" i="1"/>
  <c r="L851" i="1"/>
  <c r="K851" i="1"/>
  <c r="J851" i="1"/>
  <c r="I851" i="1"/>
  <c r="H851" i="1"/>
  <c r="G851" i="1"/>
  <c r="F851" i="1"/>
  <c r="E851" i="1"/>
  <c r="D851" i="1"/>
  <c r="C851" i="1"/>
  <c r="B851" i="1"/>
  <c r="A851" i="1"/>
  <c r="P850" i="1"/>
  <c r="O850" i="1"/>
  <c r="N850" i="1"/>
  <c r="M850" i="1"/>
  <c r="L850" i="1"/>
  <c r="K850" i="1"/>
  <c r="J850" i="1"/>
  <c r="I850" i="1"/>
  <c r="H850" i="1"/>
  <c r="G850" i="1"/>
  <c r="F850" i="1"/>
  <c r="E850" i="1"/>
  <c r="D850" i="1"/>
  <c r="C850" i="1"/>
  <c r="B850" i="1"/>
  <c r="A850" i="1"/>
  <c r="P849" i="1"/>
  <c r="O849" i="1"/>
  <c r="N849" i="1"/>
  <c r="M849" i="1"/>
  <c r="L849" i="1"/>
  <c r="K849" i="1"/>
  <c r="J849" i="1"/>
  <c r="I849" i="1"/>
  <c r="H849" i="1"/>
  <c r="G849" i="1"/>
  <c r="F849" i="1"/>
  <c r="E849" i="1"/>
  <c r="D849" i="1"/>
  <c r="C849" i="1"/>
  <c r="B849" i="1"/>
  <c r="A849" i="1"/>
  <c r="P848" i="1"/>
  <c r="O848" i="1"/>
  <c r="N848" i="1"/>
  <c r="M848" i="1"/>
  <c r="L848" i="1"/>
  <c r="K848" i="1"/>
  <c r="J848" i="1"/>
  <c r="I848" i="1"/>
  <c r="H848" i="1"/>
  <c r="G848" i="1"/>
  <c r="F848" i="1"/>
  <c r="E848" i="1"/>
  <c r="D848" i="1"/>
  <c r="C848" i="1"/>
  <c r="B848" i="1"/>
  <c r="A848" i="1"/>
  <c r="P847" i="1"/>
  <c r="O847" i="1"/>
  <c r="N847" i="1"/>
  <c r="M847" i="1"/>
  <c r="L847" i="1"/>
  <c r="K847" i="1"/>
  <c r="J847" i="1"/>
  <c r="I847" i="1"/>
  <c r="H847" i="1"/>
  <c r="G847" i="1"/>
  <c r="F847" i="1"/>
  <c r="E847" i="1"/>
  <c r="D847" i="1"/>
  <c r="C847" i="1"/>
  <c r="B847" i="1"/>
  <c r="A847" i="1"/>
  <c r="P846" i="1"/>
  <c r="O846" i="1"/>
  <c r="N846" i="1"/>
  <c r="M846" i="1"/>
  <c r="L846" i="1"/>
  <c r="K846" i="1"/>
  <c r="J846" i="1"/>
  <c r="I846" i="1"/>
  <c r="H846" i="1"/>
  <c r="G846" i="1"/>
  <c r="F846" i="1"/>
  <c r="E846" i="1"/>
  <c r="D846" i="1"/>
  <c r="C846" i="1"/>
  <c r="B846" i="1"/>
  <c r="A846" i="1"/>
  <c r="P845" i="1"/>
  <c r="O845" i="1"/>
  <c r="N845" i="1"/>
  <c r="M845" i="1"/>
  <c r="L845" i="1"/>
  <c r="K845" i="1"/>
  <c r="J845" i="1"/>
  <c r="I845" i="1"/>
  <c r="H845" i="1"/>
  <c r="G845" i="1"/>
  <c r="F845" i="1"/>
  <c r="E845" i="1"/>
  <c r="D845" i="1"/>
  <c r="C845" i="1"/>
  <c r="B845" i="1"/>
  <c r="A845" i="1"/>
  <c r="P844" i="1"/>
  <c r="O844" i="1"/>
  <c r="N844" i="1"/>
  <c r="M844" i="1"/>
  <c r="L844" i="1"/>
  <c r="K844" i="1"/>
  <c r="J844" i="1"/>
  <c r="I844" i="1"/>
  <c r="H844" i="1"/>
  <c r="G844" i="1"/>
  <c r="F844" i="1"/>
  <c r="E844" i="1"/>
  <c r="D844" i="1"/>
  <c r="C844" i="1"/>
  <c r="B844" i="1"/>
  <c r="A844" i="1"/>
  <c r="P843" i="1"/>
  <c r="O843" i="1"/>
  <c r="N843" i="1"/>
  <c r="M843" i="1"/>
  <c r="L843" i="1"/>
  <c r="K843" i="1"/>
  <c r="J843" i="1"/>
  <c r="I843" i="1"/>
  <c r="H843" i="1"/>
  <c r="G843" i="1"/>
  <c r="F843" i="1"/>
  <c r="E843" i="1"/>
  <c r="D843" i="1"/>
  <c r="C843" i="1"/>
  <c r="B843" i="1"/>
  <c r="A843" i="1"/>
  <c r="P842" i="1"/>
  <c r="O842" i="1"/>
  <c r="N842" i="1"/>
  <c r="M842" i="1"/>
  <c r="L842" i="1"/>
  <c r="K842" i="1"/>
  <c r="J842" i="1"/>
  <c r="I842" i="1"/>
  <c r="H842" i="1"/>
  <c r="G842" i="1"/>
  <c r="F842" i="1"/>
  <c r="E842" i="1"/>
  <c r="D842" i="1"/>
  <c r="C842" i="1"/>
  <c r="B842" i="1"/>
  <c r="A842" i="1"/>
  <c r="P841" i="1"/>
  <c r="O841" i="1"/>
  <c r="N841" i="1"/>
  <c r="M841" i="1"/>
  <c r="L841" i="1"/>
  <c r="K841" i="1"/>
  <c r="J841" i="1"/>
  <c r="I841" i="1"/>
  <c r="H841" i="1"/>
  <c r="G841" i="1"/>
  <c r="F841" i="1"/>
  <c r="E841" i="1"/>
  <c r="D841" i="1"/>
  <c r="C841" i="1"/>
  <c r="B841" i="1"/>
  <c r="A841" i="1"/>
  <c r="P840" i="1"/>
  <c r="O840" i="1"/>
  <c r="N840" i="1"/>
  <c r="M840" i="1"/>
  <c r="L840" i="1"/>
  <c r="K840" i="1"/>
  <c r="J840" i="1"/>
  <c r="I840" i="1"/>
  <c r="H840" i="1"/>
  <c r="G840" i="1"/>
  <c r="F840" i="1"/>
  <c r="E840" i="1"/>
  <c r="D840" i="1"/>
  <c r="C840" i="1"/>
  <c r="B840" i="1"/>
  <c r="A840" i="1"/>
  <c r="P839" i="1"/>
  <c r="O839" i="1"/>
  <c r="N839" i="1"/>
  <c r="M839" i="1"/>
  <c r="L839" i="1"/>
  <c r="K839" i="1"/>
  <c r="J839" i="1"/>
  <c r="I839" i="1"/>
  <c r="H839" i="1"/>
  <c r="G839" i="1"/>
  <c r="F839" i="1"/>
  <c r="E839" i="1"/>
  <c r="D839" i="1"/>
  <c r="C839" i="1"/>
  <c r="B839" i="1"/>
  <c r="A839" i="1"/>
  <c r="P838" i="1"/>
  <c r="O838" i="1"/>
  <c r="N838" i="1"/>
  <c r="M838" i="1"/>
  <c r="L838" i="1"/>
  <c r="K838" i="1"/>
  <c r="J838" i="1"/>
  <c r="I838" i="1"/>
  <c r="H838" i="1"/>
  <c r="G838" i="1"/>
  <c r="F838" i="1"/>
  <c r="E838" i="1"/>
  <c r="D838" i="1"/>
  <c r="C838" i="1"/>
  <c r="B838" i="1"/>
  <c r="A838" i="1"/>
  <c r="P837" i="1"/>
  <c r="O837" i="1"/>
  <c r="N837" i="1"/>
  <c r="M837" i="1"/>
  <c r="L837" i="1"/>
  <c r="K837" i="1"/>
  <c r="J837" i="1"/>
  <c r="I837" i="1"/>
  <c r="H837" i="1"/>
  <c r="G837" i="1"/>
  <c r="F837" i="1"/>
  <c r="E837" i="1"/>
  <c r="D837" i="1"/>
  <c r="C837" i="1"/>
  <c r="B837" i="1"/>
  <c r="A837" i="1"/>
  <c r="P836" i="1"/>
  <c r="O836" i="1"/>
  <c r="N836" i="1"/>
  <c r="M836" i="1"/>
  <c r="L836" i="1"/>
  <c r="K836" i="1"/>
  <c r="J836" i="1"/>
  <c r="I836" i="1"/>
  <c r="H836" i="1"/>
  <c r="G836" i="1"/>
  <c r="F836" i="1"/>
  <c r="E836" i="1"/>
  <c r="D836" i="1"/>
  <c r="C836" i="1"/>
  <c r="B836" i="1"/>
  <c r="A836" i="1"/>
  <c r="P835" i="1"/>
  <c r="O835" i="1"/>
  <c r="N835" i="1"/>
  <c r="M835" i="1"/>
  <c r="L835" i="1"/>
  <c r="K835" i="1"/>
  <c r="J835" i="1"/>
  <c r="I835" i="1"/>
  <c r="H835" i="1"/>
  <c r="G835" i="1"/>
  <c r="F835" i="1"/>
  <c r="E835" i="1"/>
  <c r="D835" i="1"/>
  <c r="C835" i="1"/>
  <c r="B835" i="1"/>
  <c r="A835" i="1"/>
  <c r="P834" i="1"/>
  <c r="O834" i="1"/>
  <c r="N834" i="1"/>
  <c r="M834" i="1"/>
  <c r="L834" i="1"/>
  <c r="K834" i="1"/>
  <c r="J834" i="1"/>
  <c r="I834" i="1"/>
  <c r="H834" i="1"/>
  <c r="G834" i="1"/>
  <c r="F834" i="1"/>
  <c r="E834" i="1"/>
  <c r="D834" i="1"/>
  <c r="C834" i="1"/>
  <c r="B834" i="1"/>
  <c r="A834" i="1"/>
  <c r="P833" i="1"/>
  <c r="O833" i="1"/>
  <c r="N833" i="1"/>
  <c r="M833" i="1"/>
  <c r="L833" i="1"/>
  <c r="K833" i="1"/>
  <c r="J833" i="1"/>
  <c r="I833" i="1"/>
  <c r="H833" i="1"/>
  <c r="G833" i="1"/>
  <c r="F833" i="1"/>
  <c r="E833" i="1"/>
  <c r="D833" i="1"/>
  <c r="C833" i="1"/>
  <c r="B833" i="1"/>
  <c r="A833" i="1"/>
  <c r="P832" i="1"/>
  <c r="O832" i="1"/>
  <c r="N832" i="1"/>
  <c r="M832" i="1"/>
  <c r="L832" i="1"/>
  <c r="K832" i="1"/>
  <c r="J832" i="1"/>
  <c r="I832" i="1"/>
  <c r="H832" i="1"/>
  <c r="G832" i="1"/>
  <c r="F832" i="1"/>
  <c r="E832" i="1"/>
  <c r="D832" i="1"/>
  <c r="C832" i="1"/>
  <c r="B832" i="1"/>
  <c r="A832" i="1"/>
  <c r="P831" i="1"/>
  <c r="O831" i="1"/>
  <c r="N831" i="1"/>
  <c r="M831" i="1"/>
  <c r="L831" i="1"/>
  <c r="K831" i="1"/>
  <c r="J831" i="1"/>
  <c r="I831" i="1"/>
  <c r="H831" i="1"/>
  <c r="G831" i="1"/>
  <c r="F831" i="1"/>
  <c r="E831" i="1"/>
  <c r="D831" i="1"/>
  <c r="C831" i="1"/>
  <c r="B831" i="1"/>
  <c r="A831" i="1"/>
  <c r="P830" i="1"/>
  <c r="O830" i="1"/>
  <c r="N830" i="1"/>
  <c r="M830" i="1"/>
  <c r="L830" i="1"/>
  <c r="K830" i="1"/>
  <c r="J830" i="1"/>
  <c r="I830" i="1"/>
  <c r="H830" i="1"/>
  <c r="G830" i="1"/>
  <c r="F830" i="1"/>
  <c r="E830" i="1"/>
  <c r="D830" i="1"/>
  <c r="C830" i="1"/>
  <c r="B830" i="1"/>
  <c r="A830" i="1"/>
  <c r="P829" i="1"/>
  <c r="O829" i="1"/>
  <c r="N829" i="1"/>
  <c r="M829" i="1"/>
  <c r="L829" i="1"/>
  <c r="K829" i="1"/>
  <c r="J829" i="1"/>
  <c r="I829" i="1"/>
  <c r="H829" i="1"/>
  <c r="G829" i="1"/>
  <c r="F829" i="1"/>
  <c r="E829" i="1"/>
  <c r="D829" i="1"/>
  <c r="C829" i="1"/>
  <c r="B829" i="1"/>
  <c r="A829" i="1"/>
  <c r="P828" i="1"/>
  <c r="O828" i="1"/>
  <c r="N828" i="1"/>
  <c r="M828" i="1"/>
  <c r="L828" i="1"/>
  <c r="K828" i="1"/>
  <c r="J828" i="1"/>
  <c r="I828" i="1"/>
  <c r="H828" i="1"/>
  <c r="G828" i="1"/>
  <c r="F828" i="1"/>
  <c r="E828" i="1"/>
  <c r="D828" i="1"/>
  <c r="C828" i="1"/>
  <c r="B828" i="1"/>
  <c r="A828" i="1"/>
  <c r="P827" i="1"/>
  <c r="O827" i="1"/>
  <c r="N827" i="1"/>
  <c r="M827" i="1"/>
  <c r="L827" i="1"/>
  <c r="K827" i="1"/>
  <c r="J827" i="1"/>
  <c r="I827" i="1"/>
  <c r="H827" i="1"/>
  <c r="G827" i="1"/>
  <c r="F827" i="1"/>
  <c r="E827" i="1"/>
  <c r="D827" i="1"/>
  <c r="C827" i="1"/>
  <c r="B827" i="1"/>
  <c r="A827" i="1"/>
  <c r="P826" i="1"/>
  <c r="O826" i="1"/>
  <c r="N826" i="1"/>
  <c r="M826" i="1"/>
  <c r="L826" i="1"/>
  <c r="K826" i="1"/>
  <c r="J826" i="1"/>
  <c r="I826" i="1"/>
  <c r="H826" i="1"/>
  <c r="G826" i="1"/>
  <c r="F826" i="1"/>
  <c r="E826" i="1"/>
  <c r="D826" i="1"/>
  <c r="C826" i="1"/>
  <c r="B826" i="1"/>
  <c r="A826" i="1"/>
  <c r="P825" i="1"/>
  <c r="O825" i="1"/>
  <c r="N825" i="1"/>
  <c r="M825" i="1"/>
  <c r="L825" i="1"/>
  <c r="K825" i="1"/>
  <c r="J825" i="1"/>
  <c r="I825" i="1"/>
  <c r="H825" i="1"/>
  <c r="G825" i="1"/>
  <c r="F825" i="1"/>
  <c r="E825" i="1"/>
  <c r="D825" i="1"/>
  <c r="C825" i="1"/>
  <c r="B825" i="1"/>
  <c r="A825" i="1"/>
  <c r="P824" i="1"/>
  <c r="O824" i="1"/>
  <c r="N824" i="1"/>
  <c r="M824" i="1"/>
  <c r="L824" i="1"/>
  <c r="K824" i="1"/>
  <c r="J824" i="1"/>
  <c r="I824" i="1"/>
  <c r="H824" i="1"/>
  <c r="G824" i="1"/>
  <c r="F824" i="1"/>
  <c r="E824" i="1"/>
  <c r="D824" i="1"/>
  <c r="C824" i="1"/>
  <c r="B824" i="1"/>
  <c r="A824" i="1"/>
  <c r="P823" i="1"/>
  <c r="O823" i="1"/>
  <c r="N823" i="1"/>
  <c r="M823" i="1"/>
  <c r="L823" i="1"/>
  <c r="K823" i="1"/>
  <c r="J823" i="1"/>
  <c r="I823" i="1"/>
  <c r="H823" i="1"/>
  <c r="G823" i="1"/>
  <c r="F823" i="1"/>
  <c r="E823" i="1"/>
  <c r="D823" i="1"/>
  <c r="C823" i="1"/>
  <c r="B823" i="1"/>
  <c r="A823" i="1"/>
  <c r="P822" i="1"/>
  <c r="O822" i="1"/>
  <c r="N822" i="1"/>
  <c r="M822" i="1"/>
  <c r="L822" i="1"/>
  <c r="K822" i="1"/>
  <c r="J822" i="1"/>
  <c r="I822" i="1"/>
  <c r="H822" i="1"/>
  <c r="G822" i="1"/>
  <c r="F822" i="1"/>
  <c r="E822" i="1"/>
  <c r="D822" i="1"/>
  <c r="C822" i="1"/>
  <c r="B822" i="1"/>
  <c r="A822" i="1"/>
  <c r="P821" i="1"/>
  <c r="O821" i="1"/>
  <c r="N821" i="1"/>
  <c r="M821" i="1"/>
  <c r="L821" i="1"/>
  <c r="K821" i="1"/>
  <c r="J821" i="1"/>
  <c r="I821" i="1"/>
  <c r="H821" i="1"/>
  <c r="G821" i="1"/>
  <c r="F821" i="1"/>
  <c r="E821" i="1"/>
  <c r="D821" i="1"/>
  <c r="C821" i="1"/>
  <c r="B821" i="1"/>
  <c r="A821" i="1"/>
  <c r="P820" i="1"/>
  <c r="O820" i="1"/>
  <c r="N820" i="1"/>
  <c r="M820" i="1"/>
  <c r="L820" i="1"/>
  <c r="K820" i="1"/>
  <c r="J820" i="1"/>
  <c r="I820" i="1"/>
  <c r="H820" i="1"/>
  <c r="G820" i="1"/>
  <c r="F820" i="1"/>
  <c r="E820" i="1"/>
  <c r="D820" i="1"/>
  <c r="C820" i="1"/>
  <c r="B820" i="1"/>
  <c r="A820" i="1"/>
  <c r="P819" i="1"/>
  <c r="O819" i="1"/>
  <c r="N819" i="1"/>
  <c r="M819" i="1"/>
  <c r="L819" i="1"/>
  <c r="K819" i="1"/>
  <c r="J819" i="1"/>
  <c r="I819" i="1"/>
  <c r="H819" i="1"/>
  <c r="G819" i="1"/>
  <c r="F819" i="1"/>
  <c r="E819" i="1"/>
  <c r="D819" i="1"/>
  <c r="C819" i="1"/>
  <c r="B819" i="1"/>
  <c r="A819" i="1"/>
  <c r="P818" i="1"/>
  <c r="O818" i="1"/>
  <c r="N818" i="1"/>
  <c r="M818" i="1"/>
  <c r="L818" i="1"/>
  <c r="K818" i="1"/>
  <c r="J818" i="1"/>
  <c r="I818" i="1"/>
  <c r="H818" i="1"/>
  <c r="G818" i="1"/>
  <c r="F818" i="1"/>
  <c r="E818" i="1"/>
  <c r="D818" i="1"/>
  <c r="C818" i="1"/>
  <c r="B818" i="1"/>
  <c r="A818" i="1"/>
  <c r="P817" i="1"/>
  <c r="O817" i="1"/>
  <c r="N817" i="1"/>
  <c r="M817" i="1"/>
  <c r="L817" i="1"/>
  <c r="K817" i="1"/>
  <c r="J817" i="1"/>
  <c r="I817" i="1"/>
  <c r="H817" i="1"/>
  <c r="G817" i="1"/>
  <c r="F817" i="1"/>
  <c r="E817" i="1"/>
  <c r="D817" i="1"/>
  <c r="C817" i="1"/>
  <c r="B817" i="1"/>
  <c r="A817" i="1"/>
  <c r="P816" i="1"/>
  <c r="O816" i="1"/>
  <c r="N816" i="1"/>
  <c r="M816" i="1"/>
  <c r="L816" i="1"/>
  <c r="K816" i="1"/>
  <c r="J816" i="1"/>
  <c r="I816" i="1"/>
  <c r="H816" i="1"/>
  <c r="G816" i="1"/>
  <c r="F816" i="1"/>
  <c r="E816" i="1"/>
  <c r="D816" i="1"/>
  <c r="C816" i="1"/>
  <c r="B816" i="1"/>
  <c r="A816" i="1"/>
  <c r="P815" i="1"/>
  <c r="O815" i="1"/>
  <c r="N815" i="1"/>
  <c r="M815" i="1"/>
  <c r="L815" i="1"/>
  <c r="K815" i="1"/>
  <c r="J815" i="1"/>
  <c r="I815" i="1"/>
  <c r="H815" i="1"/>
  <c r="G815" i="1"/>
  <c r="F815" i="1"/>
  <c r="E815" i="1"/>
  <c r="D815" i="1"/>
  <c r="C815" i="1"/>
  <c r="B815" i="1"/>
  <c r="A815" i="1"/>
  <c r="P814" i="1"/>
  <c r="O814" i="1"/>
  <c r="N814" i="1"/>
  <c r="M814" i="1"/>
  <c r="L814" i="1"/>
  <c r="K814" i="1"/>
  <c r="J814" i="1"/>
  <c r="I814" i="1"/>
  <c r="H814" i="1"/>
  <c r="G814" i="1"/>
  <c r="F814" i="1"/>
  <c r="E814" i="1"/>
  <c r="D814" i="1"/>
  <c r="C814" i="1"/>
  <c r="B814" i="1"/>
  <c r="A814" i="1"/>
  <c r="P813" i="1"/>
  <c r="O813" i="1"/>
  <c r="N813" i="1"/>
  <c r="M813" i="1"/>
  <c r="L813" i="1"/>
  <c r="K813" i="1"/>
  <c r="J813" i="1"/>
  <c r="I813" i="1"/>
  <c r="H813" i="1"/>
  <c r="G813" i="1"/>
  <c r="F813" i="1"/>
  <c r="E813" i="1"/>
  <c r="D813" i="1"/>
  <c r="C813" i="1"/>
  <c r="B813" i="1"/>
  <c r="A813" i="1"/>
  <c r="P812" i="1"/>
  <c r="O812" i="1"/>
  <c r="N812" i="1"/>
  <c r="M812" i="1"/>
  <c r="L812" i="1"/>
  <c r="K812" i="1"/>
  <c r="J812" i="1"/>
  <c r="I812" i="1"/>
  <c r="H812" i="1"/>
  <c r="G812" i="1"/>
  <c r="F812" i="1"/>
  <c r="E812" i="1"/>
  <c r="D812" i="1"/>
  <c r="C812" i="1"/>
  <c r="B812" i="1"/>
  <c r="A812" i="1"/>
  <c r="P811" i="1"/>
  <c r="O811" i="1"/>
  <c r="N811" i="1"/>
  <c r="M811" i="1"/>
  <c r="L811" i="1"/>
  <c r="K811" i="1"/>
  <c r="J811" i="1"/>
  <c r="I811" i="1"/>
  <c r="H811" i="1"/>
  <c r="G811" i="1"/>
  <c r="F811" i="1"/>
  <c r="E811" i="1"/>
  <c r="D811" i="1"/>
  <c r="C811" i="1"/>
  <c r="B811" i="1"/>
  <c r="A811" i="1"/>
  <c r="P810" i="1"/>
  <c r="O810" i="1"/>
  <c r="N810" i="1"/>
  <c r="M810" i="1"/>
  <c r="L810" i="1"/>
  <c r="K810" i="1"/>
  <c r="J810" i="1"/>
  <c r="I810" i="1"/>
  <c r="H810" i="1"/>
  <c r="G810" i="1"/>
  <c r="F810" i="1"/>
  <c r="E810" i="1"/>
  <c r="D810" i="1"/>
  <c r="C810" i="1"/>
  <c r="B810" i="1"/>
  <c r="A810" i="1"/>
  <c r="P809" i="1"/>
  <c r="O809" i="1"/>
  <c r="N809" i="1"/>
  <c r="M809" i="1"/>
  <c r="L809" i="1"/>
  <c r="K809" i="1"/>
  <c r="J809" i="1"/>
  <c r="I809" i="1"/>
  <c r="H809" i="1"/>
  <c r="G809" i="1"/>
  <c r="F809" i="1"/>
  <c r="E809" i="1"/>
  <c r="D809" i="1"/>
  <c r="C809" i="1"/>
  <c r="B809" i="1"/>
  <c r="A809" i="1"/>
  <c r="P808" i="1"/>
  <c r="O808" i="1"/>
  <c r="N808" i="1"/>
  <c r="M808" i="1"/>
  <c r="L808" i="1"/>
  <c r="K808" i="1"/>
  <c r="J808" i="1"/>
  <c r="I808" i="1"/>
  <c r="H808" i="1"/>
  <c r="G808" i="1"/>
  <c r="F808" i="1"/>
  <c r="E808" i="1"/>
  <c r="D808" i="1"/>
  <c r="C808" i="1"/>
  <c r="B808" i="1"/>
  <c r="A808" i="1"/>
  <c r="P807" i="1"/>
  <c r="O807" i="1"/>
  <c r="N807" i="1"/>
  <c r="M807" i="1"/>
  <c r="L807" i="1"/>
  <c r="K807" i="1"/>
  <c r="J807" i="1"/>
  <c r="I807" i="1"/>
  <c r="H807" i="1"/>
  <c r="G807" i="1"/>
  <c r="F807" i="1"/>
  <c r="E807" i="1"/>
  <c r="D807" i="1"/>
  <c r="C807" i="1"/>
  <c r="B807" i="1"/>
  <c r="A807" i="1"/>
  <c r="P806" i="1"/>
  <c r="O806" i="1"/>
  <c r="N806" i="1"/>
  <c r="M806" i="1"/>
  <c r="L806" i="1"/>
  <c r="K806" i="1"/>
  <c r="J806" i="1"/>
  <c r="I806" i="1"/>
  <c r="H806" i="1"/>
  <c r="G806" i="1"/>
  <c r="F806" i="1"/>
  <c r="E806" i="1"/>
  <c r="D806" i="1"/>
  <c r="C806" i="1"/>
  <c r="B806" i="1"/>
  <c r="A806" i="1"/>
  <c r="P805" i="1"/>
  <c r="O805" i="1"/>
  <c r="N805" i="1"/>
  <c r="M805" i="1"/>
  <c r="L805" i="1"/>
  <c r="K805" i="1"/>
  <c r="J805" i="1"/>
  <c r="I805" i="1"/>
  <c r="H805" i="1"/>
  <c r="G805" i="1"/>
  <c r="F805" i="1"/>
  <c r="E805" i="1"/>
  <c r="D805" i="1"/>
  <c r="C805" i="1"/>
  <c r="B805" i="1"/>
  <c r="A805" i="1"/>
  <c r="P804" i="1"/>
  <c r="O804" i="1"/>
  <c r="N804" i="1"/>
  <c r="M804" i="1"/>
  <c r="L804" i="1"/>
  <c r="K804" i="1"/>
  <c r="J804" i="1"/>
  <c r="I804" i="1"/>
  <c r="H804" i="1"/>
  <c r="G804" i="1"/>
  <c r="F804" i="1"/>
  <c r="E804" i="1"/>
  <c r="D804" i="1"/>
  <c r="C804" i="1"/>
  <c r="B804" i="1"/>
  <c r="A804" i="1"/>
  <c r="P803" i="1"/>
  <c r="O803" i="1"/>
  <c r="N803" i="1"/>
  <c r="M803" i="1"/>
  <c r="L803" i="1"/>
  <c r="K803" i="1"/>
  <c r="J803" i="1"/>
  <c r="I803" i="1"/>
  <c r="H803" i="1"/>
  <c r="G803" i="1"/>
  <c r="F803" i="1"/>
  <c r="E803" i="1"/>
  <c r="D803" i="1"/>
  <c r="C803" i="1"/>
  <c r="B803" i="1"/>
  <c r="A803" i="1"/>
  <c r="P802" i="1"/>
  <c r="O802" i="1"/>
  <c r="N802" i="1"/>
  <c r="M802" i="1"/>
  <c r="L802" i="1"/>
  <c r="K802" i="1"/>
  <c r="J802" i="1"/>
  <c r="I802" i="1"/>
  <c r="H802" i="1"/>
  <c r="G802" i="1"/>
  <c r="F802" i="1"/>
  <c r="E802" i="1"/>
  <c r="D802" i="1"/>
  <c r="C802" i="1"/>
  <c r="B802" i="1"/>
  <c r="A802" i="1"/>
  <c r="P801" i="1"/>
  <c r="O801" i="1"/>
  <c r="N801" i="1"/>
  <c r="M801" i="1"/>
  <c r="L801" i="1"/>
  <c r="K801" i="1"/>
  <c r="J801" i="1"/>
  <c r="I801" i="1"/>
  <c r="H801" i="1"/>
  <c r="G801" i="1"/>
  <c r="F801" i="1"/>
  <c r="E801" i="1"/>
  <c r="D801" i="1"/>
  <c r="C801" i="1"/>
  <c r="B801" i="1"/>
  <c r="A801" i="1"/>
  <c r="P800" i="1"/>
  <c r="O800" i="1"/>
  <c r="N800" i="1"/>
  <c r="M800" i="1"/>
  <c r="L800" i="1"/>
  <c r="K800" i="1"/>
  <c r="J800" i="1"/>
  <c r="I800" i="1"/>
  <c r="H800" i="1"/>
  <c r="G800" i="1"/>
  <c r="F800" i="1"/>
  <c r="E800" i="1"/>
  <c r="D800" i="1"/>
  <c r="C800" i="1"/>
  <c r="B800" i="1"/>
  <c r="A800" i="1"/>
  <c r="P799" i="1"/>
  <c r="O799" i="1"/>
  <c r="N799" i="1"/>
  <c r="M799" i="1"/>
  <c r="L799" i="1"/>
  <c r="K799" i="1"/>
  <c r="J799" i="1"/>
  <c r="I799" i="1"/>
  <c r="H799" i="1"/>
  <c r="G799" i="1"/>
  <c r="F799" i="1"/>
  <c r="E799" i="1"/>
  <c r="D799" i="1"/>
  <c r="C799" i="1"/>
  <c r="B799" i="1"/>
  <c r="A799" i="1"/>
  <c r="P798" i="1"/>
  <c r="O798" i="1"/>
  <c r="N798" i="1"/>
  <c r="M798" i="1"/>
  <c r="L798" i="1"/>
  <c r="K798" i="1"/>
  <c r="J798" i="1"/>
  <c r="I798" i="1"/>
  <c r="H798" i="1"/>
  <c r="G798" i="1"/>
  <c r="F798" i="1"/>
  <c r="E798" i="1"/>
  <c r="D798" i="1"/>
  <c r="C798" i="1"/>
  <c r="B798" i="1"/>
  <c r="A798" i="1"/>
  <c r="P797" i="1"/>
  <c r="O797" i="1"/>
  <c r="N797" i="1"/>
  <c r="M797" i="1"/>
  <c r="L797" i="1"/>
  <c r="K797" i="1"/>
  <c r="J797" i="1"/>
  <c r="I797" i="1"/>
  <c r="H797" i="1"/>
  <c r="G797" i="1"/>
  <c r="F797" i="1"/>
  <c r="E797" i="1"/>
  <c r="D797" i="1"/>
  <c r="C797" i="1"/>
  <c r="B797" i="1"/>
  <c r="A797" i="1"/>
  <c r="P796" i="1"/>
  <c r="O796" i="1"/>
  <c r="N796" i="1"/>
  <c r="M796" i="1"/>
  <c r="L796" i="1"/>
  <c r="K796" i="1"/>
  <c r="J796" i="1"/>
  <c r="I796" i="1"/>
  <c r="H796" i="1"/>
  <c r="G796" i="1"/>
  <c r="F796" i="1"/>
  <c r="E796" i="1"/>
  <c r="D796" i="1"/>
  <c r="C796" i="1"/>
  <c r="B796" i="1"/>
  <c r="A796" i="1"/>
  <c r="P795" i="1"/>
  <c r="O795" i="1"/>
  <c r="N795" i="1"/>
  <c r="M795" i="1"/>
  <c r="L795" i="1"/>
  <c r="K795" i="1"/>
  <c r="J795" i="1"/>
  <c r="I795" i="1"/>
  <c r="H795" i="1"/>
  <c r="G795" i="1"/>
  <c r="F795" i="1"/>
  <c r="E795" i="1"/>
  <c r="D795" i="1"/>
  <c r="C795" i="1"/>
  <c r="B795" i="1"/>
  <c r="A795" i="1"/>
  <c r="P794" i="1"/>
  <c r="O794" i="1"/>
  <c r="N794" i="1"/>
  <c r="M794" i="1"/>
  <c r="L794" i="1"/>
  <c r="K794" i="1"/>
  <c r="J794" i="1"/>
  <c r="I794" i="1"/>
  <c r="H794" i="1"/>
  <c r="G794" i="1"/>
  <c r="F794" i="1"/>
  <c r="E794" i="1"/>
  <c r="D794" i="1"/>
  <c r="C794" i="1"/>
  <c r="B794" i="1"/>
  <c r="A794" i="1"/>
  <c r="P793" i="1"/>
  <c r="O793" i="1"/>
  <c r="N793" i="1"/>
  <c r="M793" i="1"/>
  <c r="L793" i="1"/>
  <c r="K793" i="1"/>
  <c r="J793" i="1"/>
  <c r="I793" i="1"/>
  <c r="H793" i="1"/>
  <c r="G793" i="1"/>
  <c r="F793" i="1"/>
  <c r="E793" i="1"/>
  <c r="D793" i="1"/>
  <c r="C793" i="1"/>
  <c r="B793" i="1"/>
  <c r="A793" i="1"/>
  <c r="P792" i="1"/>
  <c r="O792" i="1"/>
  <c r="N792" i="1"/>
  <c r="M792" i="1"/>
  <c r="L792" i="1"/>
  <c r="K792" i="1"/>
  <c r="J792" i="1"/>
  <c r="I792" i="1"/>
  <c r="H792" i="1"/>
  <c r="G792" i="1"/>
  <c r="F792" i="1"/>
  <c r="E792" i="1"/>
  <c r="D792" i="1"/>
  <c r="C792" i="1"/>
  <c r="B792" i="1"/>
  <c r="A792" i="1"/>
  <c r="P791" i="1"/>
  <c r="O791" i="1"/>
  <c r="N791" i="1"/>
  <c r="M791" i="1"/>
  <c r="L791" i="1"/>
  <c r="K791" i="1"/>
  <c r="J791" i="1"/>
  <c r="I791" i="1"/>
  <c r="H791" i="1"/>
  <c r="G791" i="1"/>
  <c r="F791" i="1"/>
  <c r="E791" i="1"/>
  <c r="D791" i="1"/>
  <c r="C791" i="1"/>
  <c r="B791" i="1"/>
  <c r="A791" i="1"/>
  <c r="P790" i="1"/>
  <c r="O790" i="1"/>
  <c r="N790" i="1"/>
  <c r="M790" i="1"/>
  <c r="L790" i="1"/>
  <c r="K790" i="1"/>
  <c r="J790" i="1"/>
  <c r="I790" i="1"/>
  <c r="H790" i="1"/>
  <c r="G790" i="1"/>
  <c r="F790" i="1"/>
  <c r="E790" i="1"/>
  <c r="D790" i="1"/>
  <c r="C790" i="1"/>
  <c r="B790" i="1"/>
  <c r="A790" i="1"/>
  <c r="P789" i="1"/>
  <c r="O789" i="1"/>
  <c r="N789" i="1"/>
  <c r="M789" i="1"/>
  <c r="L789" i="1"/>
  <c r="K789" i="1"/>
  <c r="J789" i="1"/>
  <c r="I789" i="1"/>
  <c r="H789" i="1"/>
  <c r="G789" i="1"/>
  <c r="F789" i="1"/>
  <c r="E789" i="1"/>
  <c r="D789" i="1"/>
  <c r="C789" i="1"/>
  <c r="B789" i="1"/>
  <c r="A789" i="1"/>
  <c r="P788" i="1"/>
  <c r="O788" i="1"/>
  <c r="N788" i="1"/>
  <c r="M788" i="1"/>
  <c r="L788" i="1"/>
  <c r="K788" i="1"/>
  <c r="J788" i="1"/>
  <c r="I788" i="1"/>
  <c r="H788" i="1"/>
  <c r="G788" i="1"/>
  <c r="F788" i="1"/>
  <c r="E788" i="1"/>
  <c r="D788" i="1"/>
  <c r="C788" i="1"/>
  <c r="B788" i="1"/>
  <c r="A788" i="1"/>
  <c r="P787" i="1"/>
  <c r="O787" i="1"/>
  <c r="N787" i="1"/>
  <c r="M787" i="1"/>
  <c r="L787" i="1"/>
  <c r="K787" i="1"/>
  <c r="J787" i="1"/>
  <c r="I787" i="1"/>
  <c r="H787" i="1"/>
  <c r="G787" i="1"/>
  <c r="F787" i="1"/>
  <c r="E787" i="1"/>
  <c r="D787" i="1"/>
  <c r="C787" i="1"/>
  <c r="B787" i="1"/>
  <c r="A787" i="1"/>
  <c r="P786" i="1"/>
  <c r="O786" i="1"/>
  <c r="N786" i="1"/>
  <c r="M786" i="1"/>
  <c r="L786" i="1"/>
  <c r="K786" i="1"/>
  <c r="J786" i="1"/>
  <c r="I786" i="1"/>
  <c r="H786" i="1"/>
  <c r="G786" i="1"/>
  <c r="F786" i="1"/>
  <c r="E786" i="1"/>
  <c r="D786" i="1"/>
  <c r="C786" i="1"/>
  <c r="B786" i="1"/>
  <c r="A786" i="1"/>
  <c r="P785" i="1"/>
  <c r="O785" i="1"/>
  <c r="N785" i="1"/>
  <c r="M785" i="1"/>
  <c r="L785" i="1"/>
  <c r="K785" i="1"/>
  <c r="J785" i="1"/>
  <c r="I785" i="1"/>
  <c r="H785" i="1"/>
  <c r="G785" i="1"/>
  <c r="F785" i="1"/>
  <c r="E785" i="1"/>
  <c r="D785" i="1"/>
  <c r="C785" i="1"/>
  <c r="B785" i="1"/>
  <c r="A785" i="1"/>
  <c r="P784" i="1"/>
  <c r="O784" i="1"/>
  <c r="N784" i="1"/>
  <c r="M784" i="1"/>
  <c r="L784" i="1"/>
  <c r="K784" i="1"/>
  <c r="J784" i="1"/>
  <c r="I784" i="1"/>
  <c r="H784" i="1"/>
  <c r="G784" i="1"/>
  <c r="F784" i="1"/>
  <c r="E784" i="1"/>
  <c r="D784" i="1"/>
  <c r="C784" i="1"/>
  <c r="B784" i="1"/>
  <c r="A784" i="1"/>
  <c r="P783" i="1"/>
  <c r="O783" i="1"/>
  <c r="N783" i="1"/>
  <c r="M783" i="1"/>
  <c r="L783" i="1"/>
  <c r="K783" i="1"/>
  <c r="J783" i="1"/>
  <c r="I783" i="1"/>
  <c r="H783" i="1"/>
  <c r="G783" i="1"/>
  <c r="F783" i="1"/>
  <c r="E783" i="1"/>
  <c r="D783" i="1"/>
  <c r="C783" i="1"/>
  <c r="B783" i="1"/>
  <c r="A783" i="1"/>
  <c r="P782" i="1"/>
  <c r="O782" i="1"/>
  <c r="N782" i="1"/>
  <c r="M782" i="1"/>
  <c r="L782" i="1"/>
  <c r="K782" i="1"/>
  <c r="J782" i="1"/>
  <c r="I782" i="1"/>
  <c r="H782" i="1"/>
  <c r="G782" i="1"/>
  <c r="F782" i="1"/>
  <c r="E782" i="1"/>
  <c r="D782" i="1"/>
  <c r="C782" i="1"/>
  <c r="B782" i="1"/>
  <c r="A782" i="1"/>
  <c r="P781" i="1"/>
  <c r="O781" i="1"/>
  <c r="N781" i="1"/>
  <c r="M781" i="1"/>
  <c r="L781" i="1"/>
  <c r="K781" i="1"/>
  <c r="J781" i="1"/>
  <c r="I781" i="1"/>
  <c r="H781" i="1"/>
  <c r="G781" i="1"/>
  <c r="F781" i="1"/>
  <c r="E781" i="1"/>
  <c r="D781" i="1"/>
  <c r="C781" i="1"/>
  <c r="B781" i="1"/>
  <c r="A781" i="1"/>
  <c r="P780" i="1"/>
  <c r="O780" i="1"/>
  <c r="N780" i="1"/>
  <c r="M780" i="1"/>
  <c r="L780" i="1"/>
  <c r="K780" i="1"/>
  <c r="J780" i="1"/>
  <c r="I780" i="1"/>
  <c r="H780" i="1"/>
  <c r="G780" i="1"/>
  <c r="F780" i="1"/>
  <c r="E780" i="1"/>
  <c r="D780" i="1"/>
  <c r="C780" i="1"/>
  <c r="B780" i="1"/>
  <c r="A780" i="1"/>
  <c r="P779" i="1"/>
  <c r="O779" i="1"/>
  <c r="N779" i="1"/>
  <c r="M779" i="1"/>
  <c r="L779" i="1"/>
  <c r="K779" i="1"/>
  <c r="J779" i="1"/>
  <c r="I779" i="1"/>
  <c r="H779" i="1"/>
  <c r="G779" i="1"/>
  <c r="F779" i="1"/>
  <c r="E779" i="1"/>
  <c r="D779" i="1"/>
  <c r="C779" i="1"/>
  <c r="B779" i="1"/>
  <c r="A779" i="1"/>
  <c r="P778" i="1"/>
  <c r="O778" i="1"/>
  <c r="N778" i="1"/>
  <c r="M778" i="1"/>
  <c r="L778" i="1"/>
  <c r="K778" i="1"/>
  <c r="J778" i="1"/>
  <c r="I778" i="1"/>
  <c r="H778" i="1"/>
  <c r="G778" i="1"/>
  <c r="F778" i="1"/>
  <c r="E778" i="1"/>
  <c r="D778" i="1"/>
  <c r="C778" i="1"/>
  <c r="B778" i="1"/>
  <c r="A778" i="1"/>
  <c r="P777" i="1"/>
  <c r="O777" i="1"/>
  <c r="N777" i="1"/>
  <c r="M777" i="1"/>
  <c r="L777" i="1"/>
  <c r="K777" i="1"/>
  <c r="J777" i="1"/>
  <c r="I777" i="1"/>
  <c r="H777" i="1"/>
  <c r="G777" i="1"/>
  <c r="F777" i="1"/>
  <c r="E777" i="1"/>
  <c r="D777" i="1"/>
  <c r="C777" i="1"/>
  <c r="B777" i="1"/>
  <c r="A777" i="1"/>
  <c r="P776" i="1"/>
  <c r="O776" i="1"/>
  <c r="N776" i="1"/>
  <c r="M776" i="1"/>
  <c r="L776" i="1"/>
  <c r="K776" i="1"/>
  <c r="J776" i="1"/>
  <c r="I776" i="1"/>
  <c r="H776" i="1"/>
  <c r="G776" i="1"/>
  <c r="F776" i="1"/>
  <c r="E776" i="1"/>
  <c r="D776" i="1"/>
  <c r="C776" i="1"/>
  <c r="B776" i="1"/>
  <c r="A776" i="1"/>
  <c r="P775" i="1"/>
  <c r="O775" i="1"/>
  <c r="N775" i="1"/>
  <c r="M775" i="1"/>
  <c r="L775" i="1"/>
  <c r="K775" i="1"/>
  <c r="J775" i="1"/>
  <c r="I775" i="1"/>
  <c r="H775" i="1"/>
  <c r="G775" i="1"/>
  <c r="F775" i="1"/>
  <c r="E775" i="1"/>
  <c r="D775" i="1"/>
  <c r="C775" i="1"/>
  <c r="B775" i="1"/>
  <c r="A775" i="1"/>
  <c r="P774" i="1"/>
  <c r="O774" i="1"/>
  <c r="N774" i="1"/>
  <c r="M774" i="1"/>
  <c r="L774" i="1"/>
  <c r="K774" i="1"/>
  <c r="J774" i="1"/>
  <c r="I774" i="1"/>
  <c r="H774" i="1"/>
  <c r="G774" i="1"/>
  <c r="F774" i="1"/>
  <c r="E774" i="1"/>
  <c r="D774" i="1"/>
  <c r="C774" i="1"/>
  <c r="B774" i="1"/>
  <c r="A774" i="1"/>
  <c r="P773" i="1"/>
  <c r="O773" i="1"/>
  <c r="N773" i="1"/>
  <c r="M773" i="1"/>
  <c r="L773" i="1"/>
  <c r="K773" i="1"/>
  <c r="J773" i="1"/>
  <c r="I773" i="1"/>
  <c r="H773" i="1"/>
  <c r="G773" i="1"/>
  <c r="F773" i="1"/>
  <c r="E773" i="1"/>
  <c r="D773" i="1"/>
  <c r="C773" i="1"/>
  <c r="B773" i="1"/>
  <c r="A773" i="1"/>
  <c r="P772" i="1"/>
  <c r="O772" i="1"/>
  <c r="N772" i="1"/>
  <c r="M772" i="1"/>
  <c r="L772" i="1"/>
  <c r="K772" i="1"/>
  <c r="J772" i="1"/>
  <c r="I772" i="1"/>
  <c r="H772" i="1"/>
  <c r="G772" i="1"/>
  <c r="F772" i="1"/>
  <c r="E772" i="1"/>
  <c r="D772" i="1"/>
  <c r="C772" i="1"/>
  <c r="B772" i="1"/>
  <c r="A772" i="1"/>
  <c r="P771" i="1"/>
  <c r="O771" i="1"/>
  <c r="N771" i="1"/>
  <c r="M771" i="1"/>
  <c r="L771" i="1"/>
  <c r="K771" i="1"/>
  <c r="J771" i="1"/>
  <c r="I771" i="1"/>
  <c r="H771" i="1"/>
  <c r="G771" i="1"/>
  <c r="F771" i="1"/>
  <c r="E771" i="1"/>
  <c r="D771" i="1"/>
  <c r="C771" i="1"/>
  <c r="B771" i="1"/>
  <c r="A771" i="1"/>
  <c r="P770" i="1"/>
  <c r="O770" i="1"/>
  <c r="N770" i="1"/>
  <c r="M770" i="1"/>
  <c r="L770" i="1"/>
  <c r="K770" i="1"/>
  <c r="J770" i="1"/>
  <c r="I770" i="1"/>
  <c r="H770" i="1"/>
  <c r="G770" i="1"/>
  <c r="F770" i="1"/>
  <c r="E770" i="1"/>
  <c r="D770" i="1"/>
  <c r="C770" i="1"/>
  <c r="B770" i="1"/>
  <c r="A770" i="1"/>
  <c r="P769" i="1"/>
  <c r="O769" i="1"/>
  <c r="N769" i="1"/>
  <c r="M769" i="1"/>
  <c r="L769" i="1"/>
  <c r="K769" i="1"/>
  <c r="J769" i="1"/>
  <c r="I769" i="1"/>
  <c r="H769" i="1"/>
  <c r="G769" i="1"/>
  <c r="F769" i="1"/>
  <c r="E769" i="1"/>
  <c r="D769" i="1"/>
  <c r="C769" i="1"/>
  <c r="B769" i="1"/>
  <c r="A769" i="1"/>
  <c r="P768" i="1"/>
  <c r="O768" i="1"/>
  <c r="N768" i="1"/>
  <c r="M768" i="1"/>
  <c r="L768" i="1"/>
  <c r="K768" i="1"/>
  <c r="J768" i="1"/>
  <c r="I768" i="1"/>
  <c r="H768" i="1"/>
  <c r="G768" i="1"/>
  <c r="F768" i="1"/>
  <c r="E768" i="1"/>
  <c r="D768" i="1"/>
  <c r="C768" i="1"/>
  <c r="B768" i="1"/>
  <c r="A768" i="1"/>
  <c r="P767" i="1"/>
  <c r="O767" i="1"/>
  <c r="N767" i="1"/>
  <c r="M767" i="1"/>
  <c r="L767" i="1"/>
  <c r="K767" i="1"/>
  <c r="J767" i="1"/>
  <c r="I767" i="1"/>
  <c r="H767" i="1"/>
  <c r="G767" i="1"/>
  <c r="F767" i="1"/>
  <c r="E767" i="1"/>
  <c r="D767" i="1"/>
  <c r="C767" i="1"/>
  <c r="B767" i="1"/>
  <c r="A767" i="1"/>
  <c r="P766" i="1"/>
  <c r="O766" i="1"/>
  <c r="N766" i="1"/>
  <c r="M766" i="1"/>
  <c r="L766" i="1"/>
  <c r="K766" i="1"/>
  <c r="J766" i="1"/>
  <c r="I766" i="1"/>
  <c r="H766" i="1"/>
  <c r="G766" i="1"/>
  <c r="F766" i="1"/>
  <c r="E766" i="1"/>
  <c r="D766" i="1"/>
  <c r="C766" i="1"/>
  <c r="B766" i="1"/>
  <c r="A766" i="1"/>
  <c r="P765" i="1"/>
  <c r="O765" i="1"/>
  <c r="N765" i="1"/>
  <c r="M765" i="1"/>
  <c r="L765" i="1"/>
  <c r="K765" i="1"/>
  <c r="J765" i="1"/>
  <c r="I765" i="1"/>
  <c r="H765" i="1"/>
  <c r="G765" i="1"/>
  <c r="F765" i="1"/>
  <c r="E765" i="1"/>
  <c r="D765" i="1"/>
  <c r="C765" i="1"/>
  <c r="B765" i="1"/>
  <c r="A765" i="1"/>
  <c r="P764" i="1"/>
  <c r="O764" i="1"/>
  <c r="N764" i="1"/>
  <c r="M764" i="1"/>
  <c r="L764" i="1"/>
  <c r="K764" i="1"/>
  <c r="J764" i="1"/>
  <c r="I764" i="1"/>
  <c r="H764" i="1"/>
  <c r="G764" i="1"/>
  <c r="F764" i="1"/>
  <c r="E764" i="1"/>
  <c r="D764" i="1"/>
  <c r="C764" i="1"/>
  <c r="B764" i="1"/>
  <c r="A764" i="1"/>
  <c r="P763" i="1"/>
  <c r="O763" i="1"/>
  <c r="N763" i="1"/>
  <c r="M763" i="1"/>
  <c r="L763" i="1"/>
  <c r="K763" i="1"/>
  <c r="J763" i="1"/>
  <c r="I763" i="1"/>
  <c r="H763" i="1"/>
  <c r="G763" i="1"/>
  <c r="F763" i="1"/>
  <c r="E763" i="1"/>
  <c r="D763" i="1"/>
  <c r="C763" i="1"/>
  <c r="B763" i="1"/>
  <c r="A763" i="1"/>
  <c r="P762" i="1"/>
  <c r="O762" i="1"/>
  <c r="N762" i="1"/>
  <c r="M762" i="1"/>
  <c r="L762" i="1"/>
  <c r="K762" i="1"/>
  <c r="J762" i="1"/>
  <c r="I762" i="1"/>
  <c r="H762" i="1"/>
  <c r="G762" i="1"/>
  <c r="F762" i="1"/>
  <c r="E762" i="1"/>
  <c r="D762" i="1"/>
  <c r="C762" i="1"/>
  <c r="B762" i="1"/>
  <c r="A762" i="1"/>
  <c r="P761" i="1"/>
  <c r="O761" i="1"/>
  <c r="N761" i="1"/>
  <c r="M761" i="1"/>
  <c r="L761" i="1"/>
  <c r="K761" i="1"/>
  <c r="J761" i="1"/>
  <c r="I761" i="1"/>
  <c r="H761" i="1"/>
  <c r="G761" i="1"/>
  <c r="F761" i="1"/>
  <c r="E761" i="1"/>
  <c r="D761" i="1"/>
  <c r="C761" i="1"/>
  <c r="B761" i="1"/>
  <c r="A761" i="1"/>
  <c r="P760" i="1"/>
  <c r="O760" i="1"/>
  <c r="N760" i="1"/>
  <c r="M760" i="1"/>
  <c r="L760" i="1"/>
  <c r="K760" i="1"/>
  <c r="J760" i="1"/>
  <c r="I760" i="1"/>
  <c r="H760" i="1"/>
  <c r="G760" i="1"/>
  <c r="F760" i="1"/>
  <c r="E760" i="1"/>
  <c r="D760" i="1"/>
  <c r="C760" i="1"/>
  <c r="B760" i="1"/>
  <c r="A760" i="1"/>
  <c r="P759" i="1"/>
  <c r="O759" i="1"/>
  <c r="N759" i="1"/>
  <c r="M759" i="1"/>
  <c r="L759" i="1"/>
  <c r="K759" i="1"/>
  <c r="J759" i="1"/>
  <c r="I759" i="1"/>
  <c r="H759" i="1"/>
  <c r="G759" i="1"/>
  <c r="F759" i="1"/>
  <c r="E759" i="1"/>
  <c r="D759" i="1"/>
  <c r="C759" i="1"/>
  <c r="B759" i="1"/>
  <c r="A759" i="1"/>
  <c r="P758" i="1"/>
  <c r="O758" i="1"/>
  <c r="N758" i="1"/>
  <c r="M758" i="1"/>
  <c r="L758" i="1"/>
  <c r="K758" i="1"/>
  <c r="J758" i="1"/>
  <c r="I758" i="1"/>
  <c r="H758" i="1"/>
  <c r="G758" i="1"/>
  <c r="F758" i="1"/>
  <c r="E758" i="1"/>
  <c r="D758" i="1"/>
  <c r="C758" i="1"/>
  <c r="B758" i="1"/>
  <c r="A758" i="1"/>
  <c r="P757" i="1"/>
  <c r="O757" i="1"/>
  <c r="N757" i="1"/>
  <c r="M757" i="1"/>
  <c r="L757" i="1"/>
  <c r="K757" i="1"/>
  <c r="J757" i="1"/>
  <c r="I757" i="1"/>
  <c r="H757" i="1"/>
  <c r="G757" i="1"/>
  <c r="F757" i="1"/>
  <c r="E757" i="1"/>
  <c r="D757" i="1"/>
  <c r="C757" i="1"/>
  <c r="B757" i="1"/>
  <c r="A757" i="1"/>
  <c r="P756" i="1"/>
  <c r="O756" i="1"/>
  <c r="N756" i="1"/>
  <c r="M756" i="1"/>
  <c r="L756" i="1"/>
  <c r="K756" i="1"/>
  <c r="J756" i="1"/>
  <c r="I756" i="1"/>
  <c r="H756" i="1"/>
  <c r="G756" i="1"/>
  <c r="F756" i="1"/>
  <c r="E756" i="1"/>
  <c r="D756" i="1"/>
  <c r="C756" i="1"/>
  <c r="B756" i="1"/>
  <c r="A756" i="1"/>
  <c r="P755" i="1"/>
  <c r="O755" i="1"/>
  <c r="N755" i="1"/>
  <c r="M755" i="1"/>
  <c r="L755" i="1"/>
  <c r="K755" i="1"/>
  <c r="J755" i="1"/>
  <c r="I755" i="1"/>
  <c r="H755" i="1"/>
  <c r="G755" i="1"/>
  <c r="F755" i="1"/>
  <c r="E755" i="1"/>
  <c r="D755" i="1"/>
  <c r="C755" i="1"/>
  <c r="B755" i="1"/>
  <c r="A755" i="1"/>
  <c r="P754" i="1"/>
  <c r="O754" i="1"/>
  <c r="N754" i="1"/>
  <c r="M754" i="1"/>
  <c r="L754" i="1"/>
  <c r="K754" i="1"/>
  <c r="J754" i="1"/>
  <c r="I754" i="1"/>
  <c r="H754" i="1"/>
  <c r="G754" i="1"/>
  <c r="F754" i="1"/>
  <c r="E754" i="1"/>
  <c r="D754" i="1"/>
  <c r="C754" i="1"/>
  <c r="B754" i="1"/>
  <c r="A754" i="1"/>
  <c r="P753" i="1"/>
  <c r="O753" i="1"/>
  <c r="N753" i="1"/>
  <c r="M753" i="1"/>
  <c r="L753" i="1"/>
  <c r="K753" i="1"/>
  <c r="J753" i="1"/>
  <c r="I753" i="1"/>
  <c r="H753" i="1"/>
  <c r="G753" i="1"/>
  <c r="F753" i="1"/>
  <c r="E753" i="1"/>
  <c r="D753" i="1"/>
  <c r="C753" i="1"/>
  <c r="B753" i="1"/>
  <c r="A753" i="1"/>
  <c r="P752" i="1"/>
  <c r="O752" i="1"/>
  <c r="N752" i="1"/>
  <c r="M752" i="1"/>
  <c r="L752" i="1"/>
  <c r="K752" i="1"/>
  <c r="J752" i="1"/>
  <c r="I752" i="1"/>
  <c r="H752" i="1"/>
  <c r="G752" i="1"/>
  <c r="F752" i="1"/>
  <c r="E752" i="1"/>
  <c r="D752" i="1"/>
  <c r="C752" i="1"/>
  <c r="B752" i="1"/>
  <c r="A752" i="1"/>
  <c r="P751" i="1"/>
  <c r="O751" i="1"/>
  <c r="N751" i="1"/>
  <c r="M751" i="1"/>
  <c r="L751" i="1"/>
  <c r="K751" i="1"/>
  <c r="J751" i="1"/>
  <c r="I751" i="1"/>
  <c r="H751" i="1"/>
  <c r="G751" i="1"/>
  <c r="F751" i="1"/>
  <c r="E751" i="1"/>
  <c r="D751" i="1"/>
  <c r="C751" i="1"/>
  <c r="B751" i="1"/>
  <c r="A751" i="1"/>
  <c r="P750" i="1"/>
  <c r="O750" i="1"/>
  <c r="N750" i="1"/>
  <c r="M750" i="1"/>
  <c r="L750" i="1"/>
  <c r="K750" i="1"/>
  <c r="J750" i="1"/>
  <c r="I750" i="1"/>
  <c r="H750" i="1"/>
  <c r="G750" i="1"/>
  <c r="F750" i="1"/>
  <c r="E750" i="1"/>
  <c r="D750" i="1"/>
  <c r="C750" i="1"/>
  <c r="B750" i="1"/>
  <c r="A750" i="1"/>
  <c r="P749" i="1"/>
  <c r="O749" i="1"/>
  <c r="N749" i="1"/>
  <c r="M749" i="1"/>
  <c r="L749" i="1"/>
  <c r="K749" i="1"/>
  <c r="J749" i="1"/>
  <c r="I749" i="1"/>
  <c r="H749" i="1"/>
  <c r="G749" i="1"/>
  <c r="F749" i="1"/>
  <c r="E749" i="1"/>
  <c r="D749" i="1"/>
  <c r="C749" i="1"/>
  <c r="B749" i="1"/>
  <c r="A749" i="1"/>
  <c r="P748" i="1"/>
  <c r="O748" i="1"/>
  <c r="N748" i="1"/>
  <c r="M748" i="1"/>
  <c r="L748" i="1"/>
  <c r="K748" i="1"/>
  <c r="J748" i="1"/>
  <c r="I748" i="1"/>
  <c r="H748" i="1"/>
  <c r="G748" i="1"/>
  <c r="F748" i="1"/>
  <c r="E748" i="1"/>
  <c r="D748" i="1"/>
  <c r="C748" i="1"/>
  <c r="B748" i="1"/>
  <c r="A748" i="1"/>
  <c r="P747" i="1"/>
  <c r="O747" i="1"/>
  <c r="N747" i="1"/>
  <c r="M747" i="1"/>
  <c r="L747" i="1"/>
  <c r="K747" i="1"/>
  <c r="J747" i="1"/>
  <c r="I747" i="1"/>
  <c r="H747" i="1"/>
  <c r="G747" i="1"/>
  <c r="F747" i="1"/>
  <c r="E747" i="1"/>
  <c r="D747" i="1"/>
  <c r="C747" i="1"/>
  <c r="B747" i="1"/>
  <c r="A747" i="1"/>
  <c r="P746" i="1"/>
  <c r="O746" i="1"/>
  <c r="N746" i="1"/>
  <c r="M746" i="1"/>
  <c r="L746" i="1"/>
  <c r="K746" i="1"/>
  <c r="J746" i="1"/>
  <c r="I746" i="1"/>
  <c r="H746" i="1"/>
  <c r="G746" i="1"/>
  <c r="F746" i="1"/>
  <c r="E746" i="1"/>
  <c r="D746" i="1"/>
  <c r="C746" i="1"/>
  <c r="B746" i="1"/>
  <c r="A746" i="1"/>
  <c r="P745" i="1"/>
  <c r="O745" i="1"/>
  <c r="N745" i="1"/>
  <c r="M745" i="1"/>
  <c r="L745" i="1"/>
  <c r="K745" i="1"/>
  <c r="J745" i="1"/>
  <c r="I745" i="1"/>
  <c r="H745" i="1"/>
  <c r="G745" i="1"/>
  <c r="F745" i="1"/>
  <c r="E745" i="1"/>
  <c r="D745" i="1"/>
  <c r="C745" i="1"/>
  <c r="B745" i="1"/>
  <c r="A745" i="1"/>
  <c r="P744" i="1"/>
  <c r="O744" i="1"/>
  <c r="N744" i="1"/>
  <c r="M744" i="1"/>
  <c r="L744" i="1"/>
  <c r="K744" i="1"/>
  <c r="J744" i="1"/>
  <c r="I744" i="1"/>
  <c r="H744" i="1"/>
  <c r="G744" i="1"/>
  <c r="F744" i="1"/>
  <c r="E744" i="1"/>
  <c r="D744" i="1"/>
  <c r="C744" i="1"/>
  <c r="B744" i="1"/>
  <c r="A744" i="1"/>
  <c r="P743" i="1"/>
  <c r="O743" i="1"/>
  <c r="N743" i="1"/>
  <c r="M743" i="1"/>
  <c r="L743" i="1"/>
  <c r="K743" i="1"/>
  <c r="J743" i="1"/>
  <c r="I743" i="1"/>
  <c r="H743" i="1"/>
  <c r="G743" i="1"/>
  <c r="F743" i="1"/>
  <c r="E743" i="1"/>
  <c r="D743" i="1"/>
  <c r="C743" i="1"/>
  <c r="B743" i="1"/>
  <c r="A743" i="1"/>
  <c r="P742" i="1"/>
  <c r="O742" i="1"/>
  <c r="N742" i="1"/>
  <c r="M742" i="1"/>
  <c r="L742" i="1"/>
  <c r="K742" i="1"/>
  <c r="J742" i="1"/>
  <c r="I742" i="1"/>
  <c r="H742" i="1"/>
  <c r="G742" i="1"/>
  <c r="F742" i="1"/>
  <c r="E742" i="1"/>
  <c r="D742" i="1"/>
  <c r="C742" i="1"/>
  <c r="B742" i="1"/>
  <c r="A742" i="1"/>
  <c r="P741" i="1"/>
  <c r="O741" i="1"/>
  <c r="N741" i="1"/>
  <c r="M741" i="1"/>
  <c r="L741" i="1"/>
  <c r="K741" i="1"/>
  <c r="J741" i="1"/>
  <c r="I741" i="1"/>
  <c r="H741" i="1"/>
  <c r="G741" i="1"/>
  <c r="F741" i="1"/>
  <c r="E741" i="1"/>
  <c r="D741" i="1"/>
  <c r="C741" i="1"/>
  <c r="B741" i="1"/>
  <c r="A741" i="1"/>
  <c r="P740" i="1"/>
  <c r="O740" i="1"/>
  <c r="N740" i="1"/>
  <c r="M740" i="1"/>
  <c r="L740" i="1"/>
  <c r="K740" i="1"/>
  <c r="J740" i="1"/>
  <c r="I740" i="1"/>
  <c r="H740" i="1"/>
  <c r="G740" i="1"/>
  <c r="F740" i="1"/>
  <c r="E740" i="1"/>
  <c r="D740" i="1"/>
  <c r="C740" i="1"/>
  <c r="B740" i="1"/>
  <c r="A740" i="1"/>
  <c r="P739" i="1"/>
  <c r="O739" i="1"/>
  <c r="N739" i="1"/>
  <c r="M739" i="1"/>
  <c r="L739" i="1"/>
  <c r="K739" i="1"/>
  <c r="J739" i="1"/>
  <c r="I739" i="1"/>
  <c r="H739" i="1"/>
  <c r="G739" i="1"/>
  <c r="F739" i="1"/>
  <c r="E739" i="1"/>
  <c r="D739" i="1"/>
  <c r="C739" i="1"/>
  <c r="B739" i="1"/>
  <c r="A739" i="1"/>
  <c r="P738" i="1"/>
  <c r="O738" i="1"/>
  <c r="N738" i="1"/>
  <c r="M738" i="1"/>
  <c r="L738" i="1"/>
  <c r="K738" i="1"/>
  <c r="J738" i="1"/>
  <c r="I738" i="1"/>
  <c r="H738" i="1"/>
  <c r="G738" i="1"/>
  <c r="F738" i="1"/>
  <c r="E738" i="1"/>
  <c r="D738" i="1"/>
  <c r="C738" i="1"/>
  <c r="B738" i="1"/>
  <c r="A738" i="1"/>
  <c r="P737" i="1"/>
  <c r="O737" i="1"/>
  <c r="N737" i="1"/>
  <c r="M737" i="1"/>
  <c r="L737" i="1"/>
  <c r="K737" i="1"/>
  <c r="J737" i="1"/>
  <c r="I737" i="1"/>
  <c r="H737" i="1"/>
  <c r="G737" i="1"/>
  <c r="F737" i="1"/>
  <c r="E737" i="1"/>
  <c r="D737" i="1"/>
  <c r="C737" i="1"/>
  <c r="B737" i="1"/>
  <c r="A737" i="1"/>
  <c r="P736" i="1"/>
  <c r="O736" i="1"/>
  <c r="N736" i="1"/>
  <c r="M736" i="1"/>
  <c r="L736" i="1"/>
  <c r="K736" i="1"/>
  <c r="J736" i="1"/>
  <c r="I736" i="1"/>
  <c r="H736" i="1"/>
  <c r="G736" i="1"/>
  <c r="F736" i="1"/>
  <c r="E736" i="1"/>
  <c r="D736" i="1"/>
  <c r="C736" i="1"/>
  <c r="B736" i="1"/>
  <c r="A736" i="1"/>
  <c r="P735" i="1"/>
  <c r="O735" i="1"/>
  <c r="N735" i="1"/>
  <c r="M735" i="1"/>
  <c r="L735" i="1"/>
  <c r="K735" i="1"/>
  <c r="J735" i="1"/>
  <c r="I735" i="1"/>
  <c r="H735" i="1"/>
  <c r="G735" i="1"/>
  <c r="F735" i="1"/>
  <c r="E735" i="1"/>
  <c r="D735" i="1"/>
  <c r="C735" i="1"/>
  <c r="B735" i="1"/>
  <c r="A735" i="1"/>
  <c r="P734" i="1"/>
  <c r="O734" i="1"/>
  <c r="N734" i="1"/>
  <c r="M734" i="1"/>
  <c r="L734" i="1"/>
  <c r="K734" i="1"/>
  <c r="J734" i="1"/>
  <c r="I734" i="1"/>
  <c r="H734" i="1"/>
  <c r="G734" i="1"/>
  <c r="F734" i="1"/>
  <c r="E734" i="1"/>
  <c r="D734" i="1"/>
  <c r="C734" i="1"/>
  <c r="B734" i="1"/>
  <c r="A734" i="1"/>
  <c r="P733" i="1"/>
  <c r="O733" i="1"/>
  <c r="N733" i="1"/>
  <c r="M733" i="1"/>
  <c r="L733" i="1"/>
  <c r="K733" i="1"/>
  <c r="J733" i="1"/>
  <c r="I733" i="1"/>
  <c r="H733" i="1"/>
  <c r="G733" i="1"/>
  <c r="F733" i="1"/>
  <c r="E733" i="1"/>
  <c r="D733" i="1"/>
  <c r="C733" i="1"/>
  <c r="B733" i="1"/>
  <c r="A733" i="1"/>
  <c r="P732" i="1"/>
  <c r="O732" i="1"/>
  <c r="N732" i="1"/>
  <c r="M732" i="1"/>
  <c r="L732" i="1"/>
  <c r="K732" i="1"/>
  <c r="J732" i="1"/>
  <c r="I732" i="1"/>
  <c r="H732" i="1"/>
  <c r="G732" i="1"/>
  <c r="F732" i="1"/>
  <c r="E732" i="1"/>
  <c r="D732" i="1"/>
  <c r="C732" i="1"/>
  <c r="B732" i="1"/>
  <c r="A732" i="1"/>
  <c r="P731" i="1"/>
  <c r="O731" i="1"/>
  <c r="N731" i="1"/>
  <c r="M731" i="1"/>
  <c r="L731" i="1"/>
  <c r="K731" i="1"/>
  <c r="J731" i="1"/>
  <c r="I731" i="1"/>
  <c r="H731" i="1"/>
  <c r="G731" i="1"/>
  <c r="F731" i="1"/>
  <c r="E731" i="1"/>
  <c r="D731" i="1"/>
  <c r="C731" i="1"/>
  <c r="B731" i="1"/>
  <c r="A731" i="1"/>
  <c r="P730" i="1"/>
  <c r="O730" i="1"/>
  <c r="N730" i="1"/>
  <c r="M730" i="1"/>
  <c r="L730" i="1"/>
  <c r="K730" i="1"/>
  <c r="J730" i="1"/>
  <c r="I730" i="1"/>
  <c r="H730" i="1"/>
  <c r="G730" i="1"/>
  <c r="F730" i="1"/>
  <c r="E730" i="1"/>
  <c r="D730" i="1"/>
  <c r="C730" i="1"/>
  <c r="B730" i="1"/>
  <c r="A730" i="1"/>
  <c r="P729" i="1"/>
  <c r="O729" i="1"/>
  <c r="N729" i="1"/>
  <c r="M729" i="1"/>
  <c r="L729" i="1"/>
  <c r="K729" i="1"/>
  <c r="J729" i="1"/>
  <c r="I729" i="1"/>
  <c r="H729" i="1"/>
  <c r="G729" i="1"/>
  <c r="F729" i="1"/>
  <c r="E729" i="1"/>
  <c r="D729" i="1"/>
  <c r="C729" i="1"/>
  <c r="B729" i="1"/>
  <c r="A729" i="1"/>
  <c r="P728" i="1"/>
  <c r="O728" i="1"/>
  <c r="N728" i="1"/>
  <c r="M728" i="1"/>
  <c r="L728" i="1"/>
  <c r="K728" i="1"/>
  <c r="J728" i="1"/>
  <c r="I728" i="1"/>
  <c r="H728" i="1"/>
  <c r="G728" i="1"/>
  <c r="F728" i="1"/>
  <c r="E728" i="1"/>
  <c r="D728" i="1"/>
  <c r="C728" i="1"/>
  <c r="B728" i="1"/>
  <c r="A728" i="1"/>
  <c r="P727" i="1"/>
  <c r="O727" i="1"/>
  <c r="N727" i="1"/>
  <c r="M727" i="1"/>
  <c r="L727" i="1"/>
  <c r="K727" i="1"/>
  <c r="J727" i="1"/>
  <c r="I727" i="1"/>
  <c r="H727" i="1"/>
  <c r="G727" i="1"/>
  <c r="F727" i="1"/>
  <c r="E727" i="1"/>
  <c r="D727" i="1"/>
  <c r="C727" i="1"/>
  <c r="B727" i="1"/>
  <c r="A727" i="1"/>
  <c r="P726" i="1"/>
  <c r="O726" i="1"/>
  <c r="N726" i="1"/>
  <c r="M726" i="1"/>
  <c r="L726" i="1"/>
  <c r="K726" i="1"/>
  <c r="J726" i="1"/>
  <c r="I726" i="1"/>
  <c r="H726" i="1"/>
  <c r="G726" i="1"/>
  <c r="F726" i="1"/>
  <c r="E726" i="1"/>
  <c r="D726" i="1"/>
  <c r="C726" i="1"/>
  <c r="B726" i="1"/>
  <c r="A726" i="1"/>
  <c r="P725" i="1"/>
  <c r="O725" i="1"/>
  <c r="N725" i="1"/>
  <c r="M725" i="1"/>
  <c r="L725" i="1"/>
  <c r="K725" i="1"/>
  <c r="J725" i="1"/>
  <c r="I725" i="1"/>
  <c r="H725" i="1"/>
  <c r="G725" i="1"/>
  <c r="F725" i="1"/>
  <c r="E725" i="1"/>
  <c r="D725" i="1"/>
  <c r="C725" i="1"/>
  <c r="B725" i="1"/>
  <c r="A725" i="1"/>
  <c r="P724" i="1"/>
  <c r="O724" i="1"/>
  <c r="N724" i="1"/>
  <c r="M724" i="1"/>
  <c r="L724" i="1"/>
  <c r="K724" i="1"/>
  <c r="J724" i="1"/>
  <c r="I724" i="1"/>
  <c r="H724" i="1"/>
  <c r="G724" i="1"/>
  <c r="F724" i="1"/>
  <c r="E724" i="1"/>
  <c r="D724" i="1"/>
  <c r="C724" i="1"/>
  <c r="B724" i="1"/>
  <c r="A724" i="1"/>
  <c r="P723" i="1"/>
  <c r="O723" i="1"/>
  <c r="N723" i="1"/>
  <c r="M723" i="1"/>
  <c r="L723" i="1"/>
  <c r="K723" i="1"/>
  <c r="J723" i="1"/>
  <c r="I723" i="1"/>
  <c r="H723" i="1"/>
  <c r="G723" i="1"/>
  <c r="F723" i="1"/>
  <c r="E723" i="1"/>
  <c r="D723" i="1"/>
  <c r="C723" i="1"/>
  <c r="B723" i="1"/>
  <c r="A723" i="1"/>
  <c r="P722" i="1"/>
  <c r="O722" i="1"/>
  <c r="N722" i="1"/>
  <c r="M722" i="1"/>
  <c r="L722" i="1"/>
  <c r="K722" i="1"/>
  <c r="J722" i="1"/>
  <c r="I722" i="1"/>
  <c r="H722" i="1"/>
  <c r="G722" i="1"/>
  <c r="F722" i="1"/>
  <c r="E722" i="1"/>
  <c r="D722" i="1"/>
  <c r="C722" i="1"/>
  <c r="B722" i="1"/>
  <c r="A722" i="1"/>
  <c r="P721" i="1"/>
  <c r="O721" i="1"/>
  <c r="N721" i="1"/>
  <c r="M721" i="1"/>
  <c r="L721" i="1"/>
  <c r="K721" i="1"/>
  <c r="J721" i="1"/>
  <c r="I721" i="1"/>
  <c r="H721" i="1"/>
  <c r="G721" i="1"/>
  <c r="F721" i="1"/>
  <c r="E721" i="1"/>
  <c r="D721" i="1"/>
  <c r="C721" i="1"/>
  <c r="B721" i="1"/>
  <c r="A721" i="1"/>
  <c r="P720" i="1"/>
  <c r="O720" i="1"/>
  <c r="N720" i="1"/>
  <c r="M720" i="1"/>
  <c r="L720" i="1"/>
  <c r="K720" i="1"/>
  <c r="J720" i="1"/>
  <c r="I720" i="1"/>
  <c r="H720" i="1"/>
  <c r="G720" i="1"/>
  <c r="F720" i="1"/>
  <c r="E720" i="1"/>
  <c r="D720" i="1"/>
  <c r="C720" i="1"/>
  <c r="B720" i="1"/>
  <c r="A720" i="1"/>
  <c r="P719" i="1"/>
  <c r="O719" i="1"/>
  <c r="N719" i="1"/>
  <c r="M719" i="1"/>
  <c r="L719" i="1"/>
  <c r="K719" i="1"/>
  <c r="J719" i="1"/>
  <c r="I719" i="1"/>
  <c r="H719" i="1"/>
  <c r="G719" i="1"/>
  <c r="F719" i="1"/>
  <c r="E719" i="1"/>
  <c r="D719" i="1"/>
  <c r="C719" i="1"/>
  <c r="B719" i="1"/>
  <c r="A719" i="1"/>
  <c r="P718" i="1"/>
  <c r="O718" i="1"/>
  <c r="N718" i="1"/>
  <c r="M718" i="1"/>
  <c r="L718" i="1"/>
  <c r="K718" i="1"/>
  <c r="J718" i="1"/>
  <c r="I718" i="1"/>
  <c r="H718" i="1"/>
  <c r="G718" i="1"/>
  <c r="F718" i="1"/>
  <c r="E718" i="1"/>
  <c r="D718" i="1"/>
  <c r="C718" i="1"/>
  <c r="B718" i="1"/>
  <c r="A718" i="1"/>
  <c r="P717" i="1"/>
  <c r="O717" i="1"/>
  <c r="N717" i="1"/>
  <c r="M717" i="1"/>
  <c r="L717" i="1"/>
  <c r="K717" i="1"/>
  <c r="J717" i="1"/>
  <c r="I717" i="1"/>
  <c r="H717" i="1"/>
  <c r="G717" i="1"/>
  <c r="F717" i="1"/>
  <c r="E717" i="1"/>
  <c r="D717" i="1"/>
  <c r="C717" i="1"/>
  <c r="B717" i="1"/>
  <c r="A717" i="1"/>
  <c r="P716" i="1"/>
  <c r="O716" i="1"/>
  <c r="N716" i="1"/>
  <c r="M716" i="1"/>
  <c r="L716" i="1"/>
  <c r="K716" i="1"/>
  <c r="J716" i="1"/>
  <c r="I716" i="1"/>
  <c r="H716" i="1"/>
  <c r="G716" i="1"/>
  <c r="F716" i="1"/>
  <c r="E716" i="1"/>
  <c r="D716" i="1"/>
  <c r="C716" i="1"/>
  <c r="B716" i="1"/>
  <c r="A716" i="1"/>
  <c r="P715" i="1"/>
  <c r="O715" i="1"/>
  <c r="N715" i="1"/>
  <c r="M715" i="1"/>
  <c r="L715" i="1"/>
  <c r="K715" i="1"/>
  <c r="J715" i="1"/>
  <c r="I715" i="1"/>
  <c r="H715" i="1"/>
  <c r="G715" i="1"/>
  <c r="F715" i="1"/>
  <c r="E715" i="1"/>
  <c r="D715" i="1"/>
  <c r="C715" i="1"/>
  <c r="B715" i="1"/>
  <c r="A715" i="1"/>
  <c r="P714" i="1"/>
  <c r="O714" i="1"/>
  <c r="N714" i="1"/>
  <c r="M714" i="1"/>
  <c r="L714" i="1"/>
  <c r="K714" i="1"/>
  <c r="J714" i="1"/>
  <c r="I714" i="1"/>
  <c r="H714" i="1"/>
  <c r="G714" i="1"/>
  <c r="F714" i="1"/>
  <c r="E714" i="1"/>
  <c r="D714" i="1"/>
  <c r="C714" i="1"/>
  <c r="B714" i="1"/>
  <c r="A714" i="1"/>
  <c r="P713" i="1"/>
  <c r="O713" i="1"/>
  <c r="N713" i="1"/>
  <c r="M713" i="1"/>
  <c r="L713" i="1"/>
  <c r="K713" i="1"/>
  <c r="J713" i="1"/>
  <c r="I713" i="1"/>
  <c r="H713" i="1"/>
  <c r="G713" i="1"/>
  <c r="F713" i="1"/>
  <c r="E713" i="1"/>
  <c r="D713" i="1"/>
  <c r="C713" i="1"/>
  <c r="B713" i="1"/>
  <c r="A713" i="1"/>
  <c r="P712" i="1"/>
  <c r="O712" i="1"/>
  <c r="N712" i="1"/>
  <c r="M712" i="1"/>
  <c r="L712" i="1"/>
  <c r="K712" i="1"/>
  <c r="J712" i="1"/>
  <c r="I712" i="1"/>
  <c r="H712" i="1"/>
  <c r="G712" i="1"/>
  <c r="F712" i="1"/>
  <c r="E712" i="1"/>
  <c r="D712" i="1"/>
  <c r="C712" i="1"/>
  <c r="B712" i="1"/>
  <c r="A712" i="1"/>
  <c r="P711" i="1"/>
  <c r="O711" i="1"/>
  <c r="N711" i="1"/>
  <c r="M711" i="1"/>
  <c r="L711" i="1"/>
  <c r="K711" i="1"/>
  <c r="J711" i="1"/>
  <c r="I711" i="1"/>
  <c r="H711" i="1"/>
  <c r="G711" i="1"/>
  <c r="F711" i="1"/>
  <c r="E711" i="1"/>
  <c r="D711" i="1"/>
  <c r="C711" i="1"/>
  <c r="B711" i="1"/>
  <c r="A711" i="1"/>
  <c r="P710" i="1"/>
  <c r="O710" i="1"/>
  <c r="N710" i="1"/>
  <c r="M710" i="1"/>
  <c r="L710" i="1"/>
  <c r="K710" i="1"/>
  <c r="J710" i="1"/>
  <c r="I710" i="1"/>
  <c r="H710" i="1"/>
  <c r="G710" i="1"/>
  <c r="F710" i="1"/>
  <c r="E710" i="1"/>
  <c r="D710" i="1"/>
  <c r="C710" i="1"/>
  <c r="B710" i="1"/>
  <c r="A710" i="1"/>
  <c r="P709" i="1"/>
  <c r="O709" i="1"/>
  <c r="N709" i="1"/>
  <c r="M709" i="1"/>
  <c r="L709" i="1"/>
  <c r="K709" i="1"/>
  <c r="J709" i="1"/>
  <c r="I709" i="1"/>
  <c r="H709" i="1"/>
  <c r="G709" i="1"/>
  <c r="F709" i="1"/>
  <c r="E709" i="1"/>
  <c r="D709" i="1"/>
  <c r="C709" i="1"/>
  <c r="B709" i="1"/>
  <c r="A709" i="1"/>
  <c r="P708" i="1"/>
  <c r="O708" i="1"/>
  <c r="N708" i="1"/>
  <c r="M708" i="1"/>
  <c r="L708" i="1"/>
  <c r="K708" i="1"/>
  <c r="J708" i="1"/>
  <c r="I708" i="1"/>
  <c r="H708" i="1"/>
  <c r="G708" i="1"/>
  <c r="F708" i="1"/>
  <c r="E708" i="1"/>
  <c r="D708" i="1"/>
  <c r="C708" i="1"/>
  <c r="B708" i="1"/>
  <c r="A708" i="1"/>
  <c r="P707" i="1"/>
  <c r="O707" i="1"/>
  <c r="N707" i="1"/>
  <c r="M707" i="1"/>
  <c r="L707" i="1"/>
  <c r="K707" i="1"/>
  <c r="J707" i="1"/>
  <c r="I707" i="1"/>
  <c r="H707" i="1"/>
  <c r="G707" i="1"/>
  <c r="F707" i="1"/>
  <c r="E707" i="1"/>
  <c r="D707" i="1"/>
  <c r="C707" i="1"/>
  <c r="B707" i="1"/>
  <c r="A707" i="1"/>
  <c r="P706" i="1"/>
  <c r="O706" i="1"/>
  <c r="N706" i="1"/>
  <c r="M706" i="1"/>
  <c r="L706" i="1"/>
  <c r="K706" i="1"/>
  <c r="J706" i="1"/>
  <c r="I706" i="1"/>
  <c r="H706" i="1"/>
  <c r="G706" i="1"/>
  <c r="F706" i="1"/>
  <c r="E706" i="1"/>
  <c r="D706" i="1"/>
  <c r="C706" i="1"/>
  <c r="B706" i="1"/>
  <c r="A706" i="1"/>
  <c r="P705" i="1"/>
  <c r="O705" i="1"/>
  <c r="N705" i="1"/>
  <c r="M705" i="1"/>
  <c r="L705" i="1"/>
  <c r="K705" i="1"/>
  <c r="J705" i="1"/>
  <c r="I705" i="1"/>
  <c r="H705" i="1"/>
  <c r="G705" i="1"/>
  <c r="F705" i="1"/>
  <c r="E705" i="1"/>
  <c r="D705" i="1"/>
  <c r="C705" i="1"/>
  <c r="B705" i="1"/>
  <c r="A705" i="1"/>
  <c r="P704" i="1"/>
  <c r="O704" i="1"/>
  <c r="N704" i="1"/>
  <c r="M704" i="1"/>
  <c r="L704" i="1"/>
  <c r="K704" i="1"/>
  <c r="J704" i="1"/>
  <c r="I704" i="1"/>
  <c r="H704" i="1"/>
  <c r="G704" i="1"/>
  <c r="F704" i="1"/>
  <c r="E704" i="1"/>
  <c r="D704" i="1"/>
  <c r="C704" i="1"/>
  <c r="B704" i="1"/>
  <c r="A704" i="1"/>
  <c r="P703" i="1"/>
  <c r="O703" i="1"/>
  <c r="N703" i="1"/>
  <c r="M703" i="1"/>
  <c r="L703" i="1"/>
  <c r="K703" i="1"/>
  <c r="J703" i="1"/>
  <c r="I703" i="1"/>
  <c r="H703" i="1"/>
  <c r="G703" i="1"/>
  <c r="F703" i="1"/>
  <c r="E703" i="1"/>
  <c r="D703" i="1"/>
  <c r="C703" i="1"/>
  <c r="B703" i="1"/>
  <c r="A703" i="1"/>
  <c r="P702" i="1"/>
  <c r="O702" i="1"/>
  <c r="N702" i="1"/>
  <c r="M702" i="1"/>
  <c r="L702" i="1"/>
  <c r="K702" i="1"/>
  <c r="J702" i="1"/>
  <c r="I702" i="1"/>
  <c r="H702" i="1"/>
  <c r="G702" i="1"/>
  <c r="F702" i="1"/>
  <c r="E702" i="1"/>
  <c r="D702" i="1"/>
  <c r="C702" i="1"/>
  <c r="B702" i="1"/>
  <c r="A702" i="1"/>
  <c r="P701" i="1"/>
  <c r="O701" i="1"/>
  <c r="N701" i="1"/>
  <c r="M701" i="1"/>
  <c r="L701" i="1"/>
  <c r="K701" i="1"/>
  <c r="J701" i="1"/>
  <c r="I701" i="1"/>
  <c r="H701" i="1"/>
  <c r="G701" i="1"/>
  <c r="F701" i="1"/>
  <c r="E701" i="1"/>
  <c r="D701" i="1"/>
  <c r="C701" i="1"/>
  <c r="B701" i="1"/>
  <c r="A701" i="1"/>
  <c r="P700" i="1"/>
  <c r="O700" i="1"/>
  <c r="N700" i="1"/>
  <c r="M700" i="1"/>
  <c r="L700" i="1"/>
  <c r="K700" i="1"/>
  <c r="J700" i="1"/>
  <c r="I700" i="1"/>
  <c r="H700" i="1"/>
  <c r="G700" i="1"/>
  <c r="F700" i="1"/>
  <c r="E700" i="1"/>
  <c r="D700" i="1"/>
  <c r="C700" i="1"/>
  <c r="B700" i="1"/>
  <c r="A700" i="1"/>
  <c r="P699" i="1"/>
  <c r="O699" i="1"/>
  <c r="N699" i="1"/>
  <c r="M699" i="1"/>
  <c r="L699" i="1"/>
  <c r="K699" i="1"/>
  <c r="J699" i="1"/>
  <c r="I699" i="1"/>
  <c r="H699" i="1"/>
  <c r="G699" i="1"/>
  <c r="F699" i="1"/>
  <c r="E699" i="1"/>
  <c r="D699" i="1"/>
  <c r="C699" i="1"/>
  <c r="B699" i="1"/>
  <c r="A699" i="1"/>
  <c r="P698" i="1"/>
  <c r="O698" i="1"/>
  <c r="N698" i="1"/>
  <c r="M698" i="1"/>
  <c r="L698" i="1"/>
  <c r="K698" i="1"/>
  <c r="J698" i="1"/>
  <c r="I698" i="1"/>
  <c r="H698" i="1"/>
  <c r="G698" i="1"/>
  <c r="F698" i="1"/>
  <c r="E698" i="1"/>
  <c r="D698" i="1"/>
  <c r="C698" i="1"/>
  <c r="B698" i="1"/>
  <c r="A698" i="1"/>
  <c r="P697" i="1"/>
  <c r="O697" i="1"/>
  <c r="N697" i="1"/>
  <c r="M697" i="1"/>
  <c r="L697" i="1"/>
  <c r="K697" i="1"/>
  <c r="J697" i="1"/>
  <c r="I697" i="1"/>
  <c r="H697" i="1"/>
  <c r="G697" i="1"/>
  <c r="F697" i="1"/>
  <c r="E697" i="1"/>
  <c r="D697" i="1"/>
  <c r="C697" i="1"/>
  <c r="B697" i="1"/>
  <c r="A697" i="1"/>
  <c r="P696" i="1"/>
  <c r="O696" i="1"/>
  <c r="N696" i="1"/>
  <c r="M696" i="1"/>
  <c r="L696" i="1"/>
  <c r="K696" i="1"/>
  <c r="J696" i="1"/>
  <c r="I696" i="1"/>
  <c r="H696" i="1"/>
  <c r="G696" i="1"/>
  <c r="F696" i="1"/>
  <c r="E696" i="1"/>
  <c r="D696" i="1"/>
  <c r="C696" i="1"/>
  <c r="B696" i="1"/>
  <c r="A696" i="1"/>
  <c r="P695" i="1"/>
  <c r="O695" i="1"/>
  <c r="N695" i="1"/>
  <c r="M695" i="1"/>
  <c r="L695" i="1"/>
  <c r="K695" i="1"/>
  <c r="J695" i="1"/>
  <c r="I695" i="1"/>
  <c r="H695" i="1"/>
  <c r="G695" i="1"/>
  <c r="F695" i="1"/>
  <c r="E695" i="1"/>
  <c r="D695" i="1"/>
  <c r="C695" i="1"/>
  <c r="B695" i="1"/>
  <c r="A695" i="1"/>
  <c r="P694" i="1"/>
  <c r="O694" i="1"/>
  <c r="N694" i="1"/>
  <c r="M694" i="1"/>
  <c r="L694" i="1"/>
  <c r="K694" i="1"/>
  <c r="J694" i="1"/>
  <c r="I694" i="1"/>
  <c r="H694" i="1"/>
  <c r="G694" i="1"/>
  <c r="F694" i="1"/>
  <c r="E694" i="1"/>
  <c r="D694" i="1"/>
  <c r="C694" i="1"/>
  <c r="B694" i="1"/>
  <c r="A694" i="1"/>
  <c r="P693" i="1"/>
  <c r="O693" i="1"/>
  <c r="N693" i="1"/>
  <c r="M693" i="1"/>
  <c r="L693" i="1"/>
  <c r="K693" i="1"/>
  <c r="J693" i="1"/>
  <c r="I693" i="1"/>
  <c r="H693" i="1"/>
  <c r="G693" i="1"/>
  <c r="F693" i="1"/>
  <c r="E693" i="1"/>
  <c r="D693" i="1"/>
  <c r="C693" i="1"/>
  <c r="B693" i="1"/>
  <c r="A693" i="1"/>
  <c r="P692" i="1"/>
  <c r="O692" i="1"/>
  <c r="N692" i="1"/>
  <c r="M692" i="1"/>
  <c r="L692" i="1"/>
  <c r="K692" i="1"/>
  <c r="J692" i="1"/>
  <c r="I692" i="1"/>
  <c r="H692" i="1"/>
  <c r="G692" i="1"/>
  <c r="F692" i="1"/>
  <c r="E692" i="1"/>
  <c r="D692" i="1"/>
  <c r="C692" i="1"/>
  <c r="B692" i="1"/>
  <c r="A692" i="1"/>
  <c r="P691" i="1"/>
  <c r="O691" i="1"/>
  <c r="N691" i="1"/>
  <c r="M691" i="1"/>
  <c r="L691" i="1"/>
  <c r="K691" i="1"/>
  <c r="J691" i="1"/>
  <c r="I691" i="1"/>
  <c r="H691" i="1"/>
  <c r="G691" i="1"/>
  <c r="F691" i="1"/>
  <c r="E691" i="1"/>
  <c r="D691" i="1"/>
  <c r="C691" i="1"/>
  <c r="B691" i="1"/>
  <c r="A691" i="1"/>
  <c r="P690" i="1"/>
  <c r="O690" i="1"/>
  <c r="N690" i="1"/>
  <c r="M690" i="1"/>
  <c r="L690" i="1"/>
  <c r="K690" i="1"/>
  <c r="J690" i="1"/>
  <c r="I690" i="1"/>
  <c r="H690" i="1"/>
  <c r="G690" i="1"/>
  <c r="F690" i="1"/>
  <c r="E690" i="1"/>
  <c r="D690" i="1"/>
  <c r="C690" i="1"/>
  <c r="B690" i="1"/>
  <c r="A690" i="1"/>
  <c r="P689" i="1"/>
  <c r="O689" i="1"/>
  <c r="N689" i="1"/>
  <c r="M689" i="1"/>
  <c r="L689" i="1"/>
  <c r="K689" i="1"/>
  <c r="J689" i="1"/>
  <c r="I689" i="1"/>
  <c r="H689" i="1"/>
  <c r="G689" i="1"/>
  <c r="F689" i="1"/>
  <c r="E689" i="1"/>
  <c r="D689" i="1"/>
  <c r="C689" i="1"/>
  <c r="B689" i="1"/>
  <c r="A689" i="1"/>
  <c r="P688" i="1"/>
  <c r="O688" i="1"/>
  <c r="N688" i="1"/>
  <c r="M688" i="1"/>
  <c r="L688" i="1"/>
  <c r="K688" i="1"/>
  <c r="J688" i="1"/>
  <c r="I688" i="1"/>
  <c r="H688" i="1"/>
  <c r="G688" i="1"/>
  <c r="F688" i="1"/>
  <c r="E688" i="1"/>
  <c r="D688" i="1"/>
  <c r="C688" i="1"/>
  <c r="B688" i="1"/>
  <c r="A688" i="1"/>
  <c r="P687" i="1"/>
  <c r="O687" i="1"/>
  <c r="N687" i="1"/>
  <c r="M687" i="1"/>
  <c r="L687" i="1"/>
  <c r="K687" i="1"/>
  <c r="J687" i="1"/>
  <c r="I687" i="1"/>
  <c r="H687" i="1"/>
  <c r="G687" i="1"/>
  <c r="F687" i="1"/>
  <c r="E687" i="1"/>
  <c r="D687" i="1"/>
  <c r="C687" i="1"/>
  <c r="B687" i="1"/>
  <c r="A687" i="1"/>
  <c r="P686" i="1"/>
  <c r="O686" i="1"/>
  <c r="N686" i="1"/>
  <c r="M686" i="1"/>
  <c r="L686" i="1"/>
  <c r="K686" i="1"/>
  <c r="J686" i="1"/>
  <c r="I686" i="1"/>
  <c r="H686" i="1"/>
  <c r="G686" i="1"/>
  <c r="F686" i="1"/>
  <c r="E686" i="1"/>
  <c r="D686" i="1"/>
  <c r="C686" i="1"/>
  <c r="B686" i="1"/>
  <c r="A686" i="1"/>
  <c r="P685" i="1"/>
  <c r="O685" i="1"/>
  <c r="N685" i="1"/>
  <c r="M685" i="1"/>
  <c r="L685" i="1"/>
  <c r="K685" i="1"/>
  <c r="J685" i="1"/>
  <c r="I685" i="1"/>
  <c r="H685" i="1"/>
  <c r="G685" i="1"/>
  <c r="F685" i="1"/>
  <c r="E685" i="1"/>
  <c r="D685" i="1"/>
  <c r="C685" i="1"/>
  <c r="B685" i="1"/>
  <c r="A685" i="1"/>
  <c r="P684" i="1"/>
  <c r="O684" i="1"/>
  <c r="N684" i="1"/>
  <c r="M684" i="1"/>
  <c r="L684" i="1"/>
  <c r="K684" i="1"/>
  <c r="J684" i="1"/>
  <c r="I684" i="1"/>
  <c r="H684" i="1"/>
  <c r="G684" i="1"/>
  <c r="F684" i="1"/>
  <c r="E684" i="1"/>
  <c r="D684" i="1"/>
  <c r="C684" i="1"/>
  <c r="B684" i="1"/>
  <c r="A684" i="1"/>
  <c r="P683" i="1"/>
  <c r="O683" i="1"/>
  <c r="N683" i="1"/>
  <c r="M683" i="1"/>
  <c r="L683" i="1"/>
  <c r="K683" i="1"/>
  <c r="J683" i="1"/>
  <c r="I683" i="1"/>
  <c r="H683" i="1"/>
  <c r="G683" i="1"/>
  <c r="F683" i="1"/>
  <c r="E683" i="1"/>
  <c r="D683" i="1"/>
  <c r="C683" i="1"/>
  <c r="B683" i="1"/>
  <c r="A683" i="1"/>
  <c r="P682" i="1"/>
  <c r="O682" i="1"/>
  <c r="N682" i="1"/>
  <c r="M682" i="1"/>
  <c r="L682" i="1"/>
  <c r="K682" i="1"/>
  <c r="J682" i="1"/>
  <c r="I682" i="1"/>
  <c r="H682" i="1"/>
  <c r="G682" i="1"/>
  <c r="F682" i="1"/>
  <c r="E682" i="1"/>
  <c r="D682" i="1"/>
  <c r="C682" i="1"/>
  <c r="B682" i="1"/>
  <c r="A682" i="1"/>
  <c r="P681" i="1"/>
  <c r="O681" i="1"/>
  <c r="N681" i="1"/>
  <c r="M681" i="1"/>
  <c r="L681" i="1"/>
  <c r="K681" i="1"/>
  <c r="J681" i="1"/>
  <c r="I681" i="1"/>
  <c r="H681" i="1"/>
  <c r="G681" i="1"/>
  <c r="F681" i="1"/>
  <c r="E681" i="1"/>
  <c r="D681" i="1"/>
  <c r="C681" i="1"/>
  <c r="B681" i="1"/>
  <c r="A681" i="1"/>
  <c r="P680" i="1"/>
  <c r="O680" i="1"/>
  <c r="N680" i="1"/>
  <c r="M680" i="1"/>
  <c r="L680" i="1"/>
  <c r="K680" i="1"/>
  <c r="J680" i="1"/>
  <c r="I680" i="1"/>
  <c r="H680" i="1"/>
  <c r="G680" i="1"/>
  <c r="F680" i="1"/>
  <c r="E680" i="1"/>
  <c r="D680" i="1"/>
  <c r="C680" i="1"/>
  <c r="B680" i="1"/>
  <c r="A680" i="1"/>
  <c r="P679" i="1"/>
  <c r="O679" i="1"/>
  <c r="N679" i="1"/>
  <c r="M679" i="1"/>
  <c r="L679" i="1"/>
  <c r="K679" i="1"/>
  <c r="J679" i="1"/>
  <c r="I679" i="1"/>
  <c r="H679" i="1"/>
  <c r="G679" i="1"/>
  <c r="F679" i="1"/>
  <c r="E679" i="1"/>
  <c r="D679" i="1"/>
  <c r="C679" i="1"/>
  <c r="B679" i="1"/>
  <c r="A679" i="1"/>
  <c r="P678" i="1"/>
  <c r="O678" i="1"/>
  <c r="N678" i="1"/>
  <c r="M678" i="1"/>
  <c r="L678" i="1"/>
  <c r="K678" i="1"/>
  <c r="J678" i="1"/>
  <c r="I678" i="1"/>
  <c r="H678" i="1"/>
  <c r="G678" i="1"/>
  <c r="F678" i="1"/>
  <c r="E678" i="1"/>
  <c r="D678" i="1"/>
  <c r="C678" i="1"/>
  <c r="B678" i="1"/>
  <c r="A678" i="1"/>
  <c r="P677" i="1"/>
  <c r="O677" i="1"/>
  <c r="N677" i="1"/>
  <c r="M677" i="1"/>
  <c r="L677" i="1"/>
  <c r="K677" i="1"/>
  <c r="J677" i="1"/>
  <c r="I677" i="1"/>
  <c r="H677" i="1"/>
  <c r="G677" i="1"/>
  <c r="F677" i="1"/>
  <c r="E677" i="1"/>
  <c r="D677" i="1"/>
  <c r="C677" i="1"/>
  <c r="B677" i="1"/>
  <c r="A677" i="1"/>
  <c r="P676" i="1"/>
  <c r="O676" i="1"/>
  <c r="N676" i="1"/>
  <c r="M676" i="1"/>
  <c r="L676" i="1"/>
  <c r="K676" i="1"/>
  <c r="J676" i="1"/>
  <c r="I676" i="1"/>
  <c r="H676" i="1"/>
  <c r="G676" i="1"/>
  <c r="F676" i="1"/>
  <c r="E676" i="1"/>
  <c r="D676" i="1"/>
  <c r="C676" i="1"/>
  <c r="B676" i="1"/>
  <c r="A676" i="1"/>
  <c r="P675" i="1"/>
  <c r="O675" i="1"/>
  <c r="N675" i="1"/>
  <c r="M675" i="1"/>
  <c r="L675" i="1"/>
  <c r="K675" i="1"/>
  <c r="J675" i="1"/>
  <c r="I675" i="1"/>
  <c r="H675" i="1"/>
  <c r="G675" i="1"/>
  <c r="F675" i="1"/>
  <c r="E675" i="1"/>
  <c r="D675" i="1"/>
  <c r="C675" i="1"/>
  <c r="B675" i="1"/>
  <c r="A675" i="1"/>
  <c r="P674" i="1"/>
  <c r="O674" i="1"/>
  <c r="N674" i="1"/>
  <c r="M674" i="1"/>
  <c r="L674" i="1"/>
  <c r="K674" i="1"/>
  <c r="J674" i="1"/>
  <c r="I674" i="1"/>
  <c r="H674" i="1"/>
  <c r="G674" i="1"/>
  <c r="F674" i="1"/>
  <c r="E674" i="1"/>
  <c r="D674" i="1"/>
  <c r="C674" i="1"/>
  <c r="B674" i="1"/>
  <c r="A674" i="1"/>
  <c r="P673" i="1"/>
  <c r="O673" i="1"/>
  <c r="N673" i="1"/>
  <c r="M673" i="1"/>
  <c r="L673" i="1"/>
  <c r="K673" i="1"/>
  <c r="J673" i="1"/>
  <c r="I673" i="1"/>
  <c r="H673" i="1"/>
  <c r="G673" i="1"/>
  <c r="F673" i="1"/>
  <c r="E673" i="1"/>
  <c r="D673" i="1"/>
  <c r="C673" i="1"/>
  <c r="B673" i="1"/>
  <c r="A673" i="1"/>
  <c r="P672" i="1"/>
  <c r="O672" i="1"/>
  <c r="N672" i="1"/>
  <c r="M672" i="1"/>
  <c r="L672" i="1"/>
  <c r="K672" i="1"/>
  <c r="J672" i="1"/>
  <c r="I672" i="1"/>
  <c r="H672" i="1"/>
  <c r="G672" i="1"/>
  <c r="F672" i="1"/>
  <c r="E672" i="1"/>
  <c r="D672" i="1"/>
  <c r="C672" i="1"/>
  <c r="B672" i="1"/>
  <c r="A672" i="1"/>
  <c r="P671" i="1"/>
  <c r="O671" i="1"/>
  <c r="N671" i="1"/>
  <c r="M671" i="1"/>
  <c r="L671" i="1"/>
  <c r="K671" i="1"/>
  <c r="J671" i="1"/>
  <c r="I671" i="1"/>
  <c r="H671" i="1"/>
  <c r="G671" i="1"/>
  <c r="F671" i="1"/>
  <c r="E671" i="1"/>
  <c r="D671" i="1"/>
  <c r="C671" i="1"/>
  <c r="B671" i="1"/>
  <c r="A671" i="1"/>
  <c r="P670" i="1"/>
  <c r="O670" i="1"/>
  <c r="N670" i="1"/>
  <c r="M670" i="1"/>
  <c r="L670" i="1"/>
  <c r="K670" i="1"/>
  <c r="J670" i="1"/>
  <c r="I670" i="1"/>
  <c r="H670" i="1"/>
  <c r="G670" i="1"/>
  <c r="F670" i="1"/>
  <c r="E670" i="1"/>
  <c r="D670" i="1"/>
  <c r="C670" i="1"/>
  <c r="B670" i="1"/>
  <c r="A670" i="1"/>
  <c r="P669" i="1"/>
  <c r="O669" i="1"/>
  <c r="N669" i="1"/>
  <c r="M669" i="1"/>
  <c r="L669" i="1"/>
  <c r="K669" i="1"/>
  <c r="J669" i="1"/>
  <c r="I669" i="1"/>
  <c r="H669" i="1"/>
  <c r="G669" i="1"/>
  <c r="F669" i="1"/>
  <c r="E669" i="1"/>
  <c r="D669" i="1"/>
  <c r="C669" i="1"/>
  <c r="B669" i="1"/>
  <c r="A669" i="1"/>
  <c r="P668" i="1"/>
  <c r="O668" i="1"/>
  <c r="N668" i="1"/>
  <c r="M668" i="1"/>
  <c r="L668" i="1"/>
  <c r="K668" i="1"/>
  <c r="J668" i="1"/>
  <c r="I668" i="1"/>
  <c r="H668" i="1"/>
  <c r="G668" i="1"/>
  <c r="F668" i="1"/>
  <c r="E668" i="1"/>
  <c r="D668" i="1"/>
  <c r="C668" i="1"/>
  <c r="B668" i="1"/>
  <c r="A668" i="1"/>
  <c r="P667" i="1"/>
  <c r="O667" i="1"/>
  <c r="N667" i="1"/>
  <c r="M667" i="1"/>
  <c r="L667" i="1"/>
  <c r="K667" i="1"/>
  <c r="J667" i="1"/>
  <c r="I667" i="1"/>
  <c r="H667" i="1"/>
  <c r="G667" i="1"/>
  <c r="F667" i="1"/>
  <c r="E667" i="1"/>
  <c r="D667" i="1"/>
  <c r="C667" i="1"/>
  <c r="B667" i="1"/>
  <c r="A667" i="1"/>
  <c r="P666" i="1"/>
  <c r="O666" i="1"/>
  <c r="N666" i="1"/>
  <c r="M666" i="1"/>
  <c r="L666" i="1"/>
  <c r="K666" i="1"/>
  <c r="J666" i="1"/>
  <c r="I666" i="1"/>
  <c r="H666" i="1"/>
  <c r="G666" i="1"/>
  <c r="F666" i="1"/>
  <c r="E666" i="1"/>
  <c r="D666" i="1"/>
  <c r="C666" i="1"/>
  <c r="B666" i="1"/>
  <c r="A666" i="1"/>
  <c r="P665" i="1"/>
  <c r="O665" i="1"/>
  <c r="N665" i="1"/>
  <c r="M665" i="1"/>
  <c r="L665" i="1"/>
  <c r="K665" i="1"/>
  <c r="J665" i="1"/>
  <c r="I665" i="1"/>
  <c r="H665" i="1"/>
  <c r="G665" i="1"/>
  <c r="F665" i="1"/>
  <c r="E665" i="1"/>
  <c r="D665" i="1"/>
  <c r="C665" i="1"/>
  <c r="B665" i="1"/>
  <c r="A665" i="1"/>
  <c r="P664" i="1"/>
  <c r="O664" i="1"/>
  <c r="N664" i="1"/>
  <c r="M664" i="1"/>
  <c r="L664" i="1"/>
  <c r="K664" i="1"/>
  <c r="J664" i="1"/>
  <c r="I664" i="1"/>
  <c r="H664" i="1"/>
  <c r="G664" i="1"/>
  <c r="F664" i="1"/>
  <c r="E664" i="1"/>
  <c r="D664" i="1"/>
  <c r="C664" i="1"/>
  <c r="B664" i="1"/>
  <c r="A664" i="1"/>
  <c r="P663" i="1"/>
  <c r="O663" i="1"/>
  <c r="N663" i="1"/>
  <c r="M663" i="1"/>
  <c r="L663" i="1"/>
  <c r="K663" i="1"/>
  <c r="J663" i="1"/>
  <c r="I663" i="1"/>
  <c r="H663" i="1"/>
  <c r="G663" i="1"/>
  <c r="F663" i="1"/>
  <c r="E663" i="1"/>
  <c r="D663" i="1"/>
  <c r="C663" i="1"/>
  <c r="B663" i="1"/>
  <c r="A663" i="1"/>
  <c r="P662" i="1"/>
  <c r="O662" i="1"/>
  <c r="N662" i="1"/>
  <c r="M662" i="1"/>
  <c r="L662" i="1"/>
  <c r="K662" i="1"/>
  <c r="J662" i="1"/>
  <c r="I662" i="1"/>
  <c r="H662" i="1"/>
  <c r="G662" i="1"/>
  <c r="F662" i="1"/>
  <c r="E662" i="1"/>
  <c r="D662" i="1"/>
  <c r="C662" i="1"/>
  <c r="B662" i="1"/>
  <c r="A662" i="1"/>
  <c r="P661" i="1"/>
  <c r="O661" i="1"/>
  <c r="N661" i="1"/>
  <c r="M661" i="1"/>
  <c r="L661" i="1"/>
  <c r="K661" i="1"/>
  <c r="J661" i="1"/>
  <c r="I661" i="1"/>
  <c r="H661" i="1"/>
  <c r="G661" i="1"/>
  <c r="F661" i="1"/>
  <c r="E661" i="1"/>
  <c r="D661" i="1"/>
  <c r="C661" i="1"/>
  <c r="B661" i="1"/>
  <c r="A661" i="1"/>
  <c r="P660" i="1"/>
  <c r="O660" i="1"/>
  <c r="N660" i="1"/>
  <c r="M660" i="1"/>
  <c r="L660" i="1"/>
  <c r="K660" i="1"/>
  <c r="J660" i="1"/>
  <c r="I660" i="1"/>
  <c r="H660" i="1"/>
  <c r="G660" i="1"/>
  <c r="F660" i="1"/>
  <c r="E660" i="1"/>
  <c r="D660" i="1"/>
  <c r="C660" i="1"/>
  <c r="B660" i="1"/>
  <c r="A660" i="1"/>
  <c r="P659" i="1"/>
  <c r="O659" i="1"/>
  <c r="N659" i="1"/>
  <c r="M659" i="1"/>
  <c r="L659" i="1"/>
  <c r="K659" i="1"/>
  <c r="J659" i="1"/>
  <c r="I659" i="1"/>
  <c r="H659" i="1"/>
  <c r="G659" i="1"/>
  <c r="F659" i="1"/>
  <c r="E659" i="1"/>
  <c r="D659" i="1"/>
  <c r="C659" i="1"/>
  <c r="B659" i="1"/>
  <c r="A659" i="1"/>
  <c r="P658" i="1"/>
  <c r="O658" i="1"/>
  <c r="N658" i="1"/>
  <c r="M658" i="1"/>
  <c r="L658" i="1"/>
  <c r="K658" i="1"/>
  <c r="J658" i="1"/>
  <c r="I658" i="1"/>
  <c r="H658" i="1"/>
  <c r="G658" i="1"/>
  <c r="F658" i="1"/>
  <c r="E658" i="1"/>
  <c r="D658" i="1"/>
  <c r="C658" i="1"/>
  <c r="B658" i="1"/>
  <c r="A658" i="1"/>
  <c r="P657" i="1"/>
  <c r="O657" i="1"/>
  <c r="N657" i="1"/>
  <c r="M657" i="1"/>
  <c r="L657" i="1"/>
  <c r="K657" i="1"/>
  <c r="J657" i="1"/>
  <c r="I657" i="1"/>
  <c r="H657" i="1"/>
  <c r="G657" i="1"/>
  <c r="F657" i="1"/>
  <c r="E657" i="1"/>
  <c r="D657" i="1"/>
  <c r="C657" i="1"/>
  <c r="B657" i="1"/>
  <c r="A657" i="1"/>
  <c r="P656" i="1"/>
  <c r="O656" i="1"/>
  <c r="N656" i="1"/>
  <c r="M656" i="1"/>
  <c r="L656" i="1"/>
  <c r="K656" i="1"/>
  <c r="J656" i="1"/>
  <c r="I656" i="1"/>
  <c r="H656" i="1"/>
  <c r="G656" i="1"/>
  <c r="F656" i="1"/>
  <c r="E656" i="1"/>
  <c r="D656" i="1"/>
  <c r="C656" i="1"/>
  <c r="B656" i="1"/>
  <c r="A656" i="1"/>
  <c r="P655" i="1"/>
  <c r="O655" i="1"/>
  <c r="N655" i="1"/>
  <c r="M655" i="1"/>
  <c r="L655" i="1"/>
  <c r="K655" i="1"/>
  <c r="J655" i="1"/>
  <c r="I655" i="1"/>
  <c r="H655" i="1"/>
  <c r="G655" i="1"/>
  <c r="F655" i="1"/>
  <c r="E655" i="1"/>
  <c r="D655" i="1"/>
  <c r="C655" i="1"/>
  <c r="B655" i="1"/>
  <c r="A655" i="1"/>
  <c r="P654" i="1"/>
  <c r="O654" i="1"/>
  <c r="N654" i="1"/>
  <c r="M654" i="1"/>
  <c r="L654" i="1"/>
  <c r="K654" i="1"/>
  <c r="J654" i="1"/>
  <c r="I654" i="1"/>
  <c r="H654" i="1"/>
  <c r="G654" i="1"/>
  <c r="F654" i="1"/>
  <c r="E654" i="1"/>
  <c r="D654" i="1"/>
  <c r="C654" i="1"/>
  <c r="B654" i="1"/>
  <c r="A654" i="1"/>
  <c r="P653" i="1"/>
  <c r="O653" i="1"/>
  <c r="N653" i="1"/>
  <c r="M653" i="1"/>
  <c r="L653" i="1"/>
  <c r="K653" i="1"/>
  <c r="J653" i="1"/>
  <c r="I653" i="1"/>
  <c r="H653" i="1"/>
  <c r="G653" i="1"/>
  <c r="F653" i="1"/>
  <c r="E653" i="1"/>
  <c r="D653" i="1"/>
  <c r="C653" i="1"/>
  <c r="B653" i="1"/>
  <c r="A653" i="1"/>
  <c r="P652" i="1"/>
  <c r="O652" i="1"/>
  <c r="N652" i="1"/>
  <c r="M652" i="1"/>
  <c r="L652" i="1"/>
  <c r="K652" i="1"/>
  <c r="J652" i="1"/>
  <c r="I652" i="1"/>
  <c r="H652" i="1"/>
  <c r="G652" i="1"/>
  <c r="F652" i="1"/>
  <c r="E652" i="1"/>
  <c r="D652" i="1"/>
  <c r="C652" i="1"/>
  <c r="B652" i="1"/>
  <c r="A652" i="1"/>
  <c r="P651" i="1"/>
  <c r="O651" i="1"/>
  <c r="N651" i="1"/>
  <c r="M651" i="1"/>
  <c r="L651" i="1"/>
  <c r="K651" i="1"/>
  <c r="J651" i="1"/>
  <c r="I651" i="1"/>
  <c r="H651" i="1"/>
  <c r="G651" i="1"/>
  <c r="F651" i="1"/>
  <c r="E651" i="1"/>
  <c r="D651" i="1"/>
  <c r="C651" i="1"/>
  <c r="B651" i="1"/>
  <c r="A651" i="1"/>
  <c r="P650" i="1"/>
  <c r="O650" i="1"/>
  <c r="N650" i="1"/>
  <c r="M650" i="1"/>
  <c r="L650" i="1"/>
  <c r="K650" i="1"/>
  <c r="J650" i="1"/>
  <c r="I650" i="1"/>
  <c r="H650" i="1"/>
  <c r="G650" i="1"/>
  <c r="F650" i="1"/>
  <c r="E650" i="1"/>
  <c r="D650" i="1"/>
  <c r="C650" i="1"/>
  <c r="B650" i="1"/>
  <c r="A650" i="1"/>
  <c r="P649" i="1"/>
  <c r="O649" i="1"/>
  <c r="N649" i="1"/>
  <c r="M649" i="1"/>
  <c r="L649" i="1"/>
  <c r="K649" i="1"/>
  <c r="J649" i="1"/>
  <c r="I649" i="1"/>
  <c r="H649" i="1"/>
  <c r="G649" i="1"/>
  <c r="F649" i="1"/>
  <c r="E649" i="1"/>
  <c r="D649" i="1"/>
  <c r="C649" i="1"/>
  <c r="B649" i="1"/>
  <c r="A649" i="1"/>
  <c r="P648" i="1"/>
  <c r="O648" i="1"/>
  <c r="N648" i="1"/>
  <c r="M648" i="1"/>
  <c r="L648" i="1"/>
  <c r="K648" i="1"/>
  <c r="J648" i="1"/>
  <c r="I648" i="1"/>
  <c r="H648" i="1"/>
  <c r="G648" i="1"/>
  <c r="F648" i="1"/>
  <c r="E648" i="1"/>
  <c r="D648" i="1"/>
  <c r="C648" i="1"/>
  <c r="B648" i="1"/>
  <c r="A648" i="1"/>
  <c r="P647" i="1"/>
  <c r="O647" i="1"/>
  <c r="N647" i="1"/>
  <c r="M647" i="1"/>
  <c r="L647" i="1"/>
  <c r="K647" i="1"/>
  <c r="J647" i="1"/>
  <c r="I647" i="1"/>
  <c r="H647" i="1"/>
  <c r="G647" i="1"/>
  <c r="F647" i="1"/>
  <c r="E647" i="1"/>
  <c r="D647" i="1"/>
  <c r="C647" i="1"/>
  <c r="B647" i="1"/>
  <c r="A647" i="1"/>
  <c r="P646" i="1"/>
  <c r="O646" i="1"/>
  <c r="N646" i="1"/>
  <c r="M646" i="1"/>
  <c r="L646" i="1"/>
  <c r="K646" i="1"/>
  <c r="J646" i="1"/>
  <c r="I646" i="1"/>
  <c r="H646" i="1"/>
  <c r="G646" i="1"/>
  <c r="F646" i="1"/>
  <c r="E646" i="1"/>
  <c r="D646" i="1"/>
  <c r="C646" i="1"/>
  <c r="B646" i="1"/>
  <c r="A646" i="1"/>
  <c r="P645" i="1"/>
  <c r="O645" i="1"/>
  <c r="N645" i="1"/>
  <c r="M645" i="1"/>
  <c r="L645" i="1"/>
  <c r="K645" i="1"/>
  <c r="J645" i="1"/>
  <c r="I645" i="1"/>
  <c r="H645" i="1"/>
  <c r="G645" i="1"/>
  <c r="F645" i="1"/>
  <c r="E645" i="1"/>
  <c r="D645" i="1"/>
  <c r="C645" i="1"/>
  <c r="B645" i="1"/>
  <c r="A645" i="1"/>
  <c r="P644" i="1"/>
  <c r="O644" i="1"/>
  <c r="N644" i="1"/>
  <c r="M644" i="1"/>
  <c r="L644" i="1"/>
  <c r="K644" i="1"/>
  <c r="J644" i="1"/>
  <c r="I644" i="1"/>
  <c r="H644" i="1"/>
  <c r="G644" i="1"/>
  <c r="F644" i="1"/>
  <c r="E644" i="1"/>
  <c r="D644" i="1"/>
  <c r="C644" i="1"/>
  <c r="B644" i="1"/>
  <c r="A644" i="1"/>
  <c r="P643" i="1"/>
  <c r="O643" i="1"/>
  <c r="N643" i="1"/>
  <c r="M643" i="1"/>
  <c r="L643" i="1"/>
  <c r="K643" i="1"/>
  <c r="J643" i="1"/>
  <c r="I643" i="1"/>
  <c r="H643" i="1"/>
  <c r="G643" i="1"/>
  <c r="F643" i="1"/>
  <c r="E643" i="1"/>
  <c r="D643" i="1"/>
  <c r="C643" i="1"/>
  <c r="B643" i="1"/>
  <c r="A643" i="1"/>
  <c r="P642" i="1"/>
  <c r="O642" i="1"/>
  <c r="N642" i="1"/>
  <c r="M642" i="1"/>
  <c r="L642" i="1"/>
  <c r="K642" i="1"/>
  <c r="J642" i="1"/>
  <c r="I642" i="1"/>
  <c r="H642" i="1"/>
  <c r="G642" i="1"/>
  <c r="F642" i="1"/>
  <c r="E642" i="1"/>
  <c r="D642" i="1"/>
  <c r="C642" i="1"/>
  <c r="B642" i="1"/>
  <c r="A642" i="1"/>
  <c r="P641" i="1"/>
  <c r="O641" i="1"/>
  <c r="N641" i="1"/>
  <c r="M641" i="1"/>
  <c r="L641" i="1"/>
  <c r="K641" i="1"/>
  <c r="J641" i="1"/>
  <c r="I641" i="1"/>
  <c r="H641" i="1"/>
  <c r="G641" i="1"/>
  <c r="F641" i="1"/>
  <c r="E641" i="1"/>
  <c r="D641" i="1"/>
  <c r="C641" i="1"/>
  <c r="B641" i="1"/>
  <c r="A641" i="1"/>
  <c r="P640" i="1"/>
  <c r="O640" i="1"/>
  <c r="N640" i="1"/>
  <c r="M640" i="1"/>
  <c r="L640" i="1"/>
  <c r="K640" i="1"/>
  <c r="J640" i="1"/>
  <c r="I640" i="1"/>
  <c r="H640" i="1"/>
  <c r="G640" i="1"/>
  <c r="F640" i="1"/>
  <c r="E640" i="1"/>
  <c r="D640" i="1"/>
  <c r="C640" i="1"/>
  <c r="B640" i="1"/>
  <c r="A640" i="1"/>
  <c r="P639" i="1"/>
  <c r="O639" i="1"/>
  <c r="N639" i="1"/>
  <c r="M639" i="1"/>
  <c r="L639" i="1"/>
  <c r="K639" i="1"/>
  <c r="J639" i="1"/>
  <c r="I639" i="1"/>
  <c r="H639" i="1"/>
  <c r="G639" i="1"/>
  <c r="F639" i="1"/>
  <c r="E639" i="1"/>
  <c r="D639" i="1"/>
  <c r="C639" i="1"/>
  <c r="B639" i="1"/>
  <c r="A639" i="1"/>
  <c r="P638" i="1"/>
  <c r="O638" i="1"/>
  <c r="N638" i="1"/>
  <c r="M638" i="1"/>
  <c r="L638" i="1"/>
  <c r="K638" i="1"/>
  <c r="J638" i="1"/>
  <c r="I638" i="1"/>
  <c r="H638" i="1"/>
  <c r="G638" i="1"/>
  <c r="F638" i="1"/>
  <c r="E638" i="1"/>
  <c r="D638" i="1"/>
  <c r="C638" i="1"/>
  <c r="B638" i="1"/>
  <c r="A638" i="1"/>
  <c r="P637" i="1"/>
  <c r="O637" i="1"/>
  <c r="N637" i="1"/>
  <c r="M637" i="1"/>
  <c r="L637" i="1"/>
  <c r="K637" i="1"/>
  <c r="J637" i="1"/>
  <c r="I637" i="1"/>
  <c r="H637" i="1"/>
  <c r="G637" i="1"/>
  <c r="F637" i="1"/>
  <c r="E637" i="1"/>
  <c r="D637" i="1"/>
  <c r="C637" i="1"/>
  <c r="B637" i="1"/>
  <c r="A637" i="1"/>
  <c r="P636" i="1"/>
  <c r="O636" i="1"/>
  <c r="N636" i="1"/>
  <c r="M636" i="1"/>
  <c r="L636" i="1"/>
  <c r="K636" i="1"/>
  <c r="J636" i="1"/>
  <c r="I636" i="1"/>
  <c r="H636" i="1"/>
  <c r="G636" i="1"/>
  <c r="F636" i="1"/>
  <c r="E636" i="1"/>
  <c r="D636" i="1"/>
  <c r="C636" i="1"/>
  <c r="B636" i="1"/>
  <c r="A636" i="1"/>
  <c r="P635" i="1"/>
  <c r="O635" i="1"/>
  <c r="N635" i="1"/>
  <c r="M635" i="1"/>
  <c r="L635" i="1"/>
  <c r="K635" i="1"/>
  <c r="J635" i="1"/>
  <c r="I635" i="1"/>
  <c r="H635" i="1"/>
  <c r="G635" i="1"/>
  <c r="F635" i="1"/>
  <c r="E635" i="1"/>
  <c r="D635" i="1"/>
  <c r="C635" i="1"/>
  <c r="B635" i="1"/>
  <c r="A635" i="1"/>
  <c r="P634" i="1"/>
  <c r="O634" i="1"/>
  <c r="N634" i="1"/>
  <c r="M634" i="1"/>
  <c r="L634" i="1"/>
  <c r="K634" i="1"/>
  <c r="J634" i="1"/>
  <c r="I634" i="1"/>
  <c r="H634" i="1"/>
  <c r="G634" i="1"/>
  <c r="F634" i="1"/>
  <c r="E634" i="1"/>
  <c r="D634" i="1"/>
  <c r="C634" i="1"/>
  <c r="B634" i="1"/>
  <c r="A634" i="1"/>
  <c r="P633" i="1"/>
  <c r="O633" i="1"/>
  <c r="N633" i="1"/>
  <c r="M633" i="1"/>
  <c r="L633" i="1"/>
  <c r="K633" i="1"/>
  <c r="J633" i="1"/>
  <c r="I633" i="1"/>
  <c r="H633" i="1"/>
  <c r="G633" i="1"/>
  <c r="F633" i="1"/>
  <c r="E633" i="1"/>
  <c r="D633" i="1"/>
  <c r="C633" i="1"/>
  <c r="B633" i="1"/>
  <c r="A633" i="1"/>
  <c r="P632" i="1"/>
  <c r="O632" i="1"/>
  <c r="N632" i="1"/>
  <c r="M632" i="1"/>
  <c r="L632" i="1"/>
  <c r="K632" i="1"/>
  <c r="J632" i="1"/>
  <c r="I632" i="1"/>
  <c r="H632" i="1"/>
  <c r="G632" i="1"/>
  <c r="F632" i="1"/>
  <c r="E632" i="1"/>
  <c r="D632" i="1"/>
  <c r="C632" i="1"/>
  <c r="B632" i="1"/>
  <c r="A632" i="1"/>
  <c r="P631" i="1"/>
  <c r="O631" i="1"/>
  <c r="N631" i="1"/>
  <c r="M631" i="1"/>
  <c r="L631" i="1"/>
  <c r="K631" i="1"/>
  <c r="J631" i="1"/>
  <c r="I631" i="1"/>
  <c r="H631" i="1"/>
  <c r="G631" i="1"/>
  <c r="F631" i="1"/>
  <c r="E631" i="1"/>
  <c r="D631" i="1"/>
  <c r="C631" i="1"/>
  <c r="B631" i="1"/>
  <c r="A631" i="1"/>
  <c r="P630" i="1"/>
  <c r="O630" i="1"/>
  <c r="N630" i="1"/>
  <c r="M630" i="1"/>
  <c r="L630" i="1"/>
  <c r="K630" i="1"/>
  <c r="J630" i="1"/>
  <c r="I630" i="1"/>
  <c r="H630" i="1"/>
  <c r="G630" i="1"/>
  <c r="F630" i="1"/>
  <c r="E630" i="1"/>
  <c r="D630" i="1"/>
  <c r="C630" i="1"/>
  <c r="B630" i="1"/>
  <c r="A630" i="1"/>
  <c r="P629" i="1"/>
  <c r="O629" i="1"/>
  <c r="N629" i="1"/>
  <c r="M629" i="1"/>
  <c r="L629" i="1"/>
  <c r="K629" i="1"/>
  <c r="J629" i="1"/>
  <c r="I629" i="1"/>
  <c r="H629" i="1"/>
  <c r="G629" i="1"/>
  <c r="F629" i="1"/>
  <c r="E629" i="1"/>
  <c r="D629" i="1"/>
  <c r="C629" i="1"/>
  <c r="B629" i="1"/>
  <c r="A629" i="1"/>
  <c r="P628" i="1"/>
  <c r="O628" i="1"/>
  <c r="N628" i="1"/>
  <c r="M628" i="1"/>
  <c r="L628" i="1"/>
  <c r="K628" i="1"/>
  <c r="J628" i="1"/>
  <c r="I628" i="1"/>
  <c r="H628" i="1"/>
  <c r="G628" i="1"/>
  <c r="F628" i="1"/>
  <c r="E628" i="1"/>
  <c r="D628" i="1"/>
  <c r="C628" i="1"/>
  <c r="B628" i="1"/>
  <c r="A628" i="1"/>
  <c r="P627" i="1"/>
  <c r="O627" i="1"/>
  <c r="N627" i="1"/>
  <c r="M627" i="1"/>
  <c r="L627" i="1"/>
  <c r="K627" i="1"/>
  <c r="J627" i="1"/>
  <c r="I627" i="1"/>
  <c r="H627" i="1"/>
  <c r="G627" i="1"/>
  <c r="F627" i="1"/>
  <c r="E627" i="1"/>
  <c r="D627" i="1"/>
  <c r="C627" i="1"/>
  <c r="B627" i="1"/>
  <c r="A627" i="1"/>
  <c r="P626" i="1"/>
  <c r="O626" i="1"/>
  <c r="N626" i="1"/>
  <c r="M626" i="1"/>
  <c r="L626" i="1"/>
  <c r="K626" i="1"/>
  <c r="J626" i="1"/>
  <c r="I626" i="1"/>
  <c r="H626" i="1"/>
  <c r="G626" i="1"/>
  <c r="F626" i="1"/>
  <c r="E626" i="1"/>
  <c r="D626" i="1"/>
  <c r="C626" i="1"/>
  <c r="B626" i="1"/>
  <c r="A626" i="1"/>
  <c r="P625" i="1"/>
  <c r="O625" i="1"/>
  <c r="N625" i="1"/>
  <c r="M625" i="1"/>
  <c r="L625" i="1"/>
  <c r="K625" i="1"/>
  <c r="J625" i="1"/>
  <c r="I625" i="1"/>
  <c r="H625" i="1"/>
  <c r="G625" i="1"/>
  <c r="F625" i="1"/>
  <c r="E625" i="1"/>
  <c r="D625" i="1"/>
  <c r="C625" i="1"/>
  <c r="B625" i="1"/>
  <c r="A625" i="1"/>
  <c r="P624" i="1"/>
  <c r="O624" i="1"/>
  <c r="N624" i="1"/>
  <c r="M624" i="1"/>
  <c r="L624" i="1"/>
  <c r="K624" i="1"/>
  <c r="J624" i="1"/>
  <c r="I624" i="1"/>
  <c r="H624" i="1"/>
  <c r="G624" i="1"/>
  <c r="F624" i="1"/>
  <c r="E624" i="1"/>
  <c r="D624" i="1"/>
  <c r="C624" i="1"/>
  <c r="B624" i="1"/>
  <c r="A624" i="1"/>
  <c r="P623" i="1"/>
  <c r="O623" i="1"/>
  <c r="N623" i="1"/>
  <c r="M623" i="1"/>
  <c r="L623" i="1"/>
  <c r="K623" i="1"/>
  <c r="J623" i="1"/>
  <c r="I623" i="1"/>
  <c r="H623" i="1"/>
  <c r="G623" i="1"/>
  <c r="F623" i="1"/>
  <c r="E623" i="1"/>
  <c r="D623" i="1"/>
  <c r="C623" i="1"/>
  <c r="B623" i="1"/>
  <c r="A623" i="1"/>
  <c r="P622" i="1"/>
  <c r="O622" i="1"/>
  <c r="N622" i="1"/>
  <c r="M622" i="1"/>
  <c r="L622" i="1"/>
  <c r="K622" i="1"/>
  <c r="J622" i="1"/>
  <c r="I622" i="1"/>
  <c r="H622" i="1"/>
  <c r="G622" i="1"/>
  <c r="F622" i="1"/>
  <c r="E622" i="1"/>
  <c r="D622" i="1"/>
  <c r="C622" i="1"/>
  <c r="B622" i="1"/>
  <c r="A622" i="1"/>
  <c r="P621" i="1"/>
  <c r="O621" i="1"/>
  <c r="N621" i="1"/>
  <c r="M621" i="1"/>
  <c r="L621" i="1"/>
  <c r="K621" i="1"/>
  <c r="J621" i="1"/>
  <c r="I621" i="1"/>
  <c r="H621" i="1"/>
  <c r="G621" i="1"/>
  <c r="F621" i="1"/>
  <c r="E621" i="1"/>
  <c r="D621" i="1"/>
  <c r="C621" i="1"/>
  <c r="B621" i="1"/>
  <c r="A621" i="1"/>
  <c r="P620" i="1"/>
  <c r="O620" i="1"/>
  <c r="N620" i="1"/>
  <c r="M620" i="1"/>
  <c r="L620" i="1"/>
  <c r="K620" i="1"/>
  <c r="J620" i="1"/>
  <c r="I620" i="1"/>
  <c r="H620" i="1"/>
  <c r="G620" i="1"/>
  <c r="F620" i="1"/>
  <c r="E620" i="1"/>
  <c r="D620" i="1"/>
  <c r="C620" i="1"/>
  <c r="B620" i="1"/>
  <c r="A620" i="1"/>
  <c r="P619" i="1"/>
  <c r="O619" i="1"/>
  <c r="N619" i="1"/>
  <c r="M619" i="1"/>
  <c r="L619" i="1"/>
  <c r="K619" i="1"/>
  <c r="J619" i="1"/>
  <c r="I619" i="1"/>
  <c r="H619" i="1"/>
  <c r="G619" i="1"/>
  <c r="F619" i="1"/>
  <c r="E619" i="1"/>
  <c r="D619" i="1"/>
  <c r="C619" i="1"/>
  <c r="B619" i="1"/>
  <c r="A619" i="1"/>
  <c r="P618" i="1"/>
  <c r="O618" i="1"/>
  <c r="N618" i="1"/>
  <c r="M618" i="1"/>
  <c r="L618" i="1"/>
  <c r="K618" i="1"/>
  <c r="J618" i="1"/>
  <c r="I618" i="1"/>
  <c r="H618" i="1"/>
  <c r="G618" i="1"/>
  <c r="F618" i="1"/>
  <c r="E618" i="1"/>
  <c r="D618" i="1"/>
  <c r="C618" i="1"/>
  <c r="B618" i="1"/>
  <c r="A618" i="1"/>
  <c r="P617" i="1"/>
  <c r="O617" i="1"/>
  <c r="N617" i="1"/>
  <c r="M617" i="1"/>
  <c r="L617" i="1"/>
  <c r="K617" i="1"/>
  <c r="J617" i="1"/>
  <c r="I617" i="1"/>
  <c r="H617" i="1"/>
  <c r="G617" i="1"/>
  <c r="F617" i="1"/>
  <c r="E617" i="1"/>
  <c r="D617" i="1"/>
  <c r="C617" i="1"/>
  <c r="B617" i="1"/>
  <c r="A617" i="1"/>
  <c r="P616" i="1"/>
  <c r="O616" i="1"/>
  <c r="N616" i="1"/>
  <c r="M616" i="1"/>
  <c r="L616" i="1"/>
  <c r="K616" i="1"/>
  <c r="J616" i="1"/>
  <c r="I616" i="1"/>
  <c r="H616" i="1"/>
  <c r="G616" i="1"/>
  <c r="F616" i="1"/>
  <c r="E616" i="1"/>
  <c r="D616" i="1"/>
  <c r="C616" i="1"/>
  <c r="B616" i="1"/>
  <c r="A616" i="1"/>
  <c r="P615" i="1"/>
  <c r="O615" i="1"/>
  <c r="N615" i="1"/>
  <c r="M615" i="1"/>
  <c r="L615" i="1"/>
  <c r="K615" i="1"/>
  <c r="J615" i="1"/>
  <c r="I615" i="1"/>
  <c r="H615" i="1"/>
  <c r="G615" i="1"/>
  <c r="F615" i="1"/>
  <c r="E615" i="1"/>
  <c r="D615" i="1"/>
  <c r="C615" i="1"/>
  <c r="B615" i="1"/>
  <c r="A615" i="1"/>
  <c r="P614" i="1"/>
  <c r="O614" i="1"/>
  <c r="N614" i="1"/>
  <c r="M614" i="1"/>
  <c r="L614" i="1"/>
  <c r="K614" i="1"/>
  <c r="J614" i="1"/>
  <c r="I614" i="1"/>
  <c r="H614" i="1"/>
  <c r="G614" i="1"/>
  <c r="F614" i="1"/>
  <c r="E614" i="1"/>
  <c r="D614" i="1"/>
  <c r="C614" i="1"/>
  <c r="B614" i="1"/>
  <c r="A614" i="1"/>
  <c r="P613" i="1"/>
  <c r="O613" i="1"/>
  <c r="N613" i="1"/>
  <c r="M613" i="1"/>
  <c r="L613" i="1"/>
  <c r="K613" i="1"/>
  <c r="J613" i="1"/>
  <c r="I613" i="1"/>
  <c r="H613" i="1"/>
  <c r="G613" i="1"/>
  <c r="F613" i="1"/>
  <c r="E613" i="1"/>
  <c r="D613" i="1"/>
  <c r="C613" i="1"/>
  <c r="B613" i="1"/>
  <c r="A613" i="1"/>
  <c r="P612" i="1"/>
  <c r="O612" i="1"/>
  <c r="N612" i="1"/>
  <c r="M612" i="1"/>
  <c r="L612" i="1"/>
  <c r="K612" i="1"/>
  <c r="J612" i="1"/>
  <c r="I612" i="1"/>
  <c r="H612" i="1"/>
  <c r="G612" i="1"/>
  <c r="F612" i="1"/>
  <c r="E612" i="1"/>
  <c r="D612" i="1"/>
  <c r="C612" i="1"/>
  <c r="B612" i="1"/>
  <c r="A612" i="1"/>
  <c r="P611" i="1"/>
  <c r="O611" i="1"/>
  <c r="N611" i="1"/>
  <c r="M611" i="1"/>
  <c r="L611" i="1"/>
  <c r="K611" i="1"/>
  <c r="J611" i="1"/>
  <c r="I611" i="1"/>
  <c r="H611" i="1"/>
  <c r="G611" i="1"/>
  <c r="F611" i="1"/>
  <c r="E611" i="1"/>
  <c r="D611" i="1"/>
  <c r="C611" i="1"/>
  <c r="B611" i="1"/>
  <c r="A611" i="1"/>
  <c r="P610" i="1"/>
  <c r="O610" i="1"/>
  <c r="N610" i="1"/>
  <c r="M610" i="1"/>
  <c r="L610" i="1"/>
  <c r="K610" i="1"/>
  <c r="J610" i="1"/>
  <c r="I610" i="1"/>
  <c r="H610" i="1"/>
  <c r="G610" i="1"/>
  <c r="F610" i="1"/>
  <c r="E610" i="1"/>
  <c r="D610" i="1"/>
  <c r="C610" i="1"/>
  <c r="B610" i="1"/>
  <c r="A610" i="1"/>
  <c r="P609" i="1"/>
  <c r="O609" i="1"/>
  <c r="N609" i="1"/>
  <c r="M609" i="1"/>
  <c r="L609" i="1"/>
  <c r="K609" i="1"/>
  <c r="J609" i="1"/>
  <c r="I609" i="1"/>
  <c r="H609" i="1"/>
  <c r="G609" i="1"/>
  <c r="F609" i="1"/>
  <c r="E609" i="1"/>
  <c r="D609" i="1"/>
  <c r="C609" i="1"/>
  <c r="B609" i="1"/>
  <c r="A609" i="1"/>
  <c r="P608" i="1"/>
  <c r="O608" i="1"/>
  <c r="N608" i="1"/>
  <c r="M608" i="1"/>
  <c r="L608" i="1"/>
  <c r="K608" i="1"/>
  <c r="J608" i="1"/>
  <c r="I608" i="1"/>
  <c r="H608" i="1"/>
  <c r="G608" i="1"/>
  <c r="F608" i="1"/>
  <c r="E608" i="1"/>
  <c r="D608" i="1"/>
  <c r="C608" i="1"/>
  <c r="B608" i="1"/>
  <c r="A608" i="1"/>
  <c r="P607" i="1"/>
  <c r="O607" i="1"/>
  <c r="N607" i="1"/>
  <c r="M607" i="1"/>
  <c r="L607" i="1"/>
  <c r="K607" i="1"/>
  <c r="J607" i="1"/>
  <c r="I607" i="1"/>
  <c r="H607" i="1"/>
  <c r="G607" i="1"/>
  <c r="F607" i="1"/>
  <c r="E607" i="1"/>
  <c r="D607" i="1"/>
  <c r="C607" i="1"/>
  <c r="B607" i="1"/>
  <c r="A607" i="1"/>
  <c r="P606" i="1"/>
  <c r="O606" i="1"/>
  <c r="N606" i="1"/>
  <c r="M606" i="1"/>
  <c r="L606" i="1"/>
  <c r="K606" i="1"/>
  <c r="J606" i="1"/>
  <c r="I606" i="1"/>
  <c r="H606" i="1"/>
  <c r="G606" i="1"/>
  <c r="F606" i="1"/>
  <c r="E606" i="1"/>
  <c r="D606" i="1"/>
  <c r="C606" i="1"/>
  <c r="B606" i="1"/>
  <c r="A606" i="1"/>
  <c r="P605" i="1"/>
  <c r="O605" i="1"/>
  <c r="N605" i="1"/>
  <c r="M605" i="1"/>
  <c r="L605" i="1"/>
  <c r="K605" i="1"/>
  <c r="J605" i="1"/>
  <c r="I605" i="1"/>
  <c r="H605" i="1"/>
  <c r="G605" i="1"/>
  <c r="F605" i="1"/>
  <c r="E605" i="1"/>
  <c r="D605" i="1"/>
  <c r="C605" i="1"/>
  <c r="B605" i="1"/>
  <c r="A605" i="1"/>
  <c r="P604" i="1"/>
  <c r="O604" i="1"/>
  <c r="N604" i="1"/>
  <c r="M604" i="1"/>
  <c r="L604" i="1"/>
  <c r="K604" i="1"/>
  <c r="J604" i="1"/>
  <c r="I604" i="1"/>
  <c r="H604" i="1"/>
  <c r="G604" i="1"/>
  <c r="F604" i="1"/>
  <c r="E604" i="1"/>
  <c r="D604" i="1"/>
  <c r="C604" i="1"/>
  <c r="B604" i="1"/>
  <c r="A604" i="1"/>
  <c r="P603" i="1"/>
  <c r="O603" i="1"/>
  <c r="N603" i="1"/>
  <c r="M603" i="1"/>
  <c r="L603" i="1"/>
  <c r="K603" i="1"/>
  <c r="J603" i="1"/>
  <c r="I603" i="1"/>
  <c r="H603" i="1"/>
  <c r="G603" i="1"/>
  <c r="F603" i="1"/>
  <c r="E603" i="1"/>
  <c r="D603" i="1"/>
  <c r="C603" i="1"/>
  <c r="B603" i="1"/>
  <c r="A603" i="1"/>
  <c r="P602" i="1"/>
  <c r="O602" i="1"/>
  <c r="N602" i="1"/>
  <c r="M602" i="1"/>
  <c r="L602" i="1"/>
  <c r="K602" i="1"/>
  <c r="J602" i="1"/>
  <c r="I602" i="1"/>
  <c r="H602" i="1"/>
  <c r="G602" i="1"/>
  <c r="F602" i="1"/>
  <c r="E602" i="1"/>
  <c r="D602" i="1"/>
  <c r="C602" i="1"/>
  <c r="B602" i="1"/>
  <c r="A602" i="1"/>
  <c r="P601" i="1"/>
  <c r="O601" i="1"/>
  <c r="N601" i="1"/>
  <c r="M601" i="1"/>
  <c r="L601" i="1"/>
  <c r="K601" i="1"/>
  <c r="J601" i="1"/>
  <c r="I601" i="1"/>
  <c r="H601" i="1"/>
  <c r="G601" i="1"/>
  <c r="F601" i="1"/>
  <c r="E601" i="1"/>
  <c r="D601" i="1"/>
  <c r="C601" i="1"/>
  <c r="B601" i="1"/>
  <c r="A601" i="1"/>
  <c r="P600" i="1"/>
  <c r="O600" i="1"/>
  <c r="N600" i="1"/>
  <c r="M600" i="1"/>
  <c r="L600" i="1"/>
  <c r="K600" i="1"/>
  <c r="J600" i="1"/>
  <c r="I600" i="1"/>
  <c r="H600" i="1"/>
  <c r="G600" i="1"/>
  <c r="F600" i="1"/>
  <c r="E600" i="1"/>
  <c r="D600" i="1"/>
  <c r="C600" i="1"/>
  <c r="B600" i="1"/>
  <c r="A600" i="1"/>
  <c r="P599" i="1"/>
  <c r="O599" i="1"/>
  <c r="N599" i="1"/>
  <c r="M599" i="1"/>
  <c r="L599" i="1"/>
  <c r="K599" i="1"/>
  <c r="J599" i="1"/>
  <c r="I599" i="1"/>
  <c r="H599" i="1"/>
  <c r="G599" i="1"/>
  <c r="F599" i="1"/>
  <c r="E599" i="1"/>
  <c r="D599" i="1"/>
  <c r="C599" i="1"/>
  <c r="B599" i="1"/>
  <c r="A599" i="1"/>
  <c r="P598" i="1"/>
  <c r="O598" i="1"/>
  <c r="N598" i="1"/>
  <c r="M598" i="1"/>
  <c r="L598" i="1"/>
  <c r="K598" i="1"/>
  <c r="J598" i="1"/>
  <c r="I598" i="1"/>
  <c r="H598" i="1"/>
  <c r="G598" i="1"/>
  <c r="F598" i="1"/>
  <c r="E598" i="1"/>
  <c r="D598" i="1"/>
  <c r="C598" i="1"/>
  <c r="B598" i="1"/>
  <c r="A598" i="1"/>
  <c r="P597" i="1"/>
  <c r="O597" i="1"/>
  <c r="N597" i="1"/>
  <c r="M597" i="1"/>
  <c r="L597" i="1"/>
  <c r="K597" i="1"/>
  <c r="J597" i="1"/>
  <c r="I597" i="1"/>
  <c r="H597" i="1"/>
  <c r="G597" i="1"/>
  <c r="F597" i="1"/>
  <c r="E597" i="1"/>
  <c r="D597" i="1"/>
  <c r="C597" i="1"/>
  <c r="B597" i="1"/>
  <c r="A597" i="1"/>
  <c r="P596" i="1"/>
  <c r="O596" i="1"/>
  <c r="N596" i="1"/>
  <c r="M596" i="1"/>
  <c r="L596" i="1"/>
  <c r="K596" i="1"/>
  <c r="J596" i="1"/>
  <c r="I596" i="1"/>
  <c r="H596" i="1"/>
  <c r="G596" i="1"/>
  <c r="F596" i="1"/>
  <c r="E596" i="1"/>
  <c r="D596" i="1"/>
  <c r="C596" i="1"/>
  <c r="B596" i="1"/>
  <c r="A596" i="1"/>
  <c r="P595" i="1"/>
  <c r="O595" i="1"/>
  <c r="N595" i="1"/>
  <c r="M595" i="1"/>
  <c r="L595" i="1"/>
  <c r="K595" i="1"/>
  <c r="J595" i="1"/>
  <c r="I595" i="1"/>
  <c r="H595" i="1"/>
  <c r="G595" i="1"/>
  <c r="F595" i="1"/>
  <c r="E595" i="1"/>
  <c r="D595" i="1"/>
  <c r="C595" i="1"/>
  <c r="B595" i="1"/>
  <c r="A595" i="1"/>
  <c r="P594" i="1"/>
  <c r="O594" i="1"/>
  <c r="N594" i="1"/>
  <c r="M594" i="1"/>
  <c r="L594" i="1"/>
  <c r="K594" i="1"/>
  <c r="J594" i="1"/>
  <c r="I594" i="1"/>
  <c r="H594" i="1"/>
  <c r="G594" i="1"/>
  <c r="F594" i="1"/>
  <c r="E594" i="1"/>
  <c r="D594" i="1"/>
  <c r="C594" i="1"/>
  <c r="B594" i="1"/>
  <c r="A594" i="1"/>
  <c r="P593" i="1"/>
  <c r="O593" i="1"/>
  <c r="N593" i="1"/>
  <c r="M593" i="1"/>
  <c r="L593" i="1"/>
  <c r="K593" i="1"/>
  <c r="J593" i="1"/>
  <c r="I593" i="1"/>
  <c r="H593" i="1"/>
  <c r="G593" i="1"/>
  <c r="F593" i="1"/>
  <c r="E593" i="1"/>
  <c r="D593" i="1"/>
  <c r="C593" i="1"/>
  <c r="B593" i="1"/>
  <c r="A593" i="1"/>
  <c r="P592" i="1"/>
  <c r="O592" i="1"/>
  <c r="N592" i="1"/>
  <c r="M592" i="1"/>
  <c r="L592" i="1"/>
  <c r="K592" i="1"/>
  <c r="J592" i="1"/>
  <c r="I592" i="1"/>
  <c r="H592" i="1"/>
  <c r="G592" i="1"/>
  <c r="F592" i="1"/>
  <c r="E592" i="1"/>
  <c r="D592" i="1"/>
  <c r="C592" i="1"/>
  <c r="B592" i="1"/>
  <c r="A592" i="1"/>
  <c r="P591" i="1"/>
  <c r="O591" i="1"/>
  <c r="N591" i="1"/>
  <c r="M591" i="1"/>
  <c r="L591" i="1"/>
  <c r="K591" i="1"/>
  <c r="J591" i="1"/>
  <c r="I591" i="1"/>
  <c r="H591" i="1"/>
  <c r="G591" i="1"/>
  <c r="F591" i="1"/>
  <c r="E591" i="1"/>
  <c r="D591" i="1"/>
  <c r="C591" i="1"/>
  <c r="B591" i="1"/>
  <c r="A591" i="1"/>
  <c r="P590" i="1"/>
  <c r="O590" i="1"/>
  <c r="N590" i="1"/>
  <c r="M590" i="1"/>
  <c r="L590" i="1"/>
  <c r="K590" i="1"/>
  <c r="J590" i="1"/>
  <c r="I590" i="1"/>
  <c r="H590" i="1"/>
  <c r="G590" i="1"/>
  <c r="F590" i="1"/>
  <c r="E590" i="1"/>
  <c r="D590" i="1"/>
  <c r="C590" i="1"/>
  <c r="B590" i="1"/>
  <c r="A590" i="1"/>
  <c r="P589" i="1"/>
  <c r="O589" i="1"/>
  <c r="N589" i="1"/>
  <c r="M589" i="1"/>
  <c r="L589" i="1"/>
  <c r="K589" i="1"/>
  <c r="J589" i="1"/>
  <c r="I589" i="1"/>
  <c r="H589" i="1"/>
  <c r="G589" i="1"/>
  <c r="F589" i="1"/>
  <c r="E589" i="1"/>
  <c r="D589" i="1"/>
  <c r="C589" i="1"/>
  <c r="B589" i="1"/>
  <c r="A589" i="1"/>
  <c r="P588" i="1"/>
  <c r="O588" i="1"/>
  <c r="N588" i="1"/>
  <c r="M588" i="1"/>
  <c r="L588" i="1"/>
  <c r="K588" i="1"/>
  <c r="J588" i="1"/>
  <c r="I588" i="1"/>
  <c r="H588" i="1"/>
  <c r="G588" i="1"/>
  <c r="F588" i="1"/>
  <c r="E588" i="1"/>
  <c r="D588" i="1"/>
  <c r="C588" i="1"/>
  <c r="B588" i="1"/>
  <c r="A588" i="1"/>
  <c r="P587" i="1"/>
  <c r="O587" i="1"/>
  <c r="N587" i="1"/>
  <c r="M587" i="1"/>
  <c r="L587" i="1"/>
  <c r="K587" i="1"/>
  <c r="J587" i="1"/>
  <c r="I587" i="1"/>
  <c r="H587" i="1"/>
  <c r="G587" i="1"/>
  <c r="F587" i="1"/>
  <c r="E587" i="1"/>
  <c r="D587" i="1"/>
  <c r="C587" i="1"/>
  <c r="B587" i="1"/>
  <c r="A587" i="1"/>
  <c r="P586" i="1"/>
  <c r="O586" i="1"/>
  <c r="N586" i="1"/>
  <c r="M586" i="1"/>
  <c r="L586" i="1"/>
  <c r="K586" i="1"/>
  <c r="J586" i="1"/>
  <c r="I586" i="1"/>
  <c r="H586" i="1"/>
  <c r="G586" i="1"/>
  <c r="F586" i="1"/>
  <c r="E586" i="1"/>
  <c r="D586" i="1"/>
  <c r="C586" i="1"/>
  <c r="B586" i="1"/>
  <c r="A586" i="1"/>
  <c r="P585" i="1"/>
  <c r="O585" i="1"/>
  <c r="N585" i="1"/>
  <c r="M585" i="1"/>
  <c r="L585" i="1"/>
  <c r="K585" i="1"/>
  <c r="J585" i="1"/>
  <c r="I585" i="1"/>
  <c r="H585" i="1"/>
  <c r="G585" i="1"/>
  <c r="F585" i="1"/>
  <c r="E585" i="1"/>
  <c r="D585" i="1"/>
  <c r="C585" i="1"/>
  <c r="B585" i="1"/>
  <c r="A585" i="1"/>
  <c r="P584" i="1"/>
  <c r="O584" i="1"/>
  <c r="N584" i="1"/>
  <c r="M584" i="1"/>
  <c r="L584" i="1"/>
  <c r="K584" i="1"/>
  <c r="J584" i="1"/>
  <c r="I584" i="1"/>
  <c r="H584" i="1"/>
  <c r="G584" i="1"/>
  <c r="F584" i="1"/>
  <c r="E584" i="1"/>
  <c r="D584" i="1"/>
  <c r="C584" i="1"/>
  <c r="B584" i="1"/>
  <c r="A584" i="1"/>
  <c r="P583" i="1"/>
  <c r="O583" i="1"/>
  <c r="N583" i="1"/>
  <c r="M583" i="1"/>
  <c r="L583" i="1"/>
  <c r="K583" i="1"/>
  <c r="J583" i="1"/>
  <c r="I583" i="1"/>
  <c r="H583" i="1"/>
  <c r="G583" i="1"/>
  <c r="F583" i="1"/>
  <c r="E583" i="1"/>
  <c r="D583" i="1"/>
  <c r="C583" i="1"/>
  <c r="B583" i="1"/>
  <c r="A583" i="1"/>
  <c r="P582" i="1"/>
  <c r="O582" i="1"/>
  <c r="N582" i="1"/>
  <c r="M582" i="1"/>
  <c r="L582" i="1"/>
  <c r="K582" i="1"/>
  <c r="J582" i="1"/>
  <c r="I582" i="1"/>
  <c r="H582" i="1"/>
  <c r="G582" i="1"/>
  <c r="F582" i="1"/>
  <c r="E582" i="1"/>
  <c r="D582" i="1"/>
  <c r="C582" i="1"/>
  <c r="B582" i="1"/>
  <c r="A582" i="1"/>
  <c r="P581" i="1"/>
  <c r="O581" i="1"/>
  <c r="N581" i="1"/>
  <c r="M581" i="1"/>
  <c r="L581" i="1"/>
  <c r="K581" i="1"/>
  <c r="J581" i="1"/>
  <c r="I581" i="1"/>
  <c r="H581" i="1"/>
  <c r="G581" i="1"/>
  <c r="F581" i="1"/>
  <c r="E581" i="1"/>
  <c r="D581" i="1"/>
  <c r="C581" i="1"/>
  <c r="B581" i="1"/>
  <c r="A581" i="1"/>
  <c r="P580" i="1"/>
  <c r="O580" i="1"/>
  <c r="N580" i="1"/>
  <c r="M580" i="1"/>
  <c r="L580" i="1"/>
  <c r="K580" i="1"/>
  <c r="J580" i="1"/>
  <c r="I580" i="1"/>
  <c r="H580" i="1"/>
  <c r="G580" i="1"/>
  <c r="F580" i="1"/>
  <c r="E580" i="1"/>
  <c r="D580" i="1"/>
  <c r="C580" i="1"/>
  <c r="B580" i="1"/>
  <c r="A580" i="1"/>
  <c r="P579" i="1"/>
  <c r="O579" i="1"/>
  <c r="N579" i="1"/>
  <c r="M579" i="1"/>
  <c r="L579" i="1"/>
  <c r="K579" i="1"/>
  <c r="J579" i="1"/>
  <c r="I579" i="1"/>
  <c r="H579" i="1"/>
  <c r="G579" i="1"/>
  <c r="F579" i="1"/>
  <c r="E579" i="1"/>
  <c r="D579" i="1"/>
  <c r="C579" i="1"/>
  <c r="B579" i="1"/>
  <c r="A579" i="1"/>
  <c r="P578" i="1"/>
  <c r="O578" i="1"/>
  <c r="N578" i="1"/>
  <c r="M578" i="1"/>
  <c r="L578" i="1"/>
  <c r="K578" i="1"/>
  <c r="J578" i="1"/>
  <c r="I578" i="1"/>
  <c r="H578" i="1"/>
  <c r="G578" i="1"/>
  <c r="F578" i="1"/>
  <c r="E578" i="1"/>
  <c r="D578" i="1"/>
  <c r="C578" i="1"/>
  <c r="B578" i="1"/>
  <c r="A578" i="1"/>
  <c r="P577" i="1"/>
  <c r="O577" i="1"/>
  <c r="N577" i="1"/>
  <c r="M577" i="1"/>
  <c r="L577" i="1"/>
  <c r="K577" i="1"/>
  <c r="J577" i="1"/>
  <c r="I577" i="1"/>
  <c r="H577" i="1"/>
  <c r="G577" i="1"/>
  <c r="F577" i="1"/>
  <c r="E577" i="1"/>
  <c r="D577" i="1"/>
  <c r="C577" i="1"/>
  <c r="B577" i="1"/>
  <c r="A577" i="1"/>
  <c r="P576" i="1"/>
  <c r="O576" i="1"/>
  <c r="N576" i="1"/>
  <c r="M576" i="1"/>
  <c r="L576" i="1"/>
  <c r="K576" i="1"/>
  <c r="J576" i="1"/>
  <c r="I576" i="1"/>
  <c r="H576" i="1"/>
  <c r="G576" i="1"/>
  <c r="F576" i="1"/>
  <c r="E576" i="1"/>
  <c r="D576" i="1"/>
  <c r="C576" i="1"/>
  <c r="B576" i="1"/>
  <c r="A576" i="1"/>
  <c r="P575" i="1"/>
  <c r="O575" i="1"/>
  <c r="N575" i="1"/>
  <c r="M575" i="1"/>
  <c r="L575" i="1"/>
  <c r="K575" i="1"/>
  <c r="J575" i="1"/>
  <c r="I575" i="1"/>
  <c r="H575" i="1"/>
  <c r="G575" i="1"/>
  <c r="F575" i="1"/>
  <c r="E575" i="1"/>
  <c r="D575" i="1"/>
  <c r="C575" i="1"/>
  <c r="B575" i="1"/>
  <c r="A575" i="1"/>
  <c r="P574" i="1"/>
  <c r="O574" i="1"/>
  <c r="N574" i="1"/>
  <c r="M574" i="1"/>
  <c r="L574" i="1"/>
  <c r="K574" i="1"/>
  <c r="J574" i="1"/>
  <c r="I574" i="1"/>
  <c r="H574" i="1"/>
  <c r="G574" i="1"/>
  <c r="F574" i="1"/>
  <c r="E574" i="1"/>
  <c r="D574" i="1"/>
  <c r="C574" i="1"/>
  <c r="B574" i="1"/>
  <c r="A574" i="1"/>
  <c r="P573" i="1"/>
  <c r="O573" i="1"/>
  <c r="N573" i="1"/>
  <c r="M573" i="1"/>
  <c r="L573" i="1"/>
  <c r="K573" i="1"/>
  <c r="J573" i="1"/>
  <c r="I573" i="1"/>
  <c r="H573" i="1"/>
  <c r="G573" i="1"/>
  <c r="F573" i="1"/>
  <c r="E573" i="1"/>
  <c r="D573" i="1"/>
  <c r="C573" i="1"/>
  <c r="B573" i="1"/>
  <c r="A573" i="1"/>
  <c r="P572" i="1"/>
  <c r="O572" i="1"/>
  <c r="N572" i="1"/>
  <c r="M572" i="1"/>
  <c r="L572" i="1"/>
  <c r="K572" i="1"/>
  <c r="J572" i="1"/>
  <c r="I572" i="1"/>
  <c r="H572" i="1"/>
  <c r="G572" i="1"/>
  <c r="F572" i="1"/>
  <c r="E572" i="1"/>
  <c r="D572" i="1"/>
  <c r="C572" i="1"/>
  <c r="B572" i="1"/>
  <c r="A572" i="1"/>
  <c r="P571" i="1"/>
  <c r="O571" i="1"/>
  <c r="N571" i="1"/>
  <c r="M571" i="1"/>
  <c r="L571" i="1"/>
  <c r="K571" i="1"/>
  <c r="J571" i="1"/>
  <c r="I571" i="1"/>
  <c r="H571" i="1"/>
  <c r="G571" i="1"/>
  <c r="F571" i="1"/>
  <c r="E571" i="1"/>
  <c r="D571" i="1"/>
  <c r="C571" i="1"/>
  <c r="B571" i="1"/>
  <c r="A571" i="1"/>
  <c r="P570" i="1"/>
  <c r="O570" i="1"/>
  <c r="N570" i="1"/>
  <c r="M570" i="1"/>
  <c r="L570" i="1"/>
  <c r="K570" i="1"/>
  <c r="J570" i="1"/>
  <c r="I570" i="1"/>
  <c r="H570" i="1"/>
  <c r="G570" i="1"/>
  <c r="F570" i="1"/>
  <c r="E570" i="1"/>
  <c r="D570" i="1"/>
  <c r="C570" i="1"/>
  <c r="B570" i="1"/>
  <c r="A570" i="1"/>
  <c r="P569" i="1"/>
  <c r="O569" i="1"/>
  <c r="N569" i="1"/>
  <c r="M569" i="1"/>
  <c r="L569" i="1"/>
  <c r="K569" i="1"/>
  <c r="J569" i="1"/>
  <c r="I569" i="1"/>
  <c r="H569" i="1"/>
  <c r="G569" i="1"/>
  <c r="F569" i="1"/>
  <c r="E569" i="1"/>
  <c r="D569" i="1"/>
  <c r="C569" i="1"/>
  <c r="B569" i="1"/>
  <c r="A569" i="1"/>
  <c r="P568" i="1"/>
  <c r="O568" i="1"/>
  <c r="N568" i="1"/>
  <c r="M568" i="1"/>
  <c r="L568" i="1"/>
  <c r="K568" i="1"/>
  <c r="J568" i="1"/>
  <c r="I568" i="1"/>
  <c r="H568" i="1"/>
  <c r="G568" i="1"/>
  <c r="F568" i="1"/>
  <c r="E568" i="1"/>
  <c r="D568" i="1"/>
  <c r="C568" i="1"/>
  <c r="B568" i="1"/>
  <c r="A568" i="1"/>
  <c r="P567" i="1"/>
  <c r="O567" i="1"/>
  <c r="N567" i="1"/>
  <c r="M567" i="1"/>
  <c r="L567" i="1"/>
  <c r="K567" i="1"/>
  <c r="J567" i="1"/>
  <c r="I567" i="1"/>
  <c r="H567" i="1"/>
  <c r="G567" i="1"/>
  <c r="F567" i="1"/>
  <c r="E567" i="1"/>
  <c r="D567" i="1"/>
  <c r="C567" i="1"/>
  <c r="B567" i="1"/>
  <c r="A567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D566" i="1"/>
  <c r="C566" i="1"/>
  <c r="B566" i="1"/>
  <c r="A566" i="1"/>
  <c r="P565" i="1"/>
  <c r="O565" i="1"/>
  <c r="N565" i="1"/>
  <c r="M565" i="1"/>
  <c r="L565" i="1"/>
  <c r="K565" i="1"/>
  <c r="J565" i="1"/>
  <c r="I565" i="1"/>
  <c r="H565" i="1"/>
  <c r="G565" i="1"/>
  <c r="F565" i="1"/>
  <c r="E565" i="1"/>
  <c r="D565" i="1"/>
  <c r="C565" i="1"/>
  <c r="B565" i="1"/>
  <c r="A565" i="1"/>
  <c r="P564" i="1"/>
  <c r="O564" i="1"/>
  <c r="N564" i="1"/>
  <c r="M564" i="1"/>
  <c r="L564" i="1"/>
  <c r="K564" i="1"/>
  <c r="J564" i="1"/>
  <c r="I564" i="1"/>
  <c r="H564" i="1"/>
  <c r="G564" i="1"/>
  <c r="F564" i="1"/>
  <c r="E564" i="1"/>
  <c r="D564" i="1"/>
  <c r="C564" i="1"/>
  <c r="B564" i="1"/>
  <c r="A564" i="1"/>
  <c r="P563" i="1"/>
  <c r="O563" i="1"/>
  <c r="N563" i="1"/>
  <c r="M563" i="1"/>
  <c r="L563" i="1"/>
  <c r="K563" i="1"/>
  <c r="J563" i="1"/>
  <c r="I563" i="1"/>
  <c r="H563" i="1"/>
  <c r="G563" i="1"/>
  <c r="F563" i="1"/>
  <c r="E563" i="1"/>
  <c r="D563" i="1"/>
  <c r="C563" i="1"/>
  <c r="B563" i="1"/>
  <c r="A563" i="1"/>
  <c r="P562" i="1"/>
  <c r="O562" i="1"/>
  <c r="N562" i="1"/>
  <c r="M562" i="1"/>
  <c r="L562" i="1"/>
  <c r="K562" i="1"/>
  <c r="J562" i="1"/>
  <c r="I562" i="1"/>
  <c r="H562" i="1"/>
  <c r="G562" i="1"/>
  <c r="F562" i="1"/>
  <c r="E562" i="1"/>
  <c r="D562" i="1"/>
  <c r="C562" i="1"/>
  <c r="B562" i="1"/>
  <c r="A562" i="1"/>
  <c r="P561" i="1"/>
  <c r="O561" i="1"/>
  <c r="N561" i="1"/>
  <c r="M561" i="1"/>
  <c r="L561" i="1"/>
  <c r="K561" i="1"/>
  <c r="J561" i="1"/>
  <c r="I561" i="1"/>
  <c r="H561" i="1"/>
  <c r="G561" i="1"/>
  <c r="F561" i="1"/>
  <c r="E561" i="1"/>
  <c r="D561" i="1"/>
  <c r="C561" i="1"/>
  <c r="B561" i="1"/>
  <c r="A561" i="1"/>
  <c r="P560" i="1"/>
  <c r="O560" i="1"/>
  <c r="N560" i="1"/>
  <c r="M560" i="1"/>
  <c r="L560" i="1"/>
  <c r="K560" i="1"/>
  <c r="J560" i="1"/>
  <c r="I560" i="1"/>
  <c r="H560" i="1"/>
  <c r="G560" i="1"/>
  <c r="F560" i="1"/>
  <c r="E560" i="1"/>
  <c r="D560" i="1"/>
  <c r="C560" i="1"/>
  <c r="B560" i="1"/>
  <c r="A560" i="1"/>
  <c r="P559" i="1"/>
  <c r="O559" i="1"/>
  <c r="N559" i="1"/>
  <c r="M559" i="1"/>
  <c r="L559" i="1"/>
  <c r="K559" i="1"/>
  <c r="J559" i="1"/>
  <c r="I559" i="1"/>
  <c r="H559" i="1"/>
  <c r="G559" i="1"/>
  <c r="F559" i="1"/>
  <c r="E559" i="1"/>
  <c r="D559" i="1"/>
  <c r="C559" i="1"/>
  <c r="B559" i="1"/>
  <c r="A559" i="1"/>
  <c r="P558" i="1"/>
  <c r="O558" i="1"/>
  <c r="N558" i="1"/>
  <c r="M558" i="1"/>
  <c r="L558" i="1"/>
  <c r="K558" i="1"/>
  <c r="J558" i="1"/>
  <c r="I558" i="1"/>
  <c r="H558" i="1"/>
  <c r="G558" i="1"/>
  <c r="F558" i="1"/>
  <c r="E558" i="1"/>
  <c r="D558" i="1"/>
  <c r="C558" i="1"/>
  <c r="B558" i="1"/>
  <c r="A558" i="1"/>
  <c r="P557" i="1"/>
  <c r="O557" i="1"/>
  <c r="N557" i="1"/>
  <c r="M557" i="1"/>
  <c r="L557" i="1"/>
  <c r="K557" i="1"/>
  <c r="J557" i="1"/>
  <c r="I557" i="1"/>
  <c r="H557" i="1"/>
  <c r="G557" i="1"/>
  <c r="F557" i="1"/>
  <c r="E557" i="1"/>
  <c r="D557" i="1"/>
  <c r="C557" i="1"/>
  <c r="B557" i="1"/>
  <c r="A557" i="1"/>
  <c r="P556" i="1"/>
  <c r="O556" i="1"/>
  <c r="N556" i="1"/>
  <c r="M556" i="1"/>
  <c r="L556" i="1"/>
  <c r="K556" i="1"/>
  <c r="J556" i="1"/>
  <c r="I556" i="1"/>
  <c r="H556" i="1"/>
  <c r="G556" i="1"/>
  <c r="F556" i="1"/>
  <c r="E556" i="1"/>
  <c r="D556" i="1"/>
  <c r="C556" i="1"/>
  <c r="B556" i="1"/>
  <c r="A556" i="1"/>
  <c r="P555" i="1"/>
  <c r="O555" i="1"/>
  <c r="N555" i="1"/>
  <c r="M555" i="1"/>
  <c r="L555" i="1"/>
  <c r="K555" i="1"/>
  <c r="J555" i="1"/>
  <c r="I555" i="1"/>
  <c r="H555" i="1"/>
  <c r="G555" i="1"/>
  <c r="F555" i="1"/>
  <c r="E555" i="1"/>
  <c r="D555" i="1"/>
  <c r="C555" i="1"/>
  <c r="B555" i="1"/>
  <c r="A555" i="1"/>
  <c r="P554" i="1"/>
  <c r="O554" i="1"/>
  <c r="N554" i="1"/>
  <c r="M554" i="1"/>
  <c r="L554" i="1"/>
  <c r="K554" i="1"/>
  <c r="J554" i="1"/>
  <c r="I554" i="1"/>
  <c r="H554" i="1"/>
  <c r="G554" i="1"/>
  <c r="F554" i="1"/>
  <c r="E554" i="1"/>
  <c r="D554" i="1"/>
  <c r="C554" i="1"/>
  <c r="B554" i="1"/>
  <c r="A554" i="1"/>
  <c r="P553" i="1"/>
  <c r="O553" i="1"/>
  <c r="N553" i="1"/>
  <c r="M553" i="1"/>
  <c r="L553" i="1"/>
  <c r="K553" i="1"/>
  <c r="J553" i="1"/>
  <c r="I553" i="1"/>
  <c r="H553" i="1"/>
  <c r="G553" i="1"/>
  <c r="F553" i="1"/>
  <c r="E553" i="1"/>
  <c r="D553" i="1"/>
  <c r="C553" i="1"/>
  <c r="B553" i="1"/>
  <c r="A553" i="1"/>
  <c r="P552" i="1"/>
  <c r="O552" i="1"/>
  <c r="N552" i="1"/>
  <c r="M552" i="1"/>
  <c r="L552" i="1"/>
  <c r="K552" i="1"/>
  <c r="J552" i="1"/>
  <c r="I552" i="1"/>
  <c r="H552" i="1"/>
  <c r="G552" i="1"/>
  <c r="F552" i="1"/>
  <c r="E552" i="1"/>
  <c r="D552" i="1"/>
  <c r="C552" i="1"/>
  <c r="B552" i="1"/>
  <c r="A552" i="1"/>
  <c r="P551" i="1"/>
  <c r="O551" i="1"/>
  <c r="N551" i="1"/>
  <c r="M551" i="1"/>
  <c r="L551" i="1"/>
  <c r="K551" i="1"/>
  <c r="J551" i="1"/>
  <c r="I551" i="1"/>
  <c r="H551" i="1"/>
  <c r="G551" i="1"/>
  <c r="F551" i="1"/>
  <c r="E551" i="1"/>
  <c r="D551" i="1"/>
  <c r="C551" i="1"/>
  <c r="B551" i="1"/>
  <c r="A551" i="1"/>
  <c r="P550" i="1"/>
  <c r="O550" i="1"/>
  <c r="N550" i="1"/>
  <c r="M550" i="1"/>
  <c r="L550" i="1"/>
  <c r="K550" i="1"/>
  <c r="J550" i="1"/>
  <c r="I550" i="1"/>
  <c r="H550" i="1"/>
  <c r="G550" i="1"/>
  <c r="F550" i="1"/>
  <c r="E550" i="1"/>
  <c r="D550" i="1"/>
  <c r="C550" i="1"/>
  <c r="B550" i="1"/>
  <c r="A550" i="1"/>
  <c r="P549" i="1"/>
  <c r="O549" i="1"/>
  <c r="N549" i="1"/>
  <c r="M549" i="1"/>
  <c r="L549" i="1"/>
  <c r="K549" i="1"/>
  <c r="J549" i="1"/>
  <c r="I549" i="1"/>
  <c r="H549" i="1"/>
  <c r="G549" i="1"/>
  <c r="F549" i="1"/>
  <c r="E549" i="1"/>
  <c r="D549" i="1"/>
  <c r="C549" i="1"/>
  <c r="B549" i="1"/>
  <c r="A549" i="1"/>
  <c r="P548" i="1"/>
  <c r="O548" i="1"/>
  <c r="N548" i="1"/>
  <c r="M548" i="1"/>
  <c r="L548" i="1"/>
  <c r="K548" i="1"/>
  <c r="J548" i="1"/>
  <c r="I548" i="1"/>
  <c r="H548" i="1"/>
  <c r="G548" i="1"/>
  <c r="F548" i="1"/>
  <c r="E548" i="1"/>
  <c r="D548" i="1"/>
  <c r="C548" i="1"/>
  <c r="B548" i="1"/>
  <c r="A548" i="1"/>
  <c r="P547" i="1"/>
  <c r="O547" i="1"/>
  <c r="N547" i="1"/>
  <c r="M547" i="1"/>
  <c r="L547" i="1"/>
  <c r="K547" i="1"/>
  <c r="J547" i="1"/>
  <c r="I547" i="1"/>
  <c r="H547" i="1"/>
  <c r="G547" i="1"/>
  <c r="F547" i="1"/>
  <c r="E547" i="1"/>
  <c r="D547" i="1"/>
  <c r="C547" i="1"/>
  <c r="B547" i="1"/>
  <c r="A547" i="1"/>
  <c r="P546" i="1"/>
  <c r="O546" i="1"/>
  <c r="N546" i="1"/>
  <c r="M546" i="1"/>
  <c r="L546" i="1"/>
  <c r="K546" i="1"/>
  <c r="J546" i="1"/>
  <c r="I546" i="1"/>
  <c r="H546" i="1"/>
  <c r="G546" i="1"/>
  <c r="F546" i="1"/>
  <c r="E546" i="1"/>
  <c r="D546" i="1"/>
  <c r="C546" i="1"/>
  <c r="B546" i="1"/>
  <c r="A546" i="1"/>
  <c r="P545" i="1"/>
  <c r="O545" i="1"/>
  <c r="N545" i="1"/>
  <c r="M545" i="1"/>
  <c r="L545" i="1"/>
  <c r="K545" i="1"/>
  <c r="J545" i="1"/>
  <c r="I545" i="1"/>
  <c r="H545" i="1"/>
  <c r="G545" i="1"/>
  <c r="F545" i="1"/>
  <c r="E545" i="1"/>
  <c r="D545" i="1"/>
  <c r="C545" i="1"/>
  <c r="B545" i="1"/>
  <c r="A545" i="1"/>
  <c r="P544" i="1"/>
  <c r="O544" i="1"/>
  <c r="N544" i="1"/>
  <c r="M544" i="1"/>
  <c r="L544" i="1"/>
  <c r="K544" i="1"/>
  <c r="J544" i="1"/>
  <c r="I544" i="1"/>
  <c r="H544" i="1"/>
  <c r="G544" i="1"/>
  <c r="F544" i="1"/>
  <c r="E544" i="1"/>
  <c r="D544" i="1"/>
  <c r="C544" i="1"/>
  <c r="B544" i="1"/>
  <c r="A544" i="1"/>
  <c r="P543" i="1"/>
  <c r="O543" i="1"/>
  <c r="N543" i="1"/>
  <c r="M543" i="1"/>
  <c r="L543" i="1"/>
  <c r="K543" i="1"/>
  <c r="J543" i="1"/>
  <c r="I543" i="1"/>
  <c r="H543" i="1"/>
  <c r="G543" i="1"/>
  <c r="F543" i="1"/>
  <c r="E543" i="1"/>
  <c r="D543" i="1"/>
  <c r="C543" i="1"/>
  <c r="B543" i="1"/>
  <c r="A543" i="1"/>
  <c r="P542" i="1"/>
  <c r="O542" i="1"/>
  <c r="N542" i="1"/>
  <c r="M542" i="1"/>
  <c r="L542" i="1"/>
  <c r="K542" i="1"/>
  <c r="J542" i="1"/>
  <c r="I542" i="1"/>
  <c r="H542" i="1"/>
  <c r="G542" i="1"/>
  <c r="F542" i="1"/>
  <c r="E542" i="1"/>
  <c r="D542" i="1"/>
  <c r="C542" i="1"/>
  <c r="B542" i="1"/>
  <c r="A542" i="1"/>
  <c r="P541" i="1"/>
  <c r="O541" i="1"/>
  <c r="N541" i="1"/>
  <c r="M541" i="1"/>
  <c r="L541" i="1"/>
  <c r="K541" i="1"/>
  <c r="J541" i="1"/>
  <c r="I541" i="1"/>
  <c r="H541" i="1"/>
  <c r="G541" i="1"/>
  <c r="F541" i="1"/>
  <c r="E541" i="1"/>
  <c r="D541" i="1"/>
  <c r="C541" i="1"/>
  <c r="B541" i="1"/>
  <c r="A541" i="1"/>
  <c r="P540" i="1"/>
  <c r="O540" i="1"/>
  <c r="N540" i="1"/>
  <c r="M540" i="1"/>
  <c r="L540" i="1"/>
  <c r="K540" i="1"/>
  <c r="J540" i="1"/>
  <c r="I540" i="1"/>
  <c r="H540" i="1"/>
  <c r="G540" i="1"/>
  <c r="F540" i="1"/>
  <c r="E540" i="1"/>
  <c r="D540" i="1"/>
  <c r="C540" i="1"/>
  <c r="B540" i="1"/>
  <c r="A540" i="1"/>
  <c r="P539" i="1"/>
  <c r="O539" i="1"/>
  <c r="N539" i="1"/>
  <c r="M539" i="1"/>
  <c r="L539" i="1"/>
  <c r="K539" i="1"/>
  <c r="J539" i="1"/>
  <c r="I539" i="1"/>
  <c r="H539" i="1"/>
  <c r="G539" i="1"/>
  <c r="F539" i="1"/>
  <c r="E539" i="1"/>
  <c r="D539" i="1"/>
  <c r="C539" i="1"/>
  <c r="B539" i="1"/>
  <c r="A539" i="1"/>
  <c r="P538" i="1"/>
  <c r="O538" i="1"/>
  <c r="N538" i="1"/>
  <c r="M538" i="1"/>
  <c r="L538" i="1"/>
  <c r="K538" i="1"/>
  <c r="J538" i="1"/>
  <c r="I538" i="1"/>
  <c r="H538" i="1"/>
  <c r="G538" i="1"/>
  <c r="F538" i="1"/>
  <c r="E538" i="1"/>
  <c r="D538" i="1"/>
  <c r="C538" i="1"/>
  <c r="B538" i="1"/>
  <c r="A538" i="1"/>
  <c r="P537" i="1"/>
  <c r="O537" i="1"/>
  <c r="N537" i="1"/>
  <c r="M537" i="1"/>
  <c r="L537" i="1"/>
  <c r="K537" i="1"/>
  <c r="J537" i="1"/>
  <c r="I537" i="1"/>
  <c r="H537" i="1"/>
  <c r="G537" i="1"/>
  <c r="F537" i="1"/>
  <c r="E537" i="1"/>
  <c r="D537" i="1"/>
  <c r="C537" i="1"/>
  <c r="B537" i="1"/>
  <c r="A537" i="1"/>
  <c r="P536" i="1"/>
  <c r="O536" i="1"/>
  <c r="N536" i="1"/>
  <c r="M536" i="1"/>
  <c r="L536" i="1"/>
  <c r="K536" i="1"/>
  <c r="J536" i="1"/>
  <c r="I536" i="1"/>
  <c r="H536" i="1"/>
  <c r="G536" i="1"/>
  <c r="F536" i="1"/>
  <c r="E536" i="1"/>
  <c r="D536" i="1"/>
  <c r="C536" i="1"/>
  <c r="B536" i="1"/>
  <c r="A536" i="1"/>
  <c r="P535" i="1"/>
  <c r="O535" i="1"/>
  <c r="N535" i="1"/>
  <c r="M535" i="1"/>
  <c r="L535" i="1"/>
  <c r="K535" i="1"/>
  <c r="J535" i="1"/>
  <c r="I535" i="1"/>
  <c r="H535" i="1"/>
  <c r="G535" i="1"/>
  <c r="F535" i="1"/>
  <c r="E535" i="1"/>
  <c r="D535" i="1"/>
  <c r="C535" i="1"/>
  <c r="B535" i="1"/>
  <c r="A535" i="1"/>
  <c r="P534" i="1"/>
  <c r="O534" i="1"/>
  <c r="N534" i="1"/>
  <c r="M534" i="1"/>
  <c r="L534" i="1"/>
  <c r="K534" i="1"/>
  <c r="J534" i="1"/>
  <c r="I534" i="1"/>
  <c r="H534" i="1"/>
  <c r="G534" i="1"/>
  <c r="F534" i="1"/>
  <c r="E534" i="1"/>
  <c r="D534" i="1"/>
  <c r="C534" i="1"/>
  <c r="B534" i="1"/>
  <c r="A534" i="1"/>
  <c r="P533" i="1"/>
  <c r="O533" i="1"/>
  <c r="N533" i="1"/>
  <c r="M533" i="1"/>
  <c r="L533" i="1"/>
  <c r="K533" i="1"/>
  <c r="J533" i="1"/>
  <c r="I533" i="1"/>
  <c r="H533" i="1"/>
  <c r="G533" i="1"/>
  <c r="F533" i="1"/>
  <c r="E533" i="1"/>
  <c r="D533" i="1"/>
  <c r="C533" i="1"/>
  <c r="B533" i="1"/>
  <c r="A533" i="1"/>
  <c r="P532" i="1"/>
  <c r="O532" i="1"/>
  <c r="N532" i="1"/>
  <c r="M532" i="1"/>
  <c r="L532" i="1"/>
  <c r="K532" i="1"/>
  <c r="J532" i="1"/>
  <c r="I532" i="1"/>
  <c r="H532" i="1"/>
  <c r="G532" i="1"/>
  <c r="F532" i="1"/>
  <c r="E532" i="1"/>
  <c r="D532" i="1"/>
  <c r="C532" i="1"/>
  <c r="B532" i="1"/>
  <c r="A532" i="1"/>
  <c r="P531" i="1"/>
  <c r="O531" i="1"/>
  <c r="N531" i="1"/>
  <c r="M531" i="1"/>
  <c r="L531" i="1"/>
  <c r="K531" i="1"/>
  <c r="J531" i="1"/>
  <c r="I531" i="1"/>
  <c r="H531" i="1"/>
  <c r="G531" i="1"/>
  <c r="F531" i="1"/>
  <c r="E531" i="1"/>
  <c r="D531" i="1"/>
  <c r="C531" i="1"/>
  <c r="B531" i="1"/>
  <c r="A531" i="1"/>
  <c r="P530" i="1"/>
  <c r="O530" i="1"/>
  <c r="N530" i="1"/>
  <c r="M530" i="1"/>
  <c r="L530" i="1"/>
  <c r="K530" i="1"/>
  <c r="J530" i="1"/>
  <c r="I530" i="1"/>
  <c r="H530" i="1"/>
  <c r="G530" i="1"/>
  <c r="F530" i="1"/>
  <c r="E530" i="1"/>
  <c r="D530" i="1"/>
  <c r="C530" i="1"/>
  <c r="B530" i="1"/>
  <c r="A530" i="1"/>
  <c r="P529" i="1"/>
  <c r="O529" i="1"/>
  <c r="N529" i="1"/>
  <c r="M529" i="1"/>
  <c r="L529" i="1"/>
  <c r="K529" i="1"/>
  <c r="J529" i="1"/>
  <c r="I529" i="1"/>
  <c r="H529" i="1"/>
  <c r="G529" i="1"/>
  <c r="F529" i="1"/>
  <c r="E529" i="1"/>
  <c r="D529" i="1"/>
  <c r="C529" i="1"/>
  <c r="B529" i="1"/>
  <c r="A529" i="1"/>
  <c r="P528" i="1"/>
  <c r="O528" i="1"/>
  <c r="N528" i="1"/>
  <c r="M528" i="1"/>
  <c r="L528" i="1"/>
  <c r="K528" i="1"/>
  <c r="J528" i="1"/>
  <c r="I528" i="1"/>
  <c r="H528" i="1"/>
  <c r="G528" i="1"/>
  <c r="F528" i="1"/>
  <c r="E528" i="1"/>
  <c r="D528" i="1"/>
  <c r="C528" i="1"/>
  <c r="B528" i="1"/>
  <c r="A528" i="1"/>
  <c r="P527" i="1"/>
  <c r="O527" i="1"/>
  <c r="N527" i="1"/>
  <c r="M527" i="1"/>
  <c r="L527" i="1"/>
  <c r="K527" i="1"/>
  <c r="J527" i="1"/>
  <c r="I527" i="1"/>
  <c r="H527" i="1"/>
  <c r="G527" i="1"/>
  <c r="F527" i="1"/>
  <c r="E527" i="1"/>
  <c r="D527" i="1"/>
  <c r="C527" i="1"/>
  <c r="B527" i="1"/>
  <c r="A527" i="1"/>
  <c r="P526" i="1"/>
  <c r="O526" i="1"/>
  <c r="N526" i="1"/>
  <c r="M526" i="1"/>
  <c r="L526" i="1"/>
  <c r="K526" i="1"/>
  <c r="J526" i="1"/>
  <c r="I526" i="1"/>
  <c r="H526" i="1"/>
  <c r="G526" i="1"/>
  <c r="F526" i="1"/>
  <c r="E526" i="1"/>
  <c r="D526" i="1"/>
  <c r="C526" i="1"/>
  <c r="B526" i="1"/>
  <c r="A526" i="1"/>
  <c r="P525" i="1"/>
  <c r="O525" i="1"/>
  <c r="N525" i="1"/>
  <c r="M525" i="1"/>
  <c r="L525" i="1"/>
  <c r="K525" i="1"/>
  <c r="J525" i="1"/>
  <c r="I525" i="1"/>
  <c r="H525" i="1"/>
  <c r="G525" i="1"/>
  <c r="F525" i="1"/>
  <c r="E525" i="1"/>
  <c r="D525" i="1"/>
  <c r="C525" i="1"/>
  <c r="B525" i="1"/>
  <c r="A525" i="1"/>
  <c r="P524" i="1"/>
  <c r="O524" i="1"/>
  <c r="N524" i="1"/>
  <c r="M524" i="1"/>
  <c r="L524" i="1"/>
  <c r="K524" i="1"/>
  <c r="J524" i="1"/>
  <c r="I524" i="1"/>
  <c r="H524" i="1"/>
  <c r="G524" i="1"/>
  <c r="F524" i="1"/>
  <c r="E524" i="1"/>
  <c r="D524" i="1"/>
  <c r="C524" i="1"/>
  <c r="B524" i="1"/>
  <c r="A524" i="1"/>
  <c r="P523" i="1"/>
  <c r="O523" i="1"/>
  <c r="N523" i="1"/>
  <c r="M523" i="1"/>
  <c r="L523" i="1"/>
  <c r="K523" i="1"/>
  <c r="J523" i="1"/>
  <c r="I523" i="1"/>
  <c r="H523" i="1"/>
  <c r="G523" i="1"/>
  <c r="F523" i="1"/>
  <c r="E523" i="1"/>
  <c r="D523" i="1"/>
  <c r="C523" i="1"/>
  <c r="B523" i="1"/>
  <c r="A523" i="1"/>
  <c r="P522" i="1"/>
  <c r="O522" i="1"/>
  <c r="N522" i="1"/>
  <c r="M522" i="1"/>
  <c r="L522" i="1"/>
  <c r="K522" i="1"/>
  <c r="J522" i="1"/>
  <c r="I522" i="1"/>
  <c r="H522" i="1"/>
  <c r="G522" i="1"/>
  <c r="F522" i="1"/>
  <c r="E522" i="1"/>
  <c r="D522" i="1"/>
  <c r="C522" i="1"/>
  <c r="B522" i="1"/>
  <c r="A522" i="1"/>
  <c r="P521" i="1"/>
  <c r="O521" i="1"/>
  <c r="N521" i="1"/>
  <c r="M521" i="1"/>
  <c r="L521" i="1"/>
  <c r="K521" i="1"/>
  <c r="J521" i="1"/>
  <c r="I521" i="1"/>
  <c r="H521" i="1"/>
  <c r="G521" i="1"/>
  <c r="F521" i="1"/>
  <c r="E521" i="1"/>
  <c r="D521" i="1"/>
  <c r="C521" i="1"/>
  <c r="B521" i="1"/>
  <c r="A521" i="1"/>
  <c r="P520" i="1"/>
  <c r="O520" i="1"/>
  <c r="N520" i="1"/>
  <c r="M520" i="1"/>
  <c r="L520" i="1"/>
  <c r="K520" i="1"/>
  <c r="J520" i="1"/>
  <c r="I520" i="1"/>
  <c r="H520" i="1"/>
  <c r="G520" i="1"/>
  <c r="F520" i="1"/>
  <c r="E520" i="1"/>
  <c r="D520" i="1"/>
  <c r="C520" i="1"/>
  <c r="B520" i="1"/>
  <c r="A520" i="1"/>
  <c r="P519" i="1"/>
  <c r="O519" i="1"/>
  <c r="N519" i="1"/>
  <c r="M519" i="1"/>
  <c r="L519" i="1"/>
  <c r="K519" i="1"/>
  <c r="J519" i="1"/>
  <c r="I519" i="1"/>
  <c r="H519" i="1"/>
  <c r="G519" i="1"/>
  <c r="F519" i="1"/>
  <c r="E519" i="1"/>
  <c r="D519" i="1"/>
  <c r="C519" i="1"/>
  <c r="B519" i="1"/>
  <c r="A519" i="1"/>
  <c r="P518" i="1"/>
  <c r="O518" i="1"/>
  <c r="N518" i="1"/>
  <c r="M518" i="1"/>
  <c r="L518" i="1"/>
  <c r="K518" i="1"/>
  <c r="J518" i="1"/>
  <c r="I518" i="1"/>
  <c r="H518" i="1"/>
  <c r="G518" i="1"/>
  <c r="F518" i="1"/>
  <c r="E518" i="1"/>
  <c r="D518" i="1"/>
  <c r="C518" i="1"/>
  <c r="B518" i="1"/>
  <c r="A518" i="1"/>
  <c r="P517" i="1"/>
  <c r="O517" i="1"/>
  <c r="N517" i="1"/>
  <c r="M517" i="1"/>
  <c r="L517" i="1"/>
  <c r="K517" i="1"/>
  <c r="J517" i="1"/>
  <c r="I517" i="1"/>
  <c r="H517" i="1"/>
  <c r="G517" i="1"/>
  <c r="F517" i="1"/>
  <c r="E517" i="1"/>
  <c r="D517" i="1"/>
  <c r="C517" i="1"/>
  <c r="B517" i="1"/>
  <c r="A517" i="1"/>
  <c r="P516" i="1"/>
  <c r="O516" i="1"/>
  <c r="N516" i="1"/>
  <c r="M516" i="1"/>
  <c r="L516" i="1"/>
  <c r="K516" i="1"/>
  <c r="J516" i="1"/>
  <c r="I516" i="1"/>
  <c r="H516" i="1"/>
  <c r="G516" i="1"/>
  <c r="F516" i="1"/>
  <c r="E516" i="1"/>
  <c r="D516" i="1"/>
  <c r="C516" i="1"/>
  <c r="B516" i="1"/>
  <c r="A516" i="1"/>
  <c r="P515" i="1"/>
  <c r="O515" i="1"/>
  <c r="N515" i="1"/>
  <c r="M515" i="1"/>
  <c r="L515" i="1"/>
  <c r="K515" i="1"/>
  <c r="J515" i="1"/>
  <c r="I515" i="1"/>
  <c r="H515" i="1"/>
  <c r="G515" i="1"/>
  <c r="F515" i="1"/>
  <c r="E515" i="1"/>
  <c r="D515" i="1"/>
  <c r="C515" i="1"/>
  <c r="B515" i="1"/>
  <c r="A515" i="1"/>
  <c r="P514" i="1"/>
  <c r="O514" i="1"/>
  <c r="N514" i="1"/>
  <c r="M514" i="1"/>
  <c r="L514" i="1"/>
  <c r="K514" i="1"/>
  <c r="J514" i="1"/>
  <c r="I514" i="1"/>
  <c r="H514" i="1"/>
  <c r="G514" i="1"/>
  <c r="F514" i="1"/>
  <c r="E514" i="1"/>
  <c r="D514" i="1"/>
  <c r="C514" i="1"/>
  <c r="B514" i="1"/>
  <c r="A514" i="1"/>
  <c r="P513" i="1"/>
  <c r="O513" i="1"/>
  <c r="N513" i="1"/>
  <c r="M513" i="1"/>
  <c r="L513" i="1"/>
  <c r="K513" i="1"/>
  <c r="J513" i="1"/>
  <c r="I513" i="1"/>
  <c r="H513" i="1"/>
  <c r="G513" i="1"/>
  <c r="F513" i="1"/>
  <c r="E513" i="1"/>
  <c r="D513" i="1"/>
  <c r="C513" i="1"/>
  <c r="B513" i="1"/>
  <c r="A513" i="1"/>
  <c r="P512" i="1"/>
  <c r="O512" i="1"/>
  <c r="N512" i="1"/>
  <c r="M512" i="1"/>
  <c r="L512" i="1"/>
  <c r="K512" i="1"/>
  <c r="J512" i="1"/>
  <c r="I512" i="1"/>
  <c r="H512" i="1"/>
  <c r="G512" i="1"/>
  <c r="F512" i="1"/>
  <c r="E512" i="1"/>
  <c r="D512" i="1"/>
  <c r="C512" i="1"/>
  <c r="B512" i="1"/>
  <c r="A512" i="1"/>
  <c r="P511" i="1"/>
  <c r="O511" i="1"/>
  <c r="N511" i="1"/>
  <c r="M511" i="1"/>
  <c r="L511" i="1"/>
  <c r="K511" i="1"/>
  <c r="J511" i="1"/>
  <c r="I511" i="1"/>
  <c r="H511" i="1"/>
  <c r="G511" i="1"/>
  <c r="F511" i="1"/>
  <c r="E511" i="1"/>
  <c r="D511" i="1"/>
  <c r="C511" i="1"/>
  <c r="B511" i="1"/>
  <c r="A511" i="1"/>
  <c r="P510" i="1"/>
  <c r="O510" i="1"/>
  <c r="N510" i="1"/>
  <c r="M510" i="1"/>
  <c r="L510" i="1"/>
  <c r="K510" i="1"/>
  <c r="J510" i="1"/>
  <c r="I510" i="1"/>
  <c r="H510" i="1"/>
  <c r="G510" i="1"/>
  <c r="F510" i="1"/>
  <c r="E510" i="1"/>
  <c r="D510" i="1"/>
  <c r="C510" i="1"/>
  <c r="B510" i="1"/>
  <c r="A510" i="1"/>
  <c r="P509" i="1"/>
  <c r="O509" i="1"/>
  <c r="N509" i="1"/>
  <c r="M509" i="1"/>
  <c r="L509" i="1"/>
  <c r="K509" i="1"/>
  <c r="J509" i="1"/>
  <c r="I509" i="1"/>
  <c r="H509" i="1"/>
  <c r="G509" i="1"/>
  <c r="F509" i="1"/>
  <c r="E509" i="1"/>
  <c r="D509" i="1"/>
  <c r="C509" i="1"/>
  <c r="B509" i="1"/>
  <c r="A509" i="1"/>
  <c r="P508" i="1"/>
  <c r="O508" i="1"/>
  <c r="N508" i="1"/>
  <c r="M508" i="1"/>
  <c r="L508" i="1"/>
  <c r="K508" i="1"/>
  <c r="J508" i="1"/>
  <c r="I508" i="1"/>
  <c r="H508" i="1"/>
  <c r="G508" i="1"/>
  <c r="F508" i="1"/>
  <c r="E508" i="1"/>
  <c r="D508" i="1"/>
  <c r="C508" i="1"/>
  <c r="B508" i="1"/>
  <c r="A508" i="1"/>
  <c r="P507" i="1"/>
  <c r="O507" i="1"/>
  <c r="N507" i="1"/>
  <c r="M507" i="1"/>
  <c r="L507" i="1"/>
  <c r="K507" i="1"/>
  <c r="J507" i="1"/>
  <c r="I507" i="1"/>
  <c r="H507" i="1"/>
  <c r="G507" i="1"/>
  <c r="F507" i="1"/>
  <c r="E507" i="1"/>
  <c r="D507" i="1"/>
  <c r="C507" i="1"/>
  <c r="B507" i="1"/>
  <c r="A507" i="1"/>
  <c r="P506" i="1"/>
  <c r="O506" i="1"/>
  <c r="N506" i="1"/>
  <c r="M506" i="1"/>
  <c r="L506" i="1"/>
  <c r="K506" i="1"/>
  <c r="J506" i="1"/>
  <c r="I506" i="1"/>
  <c r="H506" i="1"/>
  <c r="G506" i="1"/>
  <c r="F506" i="1"/>
  <c r="E506" i="1"/>
  <c r="D506" i="1"/>
  <c r="C506" i="1"/>
  <c r="B506" i="1"/>
  <c r="A506" i="1"/>
  <c r="P505" i="1"/>
  <c r="O505" i="1"/>
  <c r="N505" i="1"/>
  <c r="M505" i="1"/>
  <c r="L505" i="1"/>
  <c r="K505" i="1"/>
  <c r="J505" i="1"/>
  <c r="I505" i="1"/>
  <c r="H505" i="1"/>
  <c r="G505" i="1"/>
  <c r="F505" i="1"/>
  <c r="E505" i="1"/>
  <c r="D505" i="1"/>
  <c r="C505" i="1"/>
  <c r="B505" i="1"/>
  <c r="A505" i="1"/>
  <c r="P504" i="1"/>
  <c r="O504" i="1"/>
  <c r="N504" i="1"/>
  <c r="M504" i="1"/>
  <c r="L504" i="1"/>
  <c r="K504" i="1"/>
  <c r="J504" i="1"/>
  <c r="I504" i="1"/>
  <c r="H504" i="1"/>
  <c r="G504" i="1"/>
  <c r="F504" i="1"/>
  <c r="E504" i="1"/>
  <c r="D504" i="1"/>
  <c r="C504" i="1"/>
  <c r="B504" i="1"/>
  <c r="A504" i="1"/>
  <c r="P503" i="1"/>
  <c r="O503" i="1"/>
  <c r="N503" i="1"/>
  <c r="M503" i="1"/>
  <c r="L503" i="1"/>
  <c r="K503" i="1"/>
  <c r="J503" i="1"/>
  <c r="I503" i="1"/>
  <c r="H503" i="1"/>
  <c r="G503" i="1"/>
  <c r="F503" i="1"/>
  <c r="E503" i="1"/>
  <c r="D503" i="1"/>
  <c r="C503" i="1"/>
  <c r="B503" i="1"/>
  <c r="A503" i="1"/>
  <c r="P502" i="1"/>
  <c r="O502" i="1"/>
  <c r="N502" i="1"/>
  <c r="M502" i="1"/>
  <c r="L502" i="1"/>
  <c r="K502" i="1"/>
  <c r="J502" i="1"/>
  <c r="I502" i="1"/>
  <c r="H502" i="1"/>
  <c r="G502" i="1"/>
  <c r="F502" i="1"/>
  <c r="E502" i="1"/>
  <c r="D502" i="1"/>
  <c r="C502" i="1"/>
  <c r="B502" i="1"/>
  <c r="A502" i="1"/>
  <c r="P501" i="1"/>
  <c r="O501" i="1"/>
  <c r="N501" i="1"/>
  <c r="M501" i="1"/>
  <c r="L501" i="1"/>
  <c r="K501" i="1"/>
  <c r="J501" i="1"/>
  <c r="I501" i="1"/>
  <c r="H501" i="1"/>
  <c r="G501" i="1"/>
  <c r="F501" i="1"/>
  <c r="E501" i="1"/>
  <c r="D501" i="1"/>
  <c r="C501" i="1"/>
  <c r="B501" i="1"/>
  <c r="A501" i="1"/>
  <c r="P500" i="1"/>
  <c r="O500" i="1"/>
  <c r="N500" i="1"/>
  <c r="M500" i="1"/>
  <c r="L500" i="1"/>
  <c r="K500" i="1"/>
  <c r="J500" i="1"/>
  <c r="I500" i="1"/>
  <c r="H500" i="1"/>
  <c r="G500" i="1"/>
  <c r="F500" i="1"/>
  <c r="E500" i="1"/>
  <c r="D500" i="1"/>
  <c r="C500" i="1"/>
  <c r="B500" i="1"/>
  <c r="A500" i="1"/>
  <c r="P499" i="1"/>
  <c r="O499" i="1"/>
  <c r="N499" i="1"/>
  <c r="M499" i="1"/>
  <c r="L499" i="1"/>
  <c r="K499" i="1"/>
  <c r="J499" i="1"/>
  <c r="I499" i="1"/>
  <c r="H499" i="1"/>
  <c r="G499" i="1"/>
  <c r="F499" i="1"/>
  <c r="E499" i="1"/>
  <c r="D499" i="1"/>
  <c r="C499" i="1"/>
  <c r="B499" i="1"/>
  <c r="A499" i="1"/>
  <c r="P498" i="1"/>
  <c r="O498" i="1"/>
  <c r="N498" i="1"/>
  <c r="M498" i="1"/>
  <c r="L498" i="1"/>
  <c r="K498" i="1"/>
  <c r="J498" i="1"/>
  <c r="I498" i="1"/>
  <c r="H498" i="1"/>
  <c r="G498" i="1"/>
  <c r="F498" i="1"/>
  <c r="E498" i="1"/>
  <c r="D498" i="1"/>
  <c r="C498" i="1"/>
  <c r="B498" i="1"/>
  <c r="A498" i="1"/>
  <c r="P497" i="1"/>
  <c r="O497" i="1"/>
  <c r="N497" i="1"/>
  <c r="M497" i="1"/>
  <c r="L497" i="1"/>
  <c r="K497" i="1"/>
  <c r="J497" i="1"/>
  <c r="I497" i="1"/>
  <c r="H497" i="1"/>
  <c r="G497" i="1"/>
  <c r="F497" i="1"/>
  <c r="E497" i="1"/>
  <c r="D497" i="1"/>
  <c r="C497" i="1"/>
  <c r="B497" i="1"/>
  <c r="A497" i="1"/>
  <c r="P496" i="1"/>
  <c r="O496" i="1"/>
  <c r="N496" i="1"/>
  <c r="M496" i="1"/>
  <c r="L496" i="1"/>
  <c r="K496" i="1"/>
  <c r="J496" i="1"/>
  <c r="I496" i="1"/>
  <c r="H496" i="1"/>
  <c r="G496" i="1"/>
  <c r="F496" i="1"/>
  <c r="E496" i="1"/>
  <c r="D496" i="1"/>
  <c r="C496" i="1"/>
  <c r="B496" i="1"/>
  <c r="A496" i="1"/>
  <c r="P495" i="1"/>
  <c r="O495" i="1"/>
  <c r="N495" i="1"/>
  <c r="M495" i="1"/>
  <c r="L495" i="1"/>
  <c r="K495" i="1"/>
  <c r="J495" i="1"/>
  <c r="I495" i="1"/>
  <c r="H495" i="1"/>
  <c r="G495" i="1"/>
  <c r="F495" i="1"/>
  <c r="E495" i="1"/>
  <c r="D495" i="1"/>
  <c r="C495" i="1"/>
  <c r="B495" i="1"/>
  <c r="A495" i="1"/>
  <c r="P494" i="1"/>
  <c r="O494" i="1"/>
  <c r="N494" i="1"/>
  <c r="M494" i="1"/>
  <c r="L494" i="1"/>
  <c r="K494" i="1"/>
  <c r="J494" i="1"/>
  <c r="I494" i="1"/>
  <c r="H494" i="1"/>
  <c r="G494" i="1"/>
  <c r="F494" i="1"/>
  <c r="E494" i="1"/>
  <c r="D494" i="1"/>
  <c r="C494" i="1"/>
  <c r="B494" i="1"/>
  <c r="A494" i="1"/>
  <c r="P493" i="1"/>
  <c r="O493" i="1"/>
  <c r="N493" i="1"/>
  <c r="M493" i="1"/>
  <c r="L493" i="1"/>
  <c r="K493" i="1"/>
  <c r="J493" i="1"/>
  <c r="I493" i="1"/>
  <c r="H493" i="1"/>
  <c r="G493" i="1"/>
  <c r="F493" i="1"/>
  <c r="E493" i="1"/>
  <c r="D493" i="1"/>
  <c r="C493" i="1"/>
  <c r="B493" i="1"/>
  <c r="A493" i="1"/>
  <c r="P492" i="1"/>
  <c r="O492" i="1"/>
  <c r="N492" i="1"/>
  <c r="M492" i="1"/>
  <c r="L492" i="1"/>
  <c r="K492" i="1"/>
  <c r="J492" i="1"/>
  <c r="I492" i="1"/>
  <c r="H492" i="1"/>
  <c r="G492" i="1"/>
  <c r="F492" i="1"/>
  <c r="E492" i="1"/>
  <c r="D492" i="1"/>
  <c r="C492" i="1"/>
  <c r="B492" i="1"/>
  <c r="A492" i="1"/>
  <c r="P491" i="1"/>
  <c r="O491" i="1"/>
  <c r="N491" i="1"/>
  <c r="M491" i="1"/>
  <c r="L491" i="1"/>
  <c r="K491" i="1"/>
  <c r="J491" i="1"/>
  <c r="I491" i="1"/>
  <c r="H491" i="1"/>
  <c r="G491" i="1"/>
  <c r="F491" i="1"/>
  <c r="E491" i="1"/>
  <c r="D491" i="1"/>
  <c r="C491" i="1"/>
  <c r="B491" i="1"/>
  <c r="A491" i="1"/>
  <c r="P490" i="1"/>
  <c r="O490" i="1"/>
  <c r="N490" i="1"/>
  <c r="M490" i="1"/>
  <c r="L490" i="1"/>
  <c r="K490" i="1"/>
  <c r="J490" i="1"/>
  <c r="I490" i="1"/>
  <c r="H490" i="1"/>
  <c r="G490" i="1"/>
  <c r="F490" i="1"/>
  <c r="E490" i="1"/>
  <c r="D490" i="1"/>
  <c r="C490" i="1"/>
  <c r="B490" i="1"/>
  <c r="A490" i="1"/>
  <c r="P489" i="1"/>
  <c r="O489" i="1"/>
  <c r="N489" i="1"/>
  <c r="M489" i="1"/>
  <c r="L489" i="1"/>
  <c r="K489" i="1"/>
  <c r="J489" i="1"/>
  <c r="I489" i="1"/>
  <c r="H489" i="1"/>
  <c r="G489" i="1"/>
  <c r="F489" i="1"/>
  <c r="E489" i="1"/>
  <c r="D489" i="1"/>
  <c r="C489" i="1"/>
  <c r="B489" i="1"/>
  <c r="A489" i="1"/>
  <c r="P488" i="1"/>
  <c r="O488" i="1"/>
  <c r="N488" i="1"/>
  <c r="M488" i="1"/>
  <c r="L488" i="1"/>
  <c r="K488" i="1"/>
  <c r="J488" i="1"/>
  <c r="I488" i="1"/>
  <c r="H488" i="1"/>
  <c r="G488" i="1"/>
  <c r="F488" i="1"/>
  <c r="E488" i="1"/>
  <c r="D488" i="1"/>
  <c r="C488" i="1"/>
  <c r="B488" i="1"/>
  <c r="A488" i="1"/>
  <c r="P487" i="1"/>
  <c r="O487" i="1"/>
  <c r="N487" i="1"/>
  <c r="M487" i="1"/>
  <c r="L487" i="1"/>
  <c r="K487" i="1"/>
  <c r="J487" i="1"/>
  <c r="I487" i="1"/>
  <c r="H487" i="1"/>
  <c r="G487" i="1"/>
  <c r="F487" i="1"/>
  <c r="E487" i="1"/>
  <c r="D487" i="1"/>
  <c r="C487" i="1"/>
  <c r="B487" i="1"/>
  <c r="A487" i="1"/>
  <c r="P486" i="1"/>
  <c r="O486" i="1"/>
  <c r="N486" i="1"/>
  <c r="M486" i="1"/>
  <c r="L486" i="1"/>
  <c r="K486" i="1"/>
  <c r="J486" i="1"/>
  <c r="I486" i="1"/>
  <c r="H486" i="1"/>
  <c r="G486" i="1"/>
  <c r="F486" i="1"/>
  <c r="E486" i="1"/>
  <c r="D486" i="1"/>
  <c r="C486" i="1"/>
  <c r="B486" i="1"/>
  <c r="A486" i="1"/>
  <c r="P485" i="1"/>
  <c r="O485" i="1"/>
  <c r="N485" i="1"/>
  <c r="M485" i="1"/>
  <c r="L485" i="1"/>
  <c r="K485" i="1"/>
  <c r="J485" i="1"/>
  <c r="I485" i="1"/>
  <c r="H485" i="1"/>
  <c r="G485" i="1"/>
  <c r="F485" i="1"/>
  <c r="E485" i="1"/>
  <c r="D485" i="1"/>
  <c r="C485" i="1"/>
  <c r="B485" i="1"/>
  <c r="A485" i="1"/>
  <c r="P484" i="1"/>
  <c r="O484" i="1"/>
  <c r="N484" i="1"/>
  <c r="M484" i="1"/>
  <c r="L484" i="1"/>
  <c r="K484" i="1"/>
  <c r="J484" i="1"/>
  <c r="I484" i="1"/>
  <c r="H484" i="1"/>
  <c r="G484" i="1"/>
  <c r="F484" i="1"/>
  <c r="E484" i="1"/>
  <c r="D484" i="1"/>
  <c r="C484" i="1"/>
  <c r="B484" i="1"/>
  <c r="A484" i="1"/>
  <c r="P483" i="1"/>
  <c r="O483" i="1"/>
  <c r="N483" i="1"/>
  <c r="M483" i="1"/>
  <c r="L483" i="1"/>
  <c r="K483" i="1"/>
  <c r="J483" i="1"/>
  <c r="I483" i="1"/>
  <c r="H483" i="1"/>
  <c r="G483" i="1"/>
  <c r="F483" i="1"/>
  <c r="E483" i="1"/>
  <c r="D483" i="1"/>
  <c r="C483" i="1"/>
  <c r="B483" i="1"/>
  <c r="A483" i="1"/>
  <c r="P482" i="1"/>
  <c r="O482" i="1"/>
  <c r="N482" i="1"/>
  <c r="M482" i="1"/>
  <c r="L482" i="1"/>
  <c r="K482" i="1"/>
  <c r="J482" i="1"/>
  <c r="I482" i="1"/>
  <c r="H482" i="1"/>
  <c r="G482" i="1"/>
  <c r="F482" i="1"/>
  <c r="E482" i="1"/>
  <c r="D482" i="1"/>
  <c r="C482" i="1"/>
  <c r="B482" i="1"/>
  <c r="A482" i="1"/>
  <c r="P481" i="1"/>
  <c r="O481" i="1"/>
  <c r="N481" i="1"/>
  <c r="M481" i="1"/>
  <c r="L481" i="1"/>
  <c r="K481" i="1"/>
  <c r="J481" i="1"/>
  <c r="I481" i="1"/>
  <c r="H481" i="1"/>
  <c r="G481" i="1"/>
  <c r="F481" i="1"/>
  <c r="E481" i="1"/>
  <c r="D481" i="1"/>
  <c r="C481" i="1"/>
  <c r="B481" i="1"/>
  <c r="A481" i="1"/>
  <c r="P480" i="1"/>
  <c r="O480" i="1"/>
  <c r="N480" i="1"/>
  <c r="M480" i="1"/>
  <c r="L480" i="1"/>
  <c r="K480" i="1"/>
  <c r="J480" i="1"/>
  <c r="I480" i="1"/>
  <c r="H480" i="1"/>
  <c r="G480" i="1"/>
  <c r="F480" i="1"/>
  <c r="E480" i="1"/>
  <c r="D480" i="1"/>
  <c r="C480" i="1"/>
  <c r="B480" i="1"/>
  <c r="A480" i="1"/>
  <c r="P479" i="1"/>
  <c r="O479" i="1"/>
  <c r="N479" i="1"/>
  <c r="M479" i="1"/>
  <c r="L479" i="1"/>
  <c r="K479" i="1"/>
  <c r="J479" i="1"/>
  <c r="I479" i="1"/>
  <c r="H479" i="1"/>
  <c r="G479" i="1"/>
  <c r="F479" i="1"/>
  <c r="E479" i="1"/>
  <c r="D479" i="1"/>
  <c r="C479" i="1"/>
  <c r="B479" i="1"/>
  <c r="A479" i="1"/>
  <c r="P478" i="1"/>
  <c r="O478" i="1"/>
  <c r="N478" i="1"/>
  <c r="M478" i="1"/>
  <c r="L478" i="1"/>
  <c r="K478" i="1"/>
  <c r="J478" i="1"/>
  <c r="I478" i="1"/>
  <c r="H478" i="1"/>
  <c r="G478" i="1"/>
  <c r="F478" i="1"/>
  <c r="E478" i="1"/>
  <c r="D478" i="1"/>
  <c r="C478" i="1"/>
  <c r="B478" i="1"/>
  <c r="A478" i="1"/>
  <c r="P477" i="1"/>
  <c r="O477" i="1"/>
  <c r="N477" i="1"/>
  <c r="M477" i="1"/>
  <c r="L477" i="1"/>
  <c r="K477" i="1"/>
  <c r="J477" i="1"/>
  <c r="I477" i="1"/>
  <c r="H477" i="1"/>
  <c r="G477" i="1"/>
  <c r="F477" i="1"/>
  <c r="E477" i="1"/>
  <c r="D477" i="1"/>
  <c r="C477" i="1"/>
  <c r="B477" i="1"/>
  <c r="A477" i="1"/>
  <c r="P476" i="1"/>
  <c r="O476" i="1"/>
  <c r="N476" i="1"/>
  <c r="M476" i="1"/>
  <c r="L476" i="1"/>
  <c r="K476" i="1"/>
  <c r="J476" i="1"/>
  <c r="I476" i="1"/>
  <c r="H476" i="1"/>
  <c r="G476" i="1"/>
  <c r="F476" i="1"/>
  <c r="E476" i="1"/>
  <c r="D476" i="1"/>
  <c r="C476" i="1"/>
  <c r="B476" i="1"/>
  <c r="A476" i="1"/>
  <c r="P475" i="1"/>
  <c r="O475" i="1"/>
  <c r="N475" i="1"/>
  <c r="M475" i="1"/>
  <c r="L475" i="1"/>
  <c r="K475" i="1"/>
  <c r="J475" i="1"/>
  <c r="I475" i="1"/>
  <c r="H475" i="1"/>
  <c r="G475" i="1"/>
  <c r="F475" i="1"/>
  <c r="E475" i="1"/>
  <c r="D475" i="1"/>
  <c r="C475" i="1"/>
  <c r="B475" i="1"/>
  <c r="A475" i="1"/>
  <c r="P474" i="1"/>
  <c r="O474" i="1"/>
  <c r="N474" i="1"/>
  <c r="M474" i="1"/>
  <c r="L474" i="1"/>
  <c r="K474" i="1"/>
  <c r="J474" i="1"/>
  <c r="I474" i="1"/>
  <c r="H474" i="1"/>
  <c r="G474" i="1"/>
  <c r="F474" i="1"/>
  <c r="E474" i="1"/>
  <c r="D474" i="1"/>
  <c r="C474" i="1"/>
  <c r="B474" i="1"/>
  <c r="A474" i="1"/>
  <c r="P473" i="1"/>
  <c r="O473" i="1"/>
  <c r="N473" i="1"/>
  <c r="M473" i="1"/>
  <c r="L473" i="1"/>
  <c r="K473" i="1"/>
  <c r="J473" i="1"/>
  <c r="I473" i="1"/>
  <c r="H473" i="1"/>
  <c r="G473" i="1"/>
  <c r="F473" i="1"/>
  <c r="E473" i="1"/>
  <c r="D473" i="1"/>
  <c r="C473" i="1"/>
  <c r="B473" i="1"/>
  <c r="A473" i="1"/>
  <c r="P472" i="1"/>
  <c r="O472" i="1"/>
  <c r="N472" i="1"/>
  <c r="M472" i="1"/>
  <c r="L472" i="1"/>
  <c r="K472" i="1"/>
  <c r="J472" i="1"/>
  <c r="I472" i="1"/>
  <c r="H472" i="1"/>
  <c r="G472" i="1"/>
  <c r="F472" i="1"/>
  <c r="E472" i="1"/>
  <c r="D472" i="1"/>
  <c r="C472" i="1"/>
  <c r="B472" i="1"/>
  <c r="A472" i="1"/>
  <c r="P471" i="1"/>
  <c r="O471" i="1"/>
  <c r="N471" i="1"/>
  <c r="M471" i="1"/>
  <c r="L471" i="1"/>
  <c r="K471" i="1"/>
  <c r="J471" i="1"/>
  <c r="I471" i="1"/>
  <c r="H471" i="1"/>
  <c r="G471" i="1"/>
  <c r="F471" i="1"/>
  <c r="E471" i="1"/>
  <c r="D471" i="1"/>
  <c r="C471" i="1"/>
  <c r="B471" i="1"/>
  <c r="A471" i="1"/>
  <c r="P470" i="1"/>
  <c r="O470" i="1"/>
  <c r="N470" i="1"/>
  <c r="M470" i="1"/>
  <c r="L470" i="1"/>
  <c r="K470" i="1"/>
  <c r="J470" i="1"/>
  <c r="I470" i="1"/>
  <c r="H470" i="1"/>
  <c r="G470" i="1"/>
  <c r="F470" i="1"/>
  <c r="E470" i="1"/>
  <c r="D470" i="1"/>
  <c r="C470" i="1"/>
  <c r="B470" i="1"/>
  <c r="A470" i="1"/>
  <c r="P469" i="1"/>
  <c r="O469" i="1"/>
  <c r="N469" i="1"/>
  <c r="M469" i="1"/>
  <c r="L469" i="1"/>
  <c r="K469" i="1"/>
  <c r="J469" i="1"/>
  <c r="I469" i="1"/>
  <c r="H469" i="1"/>
  <c r="G469" i="1"/>
  <c r="F469" i="1"/>
  <c r="E469" i="1"/>
  <c r="D469" i="1"/>
  <c r="C469" i="1"/>
  <c r="B469" i="1"/>
  <c r="A469" i="1"/>
  <c r="P468" i="1"/>
  <c r="O468" i="1"/>
  <c r="N468" i="1"/>
  <c r="M468" i="1"/>
  <c r="L468" i="1"/>
  <c r="K468" i="1"/>
  <c r="J468" i="1"/>
  <c r="I468" i="1"/>
  <c r="H468" i="1"/>
  <c r="G468" i="1"/>
  <c r="F468" i="1"/>
  <c r="E468" i="1"/>
  <c r="D468" i="1"/>
  <c r="C468" i="1"/>
  <c r="B468" i="1"/>
  <c r="A468" i="1"/>
  <c r="P467" i="1"/>
  <c r="O467" i="1"/>
  <c r="N467" i="1"/>
  <c r="M467" i="1"/>
  <c r="L467" i="1"/>
  <c r="K467" i="1"/>
  <c r="J467" i="1"/>
  <c r="I467" i="1"/>
  <c r="H467" i="1"/>
  <c r="G467" i="1"/>
  <c r="F467" i="1"/>
  <c r="E467" i="1"/>
  <c r="D467" i="1"/>
  <c r="C467" i="1"/>
  <c r="B467" i="1"/>
  <c r="A467" i="1"/>
  <c r="P466" i="1"/>
  <c r="O466" i="1"/>
  <c r="N466" i="1"/>
  <c r="M466" i="1"/>
  <c r="L466" i="1"/>
  <c r="K466" i="1"/>
  <c r="J466" i="1"/>
  <c r="I466" i="1"/>
  <c r="H466" i="1"/>
  <c r="G466" i="1"/>
  <c r="F466" i="1"/>
  <c r="E466" i="1"/>
  <c r="D466" i="1"/>
  <c r="C466" i="1"/>
  <c r="B466" i="1"/>
  <c r="A466" i="1"/>
  <c r="P465" i="1"/>
  <c r="O465" i="1"/>
  <c r="N465" i="1"/>
  <c r="M465" i="1"/>
  <c r="L465" i="1"/>
  <c r="K465" i="1"/>
  <c r="J465" i="1"/>
  <c r="I465" i="1"/>
  <c r="H465" i="1"/>
  <c r="G465" i="1"/>
  <c r="F465" i="1"/>
  <c r="E465" i="1"/>
  <c r="D465" i="1"/>
  <c r="C465" i="1"/>
  <c r="B465" i="1"/>
  <c r="A465" i="1"/>
  <c r="P464" i="1"/>
  <c r="O464" i="1"/>
  <c r="N464" i="1"/>
  <c r="M464" i="1"/>
  <c r="L464" i="1"/>
  <c r="K464" i="1"/>
  <c r="J464" i="1"/>
  <c r="I464" i="1"/>
  <c r="H464" i="1"/>
  <c r="G464" i="1"/>
  <c r="F464" i="1"/>
  <c r="E464" i="1"/>
  <c r="D464" i="1"/>
  <c r="C464" i="1"/>
  <c r="B464" i="1"/>
  <c r="A464" i="1"/>
  <c r="P463" i="1"/>
  <c r="O463" i="1"/>
  <c r="N463" i="1"/>
  <c r="M463" i="1"/>
  <c r="L463" i="1"/>
  <c r="K463" i="1"/>
  <c r="J463" i="1"/>
  <c r="I463" i="1"/>
  <c r="H463" i="1"/>
  <c r="G463" i="1"/>
  <c r="F463" i="1"/>
  <c r="E463" i="1"/>
  <c r="D463" i="1"/>
  <c r="C463" i="1"/>
  <c r="B463" i="1"/>
  <c r="A463" i="1"/>
  <c r="P462" i="1"/>
  <c r="O462" i="1"/>
  <c r="N462" i="1"/>
  <c r="M462" i="1"/>
  <c r="L462" i="1"/>
  <c r="K462" i="1"/>
  <c r="J462" i="1"/>
  <c r="I462" i="1"/>
  <c r="H462" i="1"/>
  <c r="G462" i="1"/>
  <c r="F462" i="1"/>
  <c r="E462" i="1"/>
  <c r="D462" i="1"/>
  <c r="C462" i="1"/>
  <c r="B462" i="1"/>
  <c r="A462" i="1"/>
  <c r="P461" i="1"/>
  <c r="O461" i="1"/>
  <c r="N461" i="1"/>
  <c r="M461" i="1"/>
  <c r="L461" i="1"/>
  <c r="K461" i="1"/>
  <c r="J461" i="1"/>
  <c r="I461" i="1"/>
  <c r="H461" i="1"/>
  <c r="G461" i="1"/>
  <c r="F461" i="1"/>
  <c r="E461" i="1"/>
  <c r="D461" i="1"/>
  <c r="C461" i="1"/>
  <c r="B461" i="1"/>
  <c r="A461" i="1"/>
  <c r="P460" i="1"/>
  <c r="O460" i="1"/>
  <c r="N460" i="1"/>
  <c r="M460" i="1"/>
  <c r="L460" i="1"/>
  <c r="K460" i="1"/>
  <c r="J460" i="1"/>
  <c r="I460" i="1"/>
  <c r="H460" i="1"/>
  <c r="G460" i="1"/>
  <c r="F460" i="1"/>
  <c r="E460" i="1"/>
  <c r="D460" i="1"/>
  <c r="C460" i="1"/>
  <c r="B460" i="1"/>
  <c r="A460" i="1"/>
  <c r="P459" i="1"/>
  <c r="O459" i="1"/>
  <c r="N459" i="1"/>
  <c r="M459" i="1"/>
  <c r="L459" i="1"/>
  <c r="K459" i="1"/>
  <c r="J459" i="1"/>
  <c r="I459" i="1"/>
  <c r="H459" i="1"/>
  <c r="G459" i="1"/>
  <c r="F459" i="1"/>
  <c r="E459" i="1"/>
  <c r="D459" i="1"/>
  <c r="C459" i="1"/>
  <c r="B459" i="1"/>
  <c r="A459" i="1"/>
  <c r="P458" i="1"/>
  <c r="O458" i="1"/>
  <c r="N458" i="1"/>
  <c r="M458" i="1"/>
  <c r="L458" i="1"/>
  <c r="K458" i="1"/>
  <c r="J458" i="1"/>
  <c r="I458" i="1"/>
  <c r="H458" i="1"/>
  <c r="G458" i="1"/>
  <c r="F458" i="1"/>
  <c r="E458" i="1"/>
  <c r="D458" i="1"/>
  <c r="C458" i="1"/>
  <c r="B458" i="1"/>
  <c r="A458" i="1"/>
  <c r="P457" i="1"/>
  <c r="O457" i="1"/>
  <c r="N457" i="1"/>
  <c r="M457" i="1"/>
  <c r="L457" i="1"/>
  <c r="K457" i="1"/>
  <c r="J457" i="1"/>
  <c r="I457" i="1"/>
  <c r="H457" i="1"/>
  <c r="G457" i="1"/>
  <c r="F457" i="1"/>
  <c r="E457" i="1"/>
  <c r="D457" i="1"/>
  <c r="C457" i="1"/>
  <c r="B457" i="1"/>
  <c r="A457" i="1"/>
  <c r="P456" i="1"/>
  <c r="O456" i="1"/>
  <c r="N456" i="1"/>
  <c r="M456" i="1"/>
  <c r="L456" i="1"/>
  <c r="K456" i="1"/>
  <c r="J456" i="1"/>
  <c r="I456" i="1"/>
  <c r="H456" i="1"/>
  <c r="G456" i="1"/>
  <c r="F456" i="1"/>
  <c r="E456" i="1"/>
  <c r="D456" i="1"/>
  <c r="C456" i="1"/>
  <c r="B456" i="1"/>
  <c r="A456" i="1"/>
  <c r="P455" i="1"/>
  <c r="O455" i="1"/>
  <c r="N455" i="1"/>
  <c r="M455" i="1"/>
  <c r="L455" i="1"/>
  <c r="K455" i="1"/>
  <c r="J455" i="1"/>
  <c r="I455" i="1"/>
  <c r="H455" i="1"/>
  <c r="G455" i="1"/>
  <c r="F455" i="1"/>
  <c r="E455" i="1"/>
  <c r="D455" i="1"/>
  <c r="C455" i="1"/>
  <c r="B455" i="1"/>
  <c r="A455" i="1"/>
  <c r="P454" i="1"/>
  <c r="O454" i="1"/>
  <c r="N454" i="1"/>
  <c r="M454" i="1"/>
  <c r="L454" i="1"/>
  <c r="K454" i="1"/>
  <c r="J454" i="1"/>
  <c r="I454" i="1"/>
  <c r="H454" i="1"/>
  <c r="G454" i="1"/>
  <c r="F454" i="1"/>
  <c r="E454" i="1"/>
  <c r="D454" i="1"/>
  <c r="C454" i="1"/>
  <c r="B454" i="1"/>
  <c r="A454" i="1"/>
  <c r="P453" i="1"/>
  <c r="O453" i="1"/>
  <c r="N453" i="1"/>
  <c r="M453" i="1"/>
  <c r="L453" i="1"/>
  <c r="K453" i="1"/>
  <c r="J453" i="1"/>
  <c r="I453" i="1"/>
  <c r="H453" i="1"/>
  <c r="G453" i="1"/>
  <c r="F453" i="1"/>
  <c r="E453" i="1"/>
  <c r="D453" i="1"/>
  <c r="C453" i="1"/>
  <c r="B453" i="1"/>
  <c r="A453" i="1"/>
  <c r="P452" i="1"/>
  <c r="O452" i="1"/>
  <c r="N452" i="1"/>
  <c r="M452" i="1"/>
  <c r="L452" i="1"/>
  <c r="K452" i="1"/>
  <c r="J452" i="1"/>
  <c r="I452" i="1"/>
  <c r="H452" i="1"/>
  <c r="G452" i="1"/>
  <c r="F452" i="1"/>
  <c r="E452" i="1"/>
  <c r="D452" i="1"/>
  <c r="C452" i="1"/>
  <c r="B452" i="1"/>
  <c r="A452" i="1"/>
  <c r="P451" i="1"/>
  <c r="O451" i="1"/>
  <c r="N451" i="1"/>
  <c r="M451" i="1"/>
  <c r="L451" i="1"/>
  <c r="K451" i="1"/>
  <c r="J451" i="1"/>
  <c r="I451" i="1"/>
  <c r="H451" i="1"/>
  <c r="G451" i="1"/>
  <c r="F451" i="1"/>
  <c r="E451" i="1"/>
  <c r="D451" i="1"/>
  <c r="C451" i="1"/>
  <c r="B451" i="1"/>
  <c r="A451" i="1"/>
  <c r="P450" i="1"/>
  <c r="O450" i="1"/>
  <c r="N450" i="1"/>
  <c r="M450" i="1"/>
  <c r="L450" i="1"/>
  <c r="K450" i="1"/>
  <c r="J450" i="1"/>
  <c r="I450" i="1"/>
  <c r="H450" i="1"/>
  <c r="G450" i="1"/>
  <c r="F450" i="1"/>
  <c r="E450" i="1"/>
  <c r="D450" i="1"/>
  <c r="C450" i="1"/>
  <c r="B450" i="1"/>
  <c r="A450" i="1"/>
  <c r="P449" i="1"/>
  <c r="O449" i="1"/>
  <c r="N449" i="1"/>
  <c r="M449" i="1"/>
  <c r="L449" i="1"/>
  <c r="K449" i="1"/>
  <c r="J449" i="1"/>
  <c r="I449" i="1"/>
  <c r="H449" i="1"/>
  <c r="G449" i="1"/>
  <c r="F449" i="1"/>
  <c r="E449" i="1"/>
  <c r="D449" i="1"/>
  <c r="C449" i="1"/>
  <c r="B449" i="1"/>
  <c r="A449" i="1"/>
  <c r="P448" i="1"/>
  <c r="O448" i="1"/>
  <c r="N448" i="1"/>
  <c r="M448" i="1"/>
  <c r="L448" i="1"/>
  <c r="K448" i="1"/>
  <c r="J448" i="1"/>
  <c r="I448" i="1"/>
  <c r="H448" i="1"/>
  <c r="G448" i="1"/>
  <c r="F448" i="1"/>
  <c r="E448" i="1"/>
  <c r="D448" i="1"/>
  <c r="C448" i="1"/>
  <c r="B448" i="1"/>
  <c r="A448" i="1"/>
  <c r="P447" i="1"/>
  <c r="O447" i="1"/>
  <c r="N447" i="1"/>
  <c r="M447" i="1"/>
  <c r="L447" i="1"/>
  <c r="K447" i="1"/>
  <c r="J447" i="1"/>
  <c r="I447" i="1"/>
  <c r="H447" i="1"/>
  <c r="G447" i="1"/>
  <c r="F447" i="1"/>
  <c r="E447" i="1"/>
  <c r="D447" i="1"/>
  <c r="C447" i="1"/>
  <c r="B447" i="1"/>
  <c r="A447" i="1"/>
  <c r="P446" i="1"/>
  <c r="O446" i="1"/>
  <c r="N446" i="1"/>
  <c r="M446" i="1"/>
  <c r="L446" i="1"/>
  <c r="K446" i="1"/>
  <c r="J446" i="1"/>
  <c r="I446" i="1"/>
  <c r="H446" i="1"/>
  <c r="G446" i="1"/>
  <c r="F446" i="1"/>
  <c r="E446" i="1"/>
  <c r="D446" i="1"/>
  <c r="C446" i="1"/>
  <c r="B446" i="1"/>
  <c r="A446" i="1"/>
  <c r="P445" i="1"/>
  <c r="O445" i="1"/>
  <c r="N445" i="1"/>
  <c r="M445" i="1"/>
  <c r="L445" i="1"/>
  <c r="K445" i="1"/>
  <c r="J445" i="1"/>
  <c r="I445" i="1"/>
  <c r="H445" i="1"/>
  <c r="G445" i="1"/>
  <c r="F445" i="1"/>
  <c r="E445" i="1"/>
  <c r="D445" i="1"/>
  <c r="C445" i="1"/>
  <c r="B445" i="1"/>
  <c r="A445" i="1"/>
  <c r="P444" i="1"/>
  <c r="O444" i="1"/>
  <c r="N444" i="1"/>
  <c r="M444" i="1"/>
  <c r="L444" i="1"/>
  <c r="K444" i="1"/>
  <c r="J444" i="1"/>
  <c r="I444" i="1"/>
  <c r="H444" i="1"/>
  <c r="G444" i="1"/>
  <c r="F444" i="1"/>
  <c r="E444" i="1"/>
  <c r="D444" i="1"/>
  <c r="C444" i="1"/>
  <c r="B444" i="1"/>
  <c r="A444" i="1"/>
  <c r="P443" i="1"/>
  <c r="O443" i="1"/>
  <c r="N443" i="1"/>
  <c r="M443" i="1"/>
  <c r="L443" i="1"/>
  <c r="K443" i="1"/>
  <c r="J443" i="1"/>
  <c r="I443" i="1"/>
  <c r="H443" i="1"/>
  <c r="G443" i="1"/>
  <c r="F443" i="1"/>
  <c r="E443" i="1"/>
  <c r="D443" i="1"/>
  <c r="C443" i="1"/>
  <c r="B443" i="1"/>
  <c r="A443" i="1"/>
  <c r="P442" i="1"/>
  <c r="O442" i="1"/>
  <c r="N442" i="1"/>
  <c r="M442" i="1"/>
  <c r="L442" i="1"/>
  <c r="K442" i="1"/>
  <c r="J442" i="1"/>
  <c r="I442" i="1"/>
  <c r="H442" i="1"/>
  <c r="G442" i="1"/>
  <c r="F442" i="1"/>
  <c r="E442" i="1"/>
  <c r="D442" i="1"/>
  <c r="C442" i="1"/>
  <c r="B442" i="1"/>
  <c r="A442" i="1"/>
  <c r="P441" i="1"/>
  <c r="O441" i="1"/>
  <c r="N441" i="1"/>
  <c r="M441" i="1"/>
  <c r="L441" i="1"/>
  <c r="K441" i="1"/>
  <c r="J441" i="1"/>
  <c r="I441" i="1"/>
  <c r="H441" i="1"/>
  <c r="G441" i="1"/>
  <c r="F441" i="1"/>
  <c r="E441" i="1"/>
  <c r="D441" i="1"/>
  <c r="C441" i="1"/>
  <c r="B441" i="1"/>
  <c r="A441" i="1"/>
  <c r="P440" i="1"/>
  <c r="O440" i="1"/>
  <c r="N440" i="1"/>
  <c r="M440" i="1"/>
  <c r="L440" i="1"/>
  <c r="K440" i="1"/>
  <c r="J440" i="1"/>
  <c r="I440" i="1"/>
  <c r="H440" i="1"/>
  <c r="G440" i="1"/>
  <c r="F440" i="1"/>
  <c r="E440" i="1"/>
  <c r="D440" i="1"/>
  <c r="C440" i="1"/>
  <c r="B440" i="1"/>
  <c r="A440" i="1"/>
  <c r="P439" i="1"/>
  <c r="O439" i="1"/>
  <c r="N439" i="1"/>
  <c r="M439" i="1"/>
  <c r="L439" i="1"/>
  <c r="K439" i="1"/>
  <c r="J439" i="1"/>
  <c r="I439" i="1"/>
  <c r="H439" i="1"/>
  <c r="G439" i="1"/>
  <c r="F439" i="1"/>
  <c r="E439" i="1"/>
  <c r="D439" i="1"/>
  <c r="C439" i="1"/>
  <c r="B439" i="1"/>
  <c r="A439" i="1"/>
  <c r="P438" i="1"/>
  <c r="O438" i="1"/>
  <c r="N438" i="1"/>
  <c r="M438" i="1"/>
  <c r="L438" i="1"/>
  <c r="K438" i="1"/>
  <c r="J438" i="1"/>
  <c r="I438" i="1"/>
  <c r="H438" i="1"/>
  <c r="G438" i="1"/>
  <c r="F438" i="1"/>
  <c r="E438" i="1"/>
  <c r="D438" i="1"/>
  <c r="C438" i="1"/>
  <c r="B438" i="1"/>
  <c r="A438" i="1"/>
  <c r="P437" i="1"/>
  <c r="N437" i="1"/>
  <c r="M437" i="1"/>
  <c r="L437" i="1"/>
  <c r="O437" i="1" s="1"/>
  <c r="K437" i="1"/>
  <c r="J437" i="1"/>
  <c r="I437" i="1"/>
  <c r="H437" i="1"/>
  <c r="G437" i="1"/>
  <c r="F437" i="1"/>
  <c r="E437" i="1"/>
  <c r="D437" i="1"/>
  <c r="C437" i="1"/>
  <c r="B437" i="1"/>
  <c r="A437" i="1"/>
  <c r="P436" i="1"/>
  <c r="N436" i="1"/>
  <c r="M436" i="1"/>
  <c r="L436" i="1"/>
  <c r="O436" i="1" s="1"/>
  <c r="K436" i="1"/>
  <c r="J436" i="1"/>
  <c r="I436" i="1"/>
  <c r="H436" i="1"/>
  <c r="G436" i="1"/>
  <c r="F436" i="1"/>
  <c r="E436" i="1"/>
  <c r="D436" i="1"/>
  <c r="C436" i="1"/>
  <c r="B436" i="1"/>
  <c r="A436" i="1"/>
  <c r="P435" i="1"/>
  <c r="N435" i="1"/>
  <c r="M435" i="1"/>
  <c r="L435" i="1"/>
  <c r="O435" i="1" s="1"/>
  <c r="K435" i="1"/>
  <c r="J435" i="1"/>
  <c r="I435" i="1"/>
  <c r="H435" i="1"/>
  <c r="G435" i="1"/>
  <c r="F435" i="1"/>
  <c r="E435" i="1"/>
  <c r="D435" i="1"/>
  <c r="C435" i="1"/>
  <c r="B435" i="1"/>
  <c r="A435" i="1"/>
  <c r="P434" i="1"/>
  <c r="N434" i="1"/>
  <c r="M434" i="1"/>
  <c r="L434" i="1"/>
  <c r="O434" i="1" s="1"/>
  <c r="K434" i="1"/>
  <c r="J434" i="1"/>
  <c r="I434" i="1"/>
  <c r="H434" i="1"/>
  <c r="G434" i="1"/>
  <c r="F434" i="1"/>
  <c r="E434" i="1"/>
  <c r="D434" i="1"/>
  <c r="C434" i="1"/>
  <c r="B434" i="1"/>
  <c r="A434" i="1"/>
  <c r="P433" i="1"/>
  <c r="N433" i="1"/>
  <c r="M433" i="1"/>
  <c r="L433" i="1"/>
  <c r="O433" i="1" s="1"/>
  <c r="K433" i="1"/>
  <c r="J433" i="1"/>
  <c r="I433" i="1"/>
  <c r="H433" i="1"/>
  <c r="G433" i="1"/>
  <c r="F433" i="1"/>
  <c r="E433" i="1"/>
  <c r="D433" i="1"/>
  <c r="C433" i="1"/>
  <c r="B433" i="1"/>
  <c r="A433" i="1"/>
  <c r="P432" i="1"/>
  <c r="N432" i="1"/>
  <c r="M432" i="1"/>
  <c r="L432" i="1"/>
  <c r="O432" i="1" s="1"/>
  <c r="K432" i="1"/>
  <c r="J432" i="1"/>
  <c r="I432" i="1"/>
  <c r="H432" i="1"/>
  <c r="G432" i="1"/>
  <c r="F432" i="1"/>
  <c r="E432" i="1"/>
  <c r="D432" i="1"/>
  <c r="C432" i="1"/>
  <c r="B432" i="1"/>
  <c r="A432" i="1"/>
  <c r="P431" i="1"/>
  <c r="N431" i="1"/>
  <c r="M431" i="1"/>
  <c r="L431" i="1"/>
  <c r="O431" i="1" s="1"/>
  <c r="K431" i="1"/>
  <c r="J431" i="1"/>
  <c r="I431" i="1"/>
  <c r="H431" i="1"/>
  <c r="G431" i="1"/>
  <c r="F431" i="1"/>
  <c r="E431" i="1"/>
  <c r="D431" i="1"/>
  <c r="C431" i="1"/>
  <c r="B431" i="1"/>
  <c r="A431" i="1"/>
  <c r="P430" i="1"/>
  <c r="N430" i="1"/>
  <c r="M430" i="1"/>
  <c r="L430" i="1"/>
  <c r="O430" i="1" s="1"/>
  <c r="K430" i="1"/>
  <c r="J430" i="1"/>
  <c r="I430" i="1"/>
  <c r="H430" i="1"/>
  <c r="G430" i="1"/>
  <c r="F430" i="1"/>
  <c r="E430" i="1"/>
  <c r="D430" i="1"/>
  <c r="C430" i="1"/>
  <c r="B430" i="1"/>
  <c r="A430" i="1"/>
  <c r="P429" i="1"/>
  <c r="N429" i="1"/>
  <c r="M429" i="1"/>
  <c r="L429" i="1"/>
  <c r="O429" i="1" s="1"/>
  <c r="K429" i="1"/>
  <c r="J429" i="1"/>
  <c r="I429" i="1"/>
  <c r="H429" i="1"/>
  <c r="G429" i="1"/>
  <c r="F429" i="1"/>
  <c r="E429" i="1"/>
  <c r="D429" i="1"/>
  <c r="C429" i="1"/>
  <c r="B429" i="1"/>
  <c r="A429" i="1"/>
  <c r="P428" i="1"/>
  <c r="N428" i="1"/>
  <c r="M428" i="1"/>
  <c r="L428" i="1"/>
  <c r="O428" i="1" s="1"/>
  <c r="K428" i="1"/>
  <c r="J428" i="1"/>
  <c r="I428" i="1"/>
  <c r="H428" i="1"/>
  <c r="G428" i="1"/>
  <c r="F428" i="1"/>
  <c r="E428" i="1"/>
  <c r="D428" i="1"/>
  <c r="C428" i="1"/>
  <c r="B428" i="1"/>
  <c r="A428" i="1"/>
  <c r="P427" i="1"/>
  <c r="N427" i="1"/>
  <c r="M427" i="1"/>
  <c r="L427" i="1"/>
  <c r="O427" i="1" s="1"/>
  <c r="K427" i="1"/>
  <c r="J427" i="1"/>
  <c r="I427" i="1"/>
  <c r="H427" i="1"/>
  <c r="G427" i="1"/>
  <c r="F427" i="1"/>
  <c r="E427" i="1"/>
  <c r="D427" i="1"/>
  <c r="C427" i="1"/>
  <c r="B427" i="1"/>
  <c r="A427" i="1"/>
  <c r="P426" i="1"/>
  <c r="N426" i="1"/>
  <c r="M426" i="1"/>
  <c r="L426" i="1"/>
  <c r="O426" i="1" s="1"/>
  <c r="K426" i="1"/>
  <c r="J426" i="1"/>
  <c r="I426" i="1"/>
  <c r="H426" i="1"/>
  <c r="G426" i="1"/>
  <c r="F426" i="1"/>
  <c r="E426" i="1"/>
  <c r="D426" i="1"/>
  <c r="C426" i="1"/>
  <c r="B426" i="1"/>
  <c r="A426" i="1"/>
  <c r="P425" i="1"/>
  <c r="N425" i="1"/>
  <c r="M425" i="1"/>
  <c r="L425" i="1"/>
  <c r="O425" i="1" s="1"/>
  <c r="K425" i="1"/>
  <c r="J425" i="1"/>
  <c r="I425" i="1"/>
  <c r="H425" i="1"/>
  <c r="G425" i="1"/>
  <c r="F425" i="1"/>
  <c r="E425" i="1"/>
  <c r="D425" i="1"/>
  <c r="C425" i="1"/>
  <c r="B425" i="1"/>
  <c r="A425" i="1"/>
  <c r="P424" i="1"/>
  <c r="N424" i="1"/>
  <c r="M424" i="1"/>
  <c r="L424" i="1"/>
  <c r="O424" i="1" s="1"/>
  <c r="K424" i="1"/>
  <c r="J424" i="1"/>
  <c r="I424" i="1"/>
  <c r="H424" i="1"/>
  <c r="G424" i="1"/>
  <c r="F424" i="1"/>
  <c r="E424" i="1"/>
  <c r="D424" i="1"/>
  <c r="C424" i="1"/>
  <c r="B424" i="1"/>
  <c r="A424" i="1"/>
  <c r="P423" i="1"/>
  <c r="N423" i="1"/>
  <c r="M423" i="1"/>
  <c r="L423" i="1"/>
  <c r="O423" i="1" s="1"/>
  <c r="K423" i="1"/>
  <c r="J423" i="1"/>
  <c r="I423" i="1"/>
  <c r="H423" i="1"/>
  <c r="G423" i="1"/>
  <c r="F423" i="1"/>
  <c r="E423" i="1"/>
  <c r="D423" i="1"/>
  <c r="C423" i="1"/>
  <c r="B423" i="1"/>
  <c r="A423" i="1"/>
  <c r="P422" i="1"/>
  <c r="N422" i="1"/>
  <c r="M422" i="1"/>
  <c r="L422" i="1"/>
  <c r="O422" i="1" s="1"/>
  <c r="K422" i="1"/>
  <c r="J422" i="1"/>
  <c r="I422" i="1"/>
  <c r="H422" i="1"/>
  <c r="G422" i="1"/>
  <c r="F422" i="1"/>
  <c r="E422" i="1"/>
  <c r="D422" i="1"/>
  <c r="C422" i="1"/>
  <c r="B422" i="1"/>
  <c r="A422" i="1"/>
  <c r="P421" i="1"/>
  <c r="N421" i="1"/>
  <c r="M421" i="1"/>
  <c r="L421" i="1"/>
  <c r="O421" i="1" s="1"/>
  <c r="K421" i="1"/>
  <c r="J421" i="1"/>
  <c r="I421" i="1"/>
  <c r="H421" i="1"/>
  <c r="G421" i="1"/>
  <c r="F421" i="1"/>
  <c r="E421" i="1"/>
  <c r="D421" i="1"/>
  <c r="C421" i="1"/>
  <c r="B421" i="1"/>
  <c r="A421" i="1"/>
  <c r="P420" i="1"/>
  <c r="N420" i="1"/>
  <c r="M420" i="1"/>
  <c r="L420" i="1"/>
  <c r="O420" i="1" s="1"/>
  <c r="K420" i="1"/>
  <c r="J420" i="1"/>
  <c r="I420" i="1"/>
  <c r="H420" i="1"/>
  <c r="G420" i="1"/>
  <c r="F420" i="1"/>
  <c r="E420" i="1"/>
  <c r="D420" i="1"/>
  <c r="C420" i="1"/>
  <c r="B420" i="1"/>
  <c r="A420" i="1"/>
  <c r="P419" i="1"/>
  <c r="N419" i="1"/>
  <c r="M419" i="1"/>
  <c r="L419" i="1"/>
  <c r="O419" i="1" s="1"/>
  <c r="K419" i="1"/>
  <c r="J419" i="1"/>
  <c r="I419" i="1"/>
  <c r="H419" i="1"/>
  <c r="G419" i="1"/>
  <c r="F419" i="1"/>
  <c r="E419" i="1"/>
  <c r="D419" i="1"/>
  <c r="C419" i="1"/>
  <c r="B419" i="1"/>
  <c r="A419" i="1"/>
  <c r="P418" i="1"/>
  <c r="N418" i="1"/>
  <c r="M418" i="1"/>
  <c r="L418" i="1"/>
  <c r="O418" i="1" s="1"/>
  <c r="K418" i="1"/>
  <c r="J418" i="1"/>
  <c r="I418" i="1"/>
  <c r="H418" i="1"/>
  <c r="G418" i="1"/>
  <c r="F418" i="1"/>
  <c r="E418" i="1"/>
  <c r="D418" i="1"/>
  <c r="C418" i="1"/>
  <c r="B418" i="1"/>
  <c r="A418" i="1"/>
  <c r="P417" i="1"/>
  <c r="N417" i="1"/>
  <c r="M417" i="1"/>
  <c r="L417" i="1"/>
  <c r="O417" i="1" s="1"/>
  <c r="K417" i="1"/>
  <c r="J417" i="1"/>
  <c r="I417" i="1"/>
  <c r="H417" i="1"/>
  <c r="G417" i="1"/>
  <c r="F417" i="1"/>
  <c r="E417" i="1"/>
  <c r="D417" i="1"/>
  <c r="C417" i="1"/>
  <c r="B417" i="1"/>
  <c r="A417" i="1"/>
  <c r="P416" i="1"/>
  <c r="N416" i="1"/>
  <c r="M416" i="1"/>
  <c r="L416" i="1"/>
  <c r="O416" i="1" s="1"/>
  <c r="K416" i="1"/>
  <c r="J416" i="1"/>
  <c r="I416" i="1"/>
  <c r="H416" i="1"/>
  <c r="G416" i="1"/>
  <c r="F416" i="1"/>
  <c r="E416" i="1"/>
  <c r="D416" i="1"/>
  <c r="C416" i="1"/>
  <c r="B416" i="1"/>
  <c r="A416" i="1"/>
  <c r="P415" i="1"/>
  <c r="N415" i="1"/>
  <c r="M415" i="1"/>
  <c r="L415" i="1"/>
  <c r="O415" i="1" s="1"/>
  <c r="K415" i="1"/>
  <c r="J415" i="1"/>
  <c r="I415" i="1"/>
  <c r="H415" i="1"/>
  <c r="G415" i="1"/>
  <c r="F415" i="1"/>
  <c r="E415" i="1"/>
  <c r="D415" i="1"/>
  <c r="C415" i="1"/>
  <c r="B415" i="1"/>
  <c r="A415" i="1"/>
  <c r="P414" i="1"/>
  <c r="N414" i="1"/>
  <c r="M414" i="1"/>
  <c r="L414" i="1"/>
  <c r="O414" i="1" s="1"/>
  <c r="K414" i="1"/>
  <c r="J414" i="1"/>
  <c r="I414" i="1"/>
  <c r="H414" i="1"/>
  <c r="G414" i="1"/>
  <c r="F414" i="1"/>
  <c r="E414" i="1"/>
  <c r="D414" i="1"/>
  <c r="C414" i="1"/>
  <c r="B414" i="1"/>
  <c r="A414" i="1"/>
  <c r="P413" i="1"/>
  <c r="N413" i="1"/>
  <c r="M413" i="1"/>
  <c r="L413" i="1"/>
  <c r="O413" i="1" s="1"/>
  <c r="K413" i="1"/>
  <c r="J413" i="1"/>
  <c r="I413" i="1"/>
  <c r="H413" i="1"/>
  <c r="G413" i="1"/>
  <c r="F413" i="1"/>
  <c r="E413" i="1"/>
  <c r="D413" i="1"/>
  <c r="C413" i="1"/>
  <c r="B413" i="1"/>
  <c r="A413" i="1"/>
  <c r="P412" i="1"/>
  <c r="N412" i="1"/>
  <c r="M412" i="1"/>
  <c r="L412" i="1"/>
  <c r="O412" i="1" s="1"/>
  <c r="K412" i="1"/>
  <c r="J412" i="1"/>
  <c r="I412" i="1"/>
  <c r="H412" i="1"/>
  <c r="G412" i="1"/>
  <c r="F412" i="1"/>
  <c r="E412" i="1"/>
  <c r="D412" i="1"/>
  <c r="C412" i="1"/>
  <c r="B412" i="1"/>
  <c r="A412" i="1"/>
  <c r="P411" i="1"/>
  <c r="N411" i="1"/>
  <c r="M411" i="1"/>
  <c r="L411" i="1"/>
  <c r="O411" i="1" s="1"/>
  <c r="K411" i="1"/>
  <c r="J411" i="1"/>
  <c r="I411" i="1"/>
  <c r="H411" i="1"/>
  <c r="G411" i="1"/>
  <c r="F411" i="1"/>
  <c r="E411" i="1"/>
  <c r="D411" i="1"/>
  <c r="C411" i="1"/>
  <c r="B411" i="1"/>
  <c r="A411" i="1"/>
  <c r="P410" i="1"/>
  <c r="N410" i="1"/>
  <c r="M410" i="1"/>
  <c r="L410" i="1"/>
  <c r="O410" i="1" s="1"/>
  <c r="K410" i="1"/>
  <c r="J410" i="1"/>
  <c r="I410" i="1"/>
  <c r="H410" i="1"/>
  <c r="G410" i="1"/>
  <c r="F410" i="1"/>
  <c r="E410" i="1"/>
  <c r="D410" i="1"/>
  <c r="C410" i="1"/>
  <c r="B410" i="1"/>
  <c r="A410" i="1"/>
  <c r="P409" i="1"/>
  <c r="N409" i="1"/>
  <c r="M409" i="1"/>
  <c r="L409" i="1"/>
  <c r="O409" i="1" s="1"/>
  <c r="K409" i="1"/>
  <c r="J409" i="1"/>
  <c r="I409" i="1"/>
  <c r="H409" i="1"/>
  <c r="G409" i="1"/>
  <c r="F409" i="1"/>
  <c r="E409" i="1"/>
  <c r="D409" i="1"/>
  <c r="C409" i="1"/>
  <c r="B409" i="1"/>
  <c r="A409" i="1"/>
  <c r="P408" i="1"/>
  <c r="N408" i="1"/>
  <c r="M408" i="1"/>
  <c r="L408" i="1"/>
  <c r="O408" i="1" s="1"/>
  <c r="K408" i="1"/>
  <c r="J408" i="1"/>
  <c r="I408" i="1"/>
  <c r="H408" i="1"/>
  <c r="G408" i="1"/>
  <c r="F408" i="1"/>
  <c r="E408" i="1"/>
  <c r="D408" i="1"/>
  <c r="C408" i="1"/>
  <c r="B408" i="1"/>
  <c r="A408" i="1"/>
  <c r="P407" i="1"/>
  <c r="N407" i="1"/>
  <c r="M407" i="1"/>
  <c r="L407" i="1"/>
  <c r="O407" i="1" s="1"/>
  <c r="K407" i="1"/>
  <c r="J407" i="1"/>
  <c r="I407" i="1"/>
  <c r="H407" i="1"/>
  <c r="G407" i="1"/>
  <c r="F407" i="1"/>
  <c r="E407" i="1"/>
  <c r="D407" i="1"/>
  <c r="C407" i="1"/>
  <c r="B407" i="1"/>
  <c r="A407" i="1"/>
  <c r="P406" i="1"/>
  <c r="N406" i="1"/>
  <c r="M406" i="1"/>
  <c r="L406" i="1"/>
  <c r="O406" i="1" s="1"/>
  <c r="K406" i="1"/>
  <c r="J406" i="1"/>
  <c r="I406" i="1"/>
  <c r="H406" i="1"/>
  <c r="G406" i="1"/>
  <c r="F406" i="1"/>
  <c r="E406" i="1"/>
  <c r="D406" i="1"/>
  <c r="C406" i="1"/>
  <c r="B406" i="1"/>
  <c r="A406" i="1"/>
  <c r="P405" i="1"/>
  <c r="N405" i="1"/>
  <c r="M405" i="1"/>
  <c r="L405" i="1"/>
  <c r="O405" i="1" s="1"/>
  <c r="K405" i="1"/>
  <c r="J405" i="1"/>
  <c r="I405" i="1"/>
  <c r="H405" i="1"/>
  <c r="G405" i="1"/>
  <c r="F405" i="1"/>
  <c r="E405" i="1"/>
  <c r="D405" i="1"/>
  <c r="C405" i="1"/>
  <c r="B405" i="1"/>
  <c r="A405" i="1"/>
  <c r="P404" i="1"/>
  <c r="N404" i="1"/>
  <c r="M404" i="1"/>
  <c r="L404" i="1"/>
  <c r="O404" i="1" s="1"/>
  <c r="K404" i="1"/>
  <c r="J404" i="1"/>
  <c r="I404" i="1"/>
  <c r="H404" i="1"/>
  <c r="G404" i="1"/>
  <c r="F404" i="1"/>
  <c r="E404" i="1"/>
  <c r="D404" i="1"/>
  <c r="C404" i="1"/>
  <c r="B404" i="1"/>
  <c r="A404" i="1"/>
  <c r="P403" i="1"/>
  <c r="N403" i="1"/>
  <c r="M403" i="1"/>
  <c r="L403" i="1"/>
  <c r="O403" i="1" s="1"/>
  <c r="K403" i="1"/>
  <c r="J403" i="1"/>
  <c r="I403" i="1"/>
  <c r="H403" i="1"/>
  <c r="G403" i="1"/>
  <c r="F403" i="1"/>
  <c r="E403" i="1"/>
  <c r="D403" i="1"/>
  <c r="C403" i="1"/>
  <c r="B403" i="1"/>
  <c r="A403" i="1"/>
  <c r="P402" i="1"/>
  <c r="N402" i="1"/>
  <c r="M402" i="1"/>
  <c r="L402" i="1"/>
  <c r="O402" i="1" s="1"/>
  <c r="K402" i="1"/>
  <c r="J402" i="1"/>
  <c r="I402" i="1"/>
  <c r="H402" i="1"/>
  <c r="G402" i="1"/>
  <c r="F402" i="1"/>
  <c r="E402" i="1"/>
  <c r="D402" i="1"/>
  <c r="C402" i="1"/>
  <c r="B402" i="1"/>
  <c r="A402" i="1"/>
  <c r="P401" i="1"/>
  <c r="N401" i="1"/>
  <c r="M401" i="1"/>
  <c r="L401" i="1"/>
  <c r="O401" i="1" s="1"/>
  <c r="K401" i="1"/>
  <c r="J401" i="1"/>
  <c r="I401" i="1"/>
  <c r="H401" i="1"/>
  <c r="G401" i="1"/>
  <c r="F401" i="1"/>
  <c r="E401" i="1"/>
  <c r="D401" i="1"/>
  <c r="C401" i="1"/>
  <c r="B401" i="1"/>
  <c r="A401" i="1"/>
  <c r="P400" i="1"/>
  <c r="N400" i="1"/>
  <c r="M400" i="1"/>
  <c r="L400" i="1"/>
  <c r="O400" i="1" s="1"/>
  <c r="K400" i="1"/>
  <c r="J400" i="1"/>
  <c r="I400" i="1"/>
  <c r="H400" i="1"/>
  <c r="G400" i="1"/>
  <c r="F400" i="1"/>
  <c r="E400" i="1"/>
  <c r="D400" i="1"/>
  <c r="C400" i="1"/>
  <c r="B400" i="1"/>
  <c r="A400" i="1"/>
  <c r="P399" i="1"/>
  <c r="N399" i="1"/>
  <c r="M399" i="1"/>
  <c r="L399" i="1"/>
  <c r="O399" i="1" s="1"/>
  <c r="K399" i="1"/>
  <c r="J399" i="1"/>
  <c r="I399" i="1"/>
  <c r="H399" i="1"/>
  <c r="G399" i="1"/>
  <c r="F399" i="1"/>
  <c r="E399" i="1"/>
  <c r="D399" i="1"/>
  <c r="C399" i="1"/>
  <c r="B399" i="1"/>
  <c r="A399" i="1"/>
  <c r="P398" i="1"/>
  <c r="N398" i="1"/>
  <c r="M398" i="1"/>
  <c r="L398" i="1"/>
  <c r="O398" i="1" s="1"/>
  <c r="K398" i="1"/>
  <c r="J398" i="1"/>
  <c r="I398" i="1"/>
  <c r="H398" i="1"/>
  <c r="G398" i="1"/>
  <c r="F398" i="1"/>
  <c r="E398" i="1"/>
  <c r="D398" i="1"/>
  <c r="C398" i="1"/>
  <c r="B398" i="1"/>
  <c r="A398" i="1"/>
  <c r="P397" i="1"/>
  <c r="N397" i="1"/>
  <c r="M397" i="1"/>
  <c r="L397" i="1"/>
  <c r="O397" i="1" s="1"/>
  <c r="K397" i="1"/>
  <c r="J397" i="1"/>
  <c r="I397" i="1"/>
  <c r="H397" i="1"/>
  <c r="G397" i="1"/>
  <c r="F397" i="1"/>
  <c r="E397" i="1"/>
  <c r="D397" i="1"/>
  <c r="C397" i="1"/>
  <c r="B397" i="1"/>
  <c r="A397" i="1"/>
  <c r="P396" i="1"/>
  <c r="N396" i="1"/>
  <c r="M396" i="1"/>
  <c r="L396" i="1"/>
  <c r="O396" i="1" s="1"/>
  <c r="K396" i="1"/>
  <c r="J396" i="1"/>
  <c r="I396" i="1"/>
  <c r="H396" i="1"/>
  <c r="G396" i="1"/>
  <c r="F396" i="1"/>
  <c r="E396" i="1"/>
  <c r="D396" i="1"/>
  <c r="C396" i="1"/>
  <c r="B396" i="1"/>
  <c r="A396" i="1"/>
  <c r="P395" i="1"/>
  <c r="N395" i="1"/>
  <c r="M395" i="1"/>
  <c r="L395" i="1"/>
  <c r="O395" i="1" s="1"/>
  <c r="K395" i="1"/>
  <c r="J395" i="1"/>
  <c r="I395" i="1"/>
  <c r="H395" i="1"/>
  <c r="G395" i="1"/>
  <c r="F395" i="1"/>
  <c r="E395" i="1"/>
  <c r="D395" i="1"/>
  <c r="C395" i="1"/>
  <c r="B395" i="1"/>
  <c r="A395" i="1"/>
  <c r="P394" i="1"/>
  <c r="N394" i="1"/>
  <c r="M394" i="1"/>
  <c r="L394" i="1"/>
  <c r="O394" i="1" s="1"/>
  <c r="K394" i="1"/>
  <c r="J394" i="1"/>
  <c r="I394" i="1"/>
  <c r="H394" i="1"/>
  <c r="G394" i="1"/>
  <c r="F394" i="1"/>
  <c r="E394" i="1"/>
  <c r="D394" i="1"/>
  <c r="C394" i="1"/>
  <c r="B394" i="1"/>
  <c r="A394" i="1"/>
  <c r="P393" i="1"/>
  <c r="N393" i="1"/>
  <c r="M393" i="1"/>
  <c r="L393" i="1"/>
  <c r="O393" i="1" s="1"/>
  <c r="K393" i="1"/>
  <c r="J393" i="1"/>
  <c r="I393" i="1"/>
  <c r="H393" i="1"/>
  <c r="G393" i="1"/>
  <c r="F393" i="1"/>
  <c r="E393" i="1"/>
  <c r="D393" i="1"/>
  <c r="C393" i="1"/>
  <c r="B393" i="1"/>
  <c r="A393" i="1"/>
  <c r="P392" i="1"/>
  <c r="N392" i="1"/>
  <c r="M392" i="1"/>
  <c r="L392" i="1"/>
  <c r="O392" i="1" s="1"/>
  <c r="K392" i="1"/>
  <c r="J392" i="1"/>
  <c r="I392" i="1"/>
  <c r="H392" i="1"/>
  <c r="G392" i="1"/>
  <c r="F392" i="1"/>
  <c r="E392" i="1"/>
  <c r="D392" i="1"/>
  <c r="C392" i="1"/>
  <c r="B392" i="1"/>
  <c r="A392" i="1"/>
  <c r="P391" i="1"/>
  <c r="N391" i="1"/>
  <c r="M391" i="1"/>
  <c r="L391" i="1"/>
  <c r="O391" i="1" s="1"/>
  <c r="K391" i="1"/>
  <c r="J391" i="1"/>
  <c r="I391" i="1"/>
  <c r="H391" i="1"/>
  <c r="G391" i="1"/>
  <c r="F391" i="1"/>
  <c r="E391" i="1"/>
  <c r="D391" i="1"/>
  <c r="C391" i="1"/>
  <c r="B391" i="1"/>
  <c r="A391" i="1"/>
  <c r="P390" i="1"/>
  <c r="N390" i="1"/>
  <c r="M390" i="1"/>
  <c r="L390" i="1"/>
  <c r="O390" i="1" s="1"/>
  <c r="K390" i="1"/>
  <c r="J390" i="1"/>
  <c r="I390" i="1"/>
  <c r="H390" i="1"/>
  <c r="G390" i="1"/>
  <c r="F390" i="1"/>
  <c r="E390" i="1"/>
  <c r="D390" i="1"/>
  <c r="C390" i="1"/>
  <c r="B390" i="1"/>
  <c r="A390" i="1"/>
  <c r="P389" i="1"/>
  <c r="N389" i="1"/>
  <c r="M389" i="1"/>
  <c r="L389" i="1"/>
  <c r="O389" i="1" s="1"/>
  <c r="K389" i="1"/>
  <c r="J389" i="1"/>
  <c r="I389" i="1"/>
  <c r="H389" i="1"/>
  <c r="G389" i="1"/>
  <c r="F389" i="1"/>
  <c r="E389" i="1"/>
  <c r="D389" i="1"/>
  <c r="C389" i="1"/>
  <c r="B389" i="1"/>
  <c r="A389" i="1"/>
  <c r="P388" i="1"/>
  <c r="N388" i="1"/>
  <c r="M388" i="1"/>
  <c r="L388" i="1"/>
  <c r="O388" i="1" s="1"/>
  <c r="K388" i="1"/>
  <c r="J388" i="1"/>
  <c r="I388" i="1"/>
  <c r="H388" i="1"/>
  <c r="G388" i="1"/>
  <c r="F388" i="1"/>
  <c r="E388" i="1"/>
  <c r="D388" i="1"/>
  <c r="C388" i="1"/>
  <c r="B388" i="1"/>
  <c r="A388" i="1"/>
  <c r="P387" i="1"/>
  <c r="N387" i="1"/>
  <c r="M387" i="1"/>
  <c r="L387" i="1"/>
  <c r="O387" i="1" s="1"/>
  <c r="K387" i="1"/>
  <c r="J387" i="1"/>
  <c r="I387" i="1"/>
  <c r="H387" i="1"/>
  <c r="G387" i="1"/>
  <c r="F387" i="1"/>
  <c r="E387" i="1"/>
  <c r="D387" i="1"/>
  <c r="C387" i="1"/>
  <c r="B387" i="1"/>
  <c r="A387" i="1"/>
  <c r="P386" i="1"/>
  <c r="N386" i="1"/>
  <c r="M386" i="1"/>
  <c r="L386" i="1"/>
  <c r="O386" i="1" s="1"/>
  <c r="K386" i="1"/>
  <c r="J386" i="1"/>
  <c r="I386" i="1"/>
  <c r="H386" i="1"/>
  <c r="G386" i="1"/>
  <c r="F386" i="1"/>
  <c r="E386" i="1"/>
  <c r="D386" i="1"/>
  <c r="C386" i="1"/>
  <c r="B386" i="1"/>
  <c r="A386" i="1"/>
  <c r="P385" i="1"/>
  <c r="N385" i="1"/>
  <c r="M385" i="1"/>
  <c r="L385" i="1"/>
  <c r="O385" i="1" s="1"/>
  <c r="K385" i="1"/>
  <c r="J385" i="1"/>
  <c r="I385" i="1"/>
  <c r="H385" i="1"/>
  <c r="G385" i="1"/>
  <c r="F385" i="1"/>
  <c r="E385" i="1"/>
  <c r="D385" i="1"/>
  <c r="C385" i="1"/>
  <c r="B385" i="1"/>
  <c r="A385" i="1"/>
  <c r="P384" i="1"/>
  <c r="N384" i="1"/>
  <c r="M384" i="1"/>
  <c r="L384" i="1"/>
  <c r="O384" i="1" s="1"/>
  <c r="K384" i="1"/>
  <c r="J384" i="1"/>
  <c r="I384" i="1"/>
  <c r="H384" i="1"/>
  <c r="G384" i="1"/>
  <c r="F384" i="1"/>
  <c r="E384" i="1"/>
  <c r="D384" i="1"/>
  <c r="C384" i="1"/>
  <c r="B384" i="1"/>
  <c r="A384" i="1"/>
  <c r="P383" i="1"/>
  <c r="N383" i="1"/>
  <c r="M383" i="1"/>
  <c r="L383" i="1"/>
  <c r="O383" i="1" s="1"/>
  <c r="K383" i="1"/>
  <c r="J383" i="1"/>
  <c r="I383" i="1"/>
  <c r="H383" i="1"/>
  <c r="G383" i="1"/>
  <c r="F383" i="1"/>
  <c r="E383" i="1"/>
  <c r="D383" i="1"/>
  <c r="C383" i="1"/>
  <c r="B383" i="1"/>
  <c r="A383" i="1"/>
  <c r="P382" i="1"/>
  <c r="N382" i="1"/>
  <c r="M382" i="1"/>
  <c r="L382" i="1"/>
  <c r="O382" i="1" s="1"/>
  <c r="K382" i="1"/>
  <c r="J382" i="1"/>
  <c r="I382" i="1"/>
  <c r="H382" i="1"/>
  <c r="G382" i="1"/>
  <c r="F382" i="1"/>
  <c r="E382" i="1"/>
  <c r="D382" i="1"/>
  <c r="C382" i="1"/>
  <c r="B382" i="1"/>
  <c r="A382" i="1"/>
  <c r="P381" i="1"/>
  <c r="N381" i="1"/>
  <c r="M381" i="1"/>
  <c r="L381" i="1"/>
  <c r="O381" i="1" s="1"/>
  <c r="K381" i="1"/>
  <c r="J381" i="1"/>
  <c r="I381" i="1"/>
  <c r="H381" i="1"/>
  <c r="G381" i="1"/>
  <c r="F381" i="1"/>
  <c r="E381" i="1"/>
  <c r="D381" i="1"/>
  <c r="C381" i="1"/>
  <c r="B381" i="1"/>
  <c r="A381" i="1"/>
  <c r="P380" i="1"/>
  <c r="N380" i="1"/>
  <c r="M380" i="1"/>
  <c r="L380" i="1"/>
  <c r="O380" i="1" s="1"/>
  <c r="K380" i="1"/>
  <c r="J380" i="1"/>
  <c r="I380" i="1"/>
  <c r="H380" i="1"/>
  <c r="G380" i="1"/>
  <c r="F380" i="1"/>
  <c r="E380" i="1"/>
  <c r="D380" i="1"/>
  <c r="C380" i="1"/>
  <c r="B380" i="1"/>
  <c r="A380" i="1"/>
  <c r="P379" i="1"/>
  <c r="N379" i="1"/>
  <c r="M379" i="1"/>
  <c r="L379" i="1"/>
  <c r="O379" i="1" s="1"/>
  <c r="K379" i="1"/>
  <c r="J379" i="1"/>
  <c r="I379" i="1"/>
  <c r="H379" i="1"/>
  <c r="G379" i="1"/>
  <c r="F379" i="1"/>
  <c r="E379" i="1"/>
  <c r="D379" i="1"/>
  <c r="C379" i="1"/>
  <c r="B379" i="1"/>
  <c r="A379" i="1"/>
  <c r="P378" i="1"/>
  <c r="N378" i="1"/>
  <c r="M378" i="1"/>
  <c r="L378" i="1"/>
  <c r="O378" i="1" s="1"/>
  <c r="K378" i="1"/>
  <c r="J378" i="1"/>
  <c r="I378" i="1"/>
  <c r="H378" i="1"/>
  <c r="G378" i="1"/>
  <c r="F378" i="1"/>
  <c r="E378" i="1"/>
  <c r="D378" i="1"/>
  <c r="C378" i="1"/>
  <c r="B378" i="1"/>
  <c r="A378" i="1"/>
  <c r="P377" i="1"/>
  <c r="N377" i="1"/>
  <c r="M377" i="1"/>
  <c r="L377" i="1"/>
  <c r="O377" i="1" s="1"/>
  <c r="K377" i="1"/>
  <c r="J377" i="1"/>
  <c r="I377" i="1"/>
  <c r="H377" i="1"/>
  <c r="G377" i="1"/>
  <c r="F377" i="1"/>
  <c r="E377" i="1"/>
  <c r="D377" i="1"/>
  <c r="C377" i="1"/>
  <c r="B377" i="1"/>
  <c r="A377" i="1"/>
  <c r="P376" i="1"/>
  <c r="N376" i="1"/>
  <c r="M376" i="1"/>
  <c r="L376" i="1"/>
  <c r="O376" i="1" s="1"/>
  <c r="K376" i="1"/>
  <c r="J376" i="1"/>
  <c r="I376" i="1"/>
  <c r="H376" i="1"/>
  <c r="G376" i="1"/>
  <c r="F376" i="1"/>
  <c r="E376" i="1"/>
  <c r="D376" i="1"/>
  <c r="C376" i="1"/>
  <c r="B376" i="1"/>
  <c r="A376" i="1"/>
  <c r="P375" i="1"/>
  <c r="N375" i="1"/>
  <c r="M375" i="1"/>
  <c r="L375" i="1"/>
  <c r="O375" i="1" s="1"/>
  <c r="K375" i="1"/>
  <c r="J375" i="1"/>
  <c r="I375" i="1"/>
  <c r="H375" i="1"/>
  <c r="G375" i="1"/>
  <c r="F375" i="1"/>
  <c r="E375" i="1"/>
  <c r="D375" i="1"/>
  <c r="C375" i="1"/>
  <c r="B375" i="1"/>
  <c r="A375" i="1"/>
  <c r="P374" i="1"/>
  <c r="N374" i="1"/>
  <c r="M374" i="1"/>
  <c r="L374" i="1"/>
  <c r="O374" i="1" s="1"/>
  <c r="K374" i="1"/>
  <c r="J374" i="1"/>
  <c r="I374" i="1"/>
  <c r="H374" i="1"/>
  <c r="G374" i="1"/>
  <c r="F374" i="1"/>
  <c r="E374" i="1"/>
  <c r="D374" i="1"/>
  <c r="C374" i="1"/>
  <c r="B374" i="1"/>
  <c r="A374" i="1"/>
  <c r="P373" i="1"/>
  <c r="N373" i="1"/>
  <c r="M373" i="1"/>
  <c r="L373" i="1"/>
  <c r="O373" i="1" s="1"/>
  <c r="K373" i="1"/>
  <c r="J373" i="1"/>
  <c r="I373" i="1"/>
  <c r="H373" i="1"/>
  <c r="G373" i="1"/>
  <c r="F373" i="1"/>
  <c r="E373" i="1"/>
  <c r="D373" i="1"/>
  <c r="C373" i="1"/>
  <c r="B373" i="1"/>
  <c r="A373" i="1"/>
  <c r="P372" i="1"/>
  <c r="N372" i="1"/>
  <c r="M372" i="1"/>
  <c r="L372" i="1"/>
  <c r="O372" i="1" s="1"/>
  <c r="K372" i="1"/>
  <c r="J372" i="1"/>
  <c r="I372" i="1"/>
  <c r="H372" i="1"/>
  <c r="G372" i="1"/>
  <c r="F372" i="1"/>
  <c r="E372" i="1"/>
  <c r="D372" i="1"/>
  <c r="C372" i="1"/>
  <c r="B372" i="1"/>
  <c r="A372" i="1"/>
  <c r="P371" i="1"/>
  <c r="N371" i="1"/>
  <c r="M371" i="1"/>
  <c r="L371" i="1"/>
  <c r="O371" i="1" s="1"/>
  <c r="K371" i="1"/>
  <c r="J371" i="1"/>
  <c r="I371" i="1"/>
  <c r="H371" i="1"/>
  <c r="G371" i="1"/>
  <c r="F371" i="1"/>
  <c r="E371" i="1"/>
  <c r="D371" i="1"/>
  <c r="C371" i="1"/>
  <c r="B371" i="1"/>
  <c r="A371" i="1"/>
  <c r="P370" i="1"/>
  <c r="N370" i="1"/>
  <c r="M370" i="1"/>
  <c r="L370" i="1"/>
  <c r="O370" i="1" s="1"/>
  <c r="K370" i="1"/>
  <c r="J370" i="1"/>
  <c r="I370" i="1"/>
  <c r="H370" i="1"/>
  <c r="G370" i="1"/>
  <c r="F370" i="1"/>
  <c r="E370" i="1"/>
  <c r="D370" i="1"/>
  <c r="C370" i="1"/>
  <c r="B370" i="1"/>
  <c r="A370" i="1"/>
  <c r="P369" i="1"/>
  <c r="N369" i="1"/>
  <c r="M369" i="1"/>
  <c r="L369" i="1"/>
  <c r="O369" i="1" s="1"/>
  <c r="K369" i="1"/>
  <c r="J369" i="1"/>
  <c r="I369" i="1"/>
  <c r="H369" i="1"/>
  <c r="G369" i="1"/>
  <c r="F369" i="1"/>
  <c r="E369" i="1"/>
  <c r="D369" i="1"/>
  <c r="C369" i="1"/>
  <c r="B369" i="1"/>
  <c r="A369" i="1"/>
  <c r="P368" i="1"/>
  <c r="N368" i="1"/>
  <c r="M368" i="1"/>
  <c r="L368" i="1"/>
  <c r="O368" i="1" s="1"/>
  <c r="K368" i="1"/>
  <c r="J368" i="1"/>
  <c r="I368" i="1"/>
  <c r="H368" i="1"/>
  <c r="G368" i="1"/>
  <c r="F368" i="1"/>
  <c r="E368" i="1"/>
  <c r="D368" i="1"/>
  <c r="C368" i="1"/>
  <c r="B368" i="1"/>
  <c r="A368" i="1"/>
  <c r="P367" i="1"/>
  <c r="N367" i="1"/>
  <c r="M367" i="1"/>
  <c r="L367" i="1"/>
  <c r="O367" i="1" s="1"/>
  <c r="K367" i="1"/>
  <c r="J367" i="1"/>
  <c r="I367" i="1"/>
  <c r="H367" i="1"/>
  <c r="G367" i="1"/>
  <c r="F367" i="1"/>
  <c r="E367" i="1"/>
  <c r="D367" i="1"/>
  <c r="C367" i="1"/>
  <c r="B367" i="1"/>
  <c r="A367" i="1"/>
  <c r="P366" i="1"/>
  <c r="N366" i="1"/>
  <c r="M366" i="1"/>
  <c r="L366" i="1"/>
  <c r="O366" i="1" s="1"/>
  <c r="K366" i="1"/>
  <c r="J366" i="1"/>
  <c r="I366" i="1"/>
  <c r="H366" i="1"/>
  <c r="G366" i="1"/>
  <c r="F366" i="1"/>
  <c r="E366" i="1"/>
  <c r="D366" i="1"/>
  <c r="C366" i="1"/>
  <c r="B366" i="1"/>
  <c r="A366" i="1"/>
  <c r="P365" i="1"/>
  <c r="N365" i="1"/>
  <c r="M365" i="1"/>
  <c r="L365" i="1"/>
  <c r="O365" i="1" s="1"/>
  <c r="K365" i="1"/>
  <c r="J365" i="1"/>
  <c r="I365" i="1"/>
  <c r="H365" i="1"/>
  <c r="G365" i="1"/>
  <c r="F365" i="1"/>
  <c r="E365" i="1"/>
  <c r="D365" i="1"/>
  <c r="C365" i="1"/>
  <c r="B365" i="1"/>
  <c r="A365" i="1"/>
  <c r="P364" i="1"/>
  <c r="N364" i="1"/>
  <c r="M364" i="1"/>
  <c r="L364" i="1"/>
  <c r="O364" i="1" s="1"/>
  <c r="K364" i="1"/>
  <c r="J364" i="1"/>
  <c r="I364" i="1"/>
  <c r="H364" i="1"/>
  <c r="G364" i="1"/>
  <c r="F364" i="1"/>
  <c r="E364" i="1"/>
  <c r="D364" i="1"/>
  <c r="C364" i="1"/>
  <c r="B364" i="1"/>
  <c r="A364" i="1"/>
  <c r="P363" i="1"/>
  <c r="N363" i="1"/>
  <c r="M363" i="1"/>
  <c r="L363" i="1"/>
  <c r="O363" i="1" s="1"/>
  <c r="K363" i="1"/>
  <c r="J363" i="1"/>
  <c r="I363" i="1"/>
  <c r="H363" i="1"/>
  <c r="G363" i="1"/>
  <c r="F363" i="1"/>
  <c r="E363" i="1"/>
  <c r="D363" i="1"/>
  <c r="C363" i="1"/>
  <c r="B363" i="1"/>
  <c r="A363" i="1"/>
  <c r="P362" i="1"/>
  <c r="N362" i="1"/>
  <c r="M362" i="1"/>
  <c r="L362" i="1"/>
  <c r="O362" i="1" s="1"/>
  <c r="K362" i="1"/>
  <c r="J362" i="1"/>
  <c r="I362" i="1"/>
  <c r="H362" i="1"/>
  <c r="G362" i="1"/>
  <c r="F362" i="1"/>
  <c r="E362" i="1"/>
  <c r="D362" i="1"/>
  <c r="C362" i="1"/>
  <c r="B362" i="1"/>
  <c r="A362" i="1"/>
  <c r="P361" i="1"/>
  <c r="N361" i="1"/>
  <c r="M361" i="1"/>
  <c r="L361" i="1"/>
  <c r="O361" i="1" s="1"/>
  <c r="K361" i="1"/>
  <c r="J361" i="1"/>
  <c r="I361" i="1"/>
  <c r="H361" i="1"/>
  <c r="G361" i="1"/>
  <c r="F361" i="1"/>
  <c r="E361" i="1"/>
  <c r="D361" i="1"/>
  <c r="C361" i="1"/>
  <c r="B361" i="1"/>
  <c r="A361" i="1"/>
  <c r="P360" i="1"/>
  <c r="N360" i="1"/>
  <c r="M360" i="1"/>
  <c r="L360" i="1"/>
  <c r="O360" i="1" s="1"/>
  <c r="K360" i="1"/>
  <c r="J360" i="1"/>
  <c r="I360" i="1"/>
  <c r="H360" i="1"/>
  <c r="G360" i="1"/>
  <c r="F360" i="1"/>
  <c r="E360" i="1"/>
  <c r="D360" i="1"/>
  <c r="C360" i="1"/>
  <c r="B360" i="1"/>
  <c r="A360" i="1"/>
  <c r="P359" i="1"/>
  <c r="N359" i="1"/>
  <c r="M359" i="1"/>
  <c r="L359" i="1"/>
  <c r="O359" i="1" s="1"/>
  <c r="K359" i="1"/>
  <c r="J359" i="1"/>
  <c r="I359" i="1"/>
  <c r="H359" i="1"/>
  <c r="G359" i="1"/>
  <c r="F359" i="1"/>
  <c r="E359" i="1"/>
  <c r="D359" i="1"/>
  <c r="C359" i="1"/>
  <c r="B359" i="1"/>
  <c r="A359" i="1"/>
  <c r="P358" i="1"/>
  <c r="N358" i="1"/>
  <c r="M358" i="1"/>
  <c r="L358" i="1"/>
  <c r="O358" i="1" s="1"/>
  <c r="K358" i="1"/>
  <c r="J358" i="1"/>
  <c r="I358" i="1"/>
  <c r="H358" i="1"/>
  <c r="G358" i="1"/>
  <c r="F358" i="1"/>
  <c r="E358" i="1"/>
  <c r="D358" i="1"/>
  <c r="C358" i="1"/>
  <c r="B358" i="1"/>
  <c r="A358" i="1"/>
  <c r="P357" i="1"/>
  <c r="N357" i="1"/>
  <c r="M357" i="1"/>
  <c r="L357" i="1"/>
  <c r="O357" i="1" s="1"/>
  <c r="K357" i="1"/>
  <c r="J357" i="1"/>
  <c r="I357" i="1"/>
  <c r="H357" i="1"/>
  <c r="G357" i="1"/>
  <c r="F357" i="1"/>
  <c r="E357" i="1"/>
  <c r="D357" i="1"/>
  <c r="C357" i="1"/>
  <c r="B357" i="1"/>
  <c r="A357" i="1"/>
  <c r="P356" i="1"/>
  <c r="N356" i="1"/>
  <c r="M356" i="1"/>
  <c r="L356" i="1"/>
  <c r="O356" i="1" s="1"/>
  <c r="K356" i="1"/>
  <c r="J356" i="1"/>
  <c r="I356" i="1"/>
  <c r="H356" i="1"/>
  <c r="G356" i="1"/>
  <c r="F356" i="1"/>
  <c r="E356" i="1"/>
  <c r="D356" i="1"/>
  <c r="C356" i="1"/>
  <c r="B356" i="1"/>
  <c r="A356" i="1"/>
  <c r="P355" i="1"/>
  <c r="N355" i="1"/>
  <c r="M355" i="1"/>
  <c r="L355" i="1"/>
  <c r="O355" i="1" s="1"/>
  <c r="K355" i="1"/>
  <c r="J355" i="1"/>
  <c r="I355" i="1"/>
  <c r="H355" i="1"/>
  <c r="G355" i="1"/>
  <c r="F355" i="1"/>
  <c r="E355" i="1"/>
  <c r="D355" i="1"/>
  <c r="C355" i="1"/>
  <c r="B355" i="1"/>
  <c r="A355" i="1"/>
  <c r="P354" i="1"/>
  <c r="L354" i="1"/>
  <c r="O354" i="1" s="1"/>
  <c r="K354" i="1"/>
  <c r="J354" i="1"/>
  <c r="I354" i="1"/>
  <c r="H354" i="1"/>
  <c r="G354" i="1"/>
  <c r="F354" i="1"/>
  <c r="E354" i="1"/>
  <c r="D354" i="1"/>
  <c r="C354" i="1"/>
  <c r="B354" i="1"/>
  <c r="A354" i="1"/>
  <c r="P353" i="1"/>
  <c r="N353" i="1"/>
  <c r="M353" i="1"/>
  <c r="L353" i="1"/>
  <c r="O353" i="1" s="1"/>
  <c r="K353" i="1"/>
  <c r="J353" i="1"/>
  <c r="I353" i="1"/>
  <c r="H353" i="1"/>
  <c r="G353" i="1"/>
  <c r="F353" i="1"/>
  <c r="E353" i="1"/>
  <c r="D353" i="1"/>
  <c r="C353" i="1"/>
  <c r="B353" i="1"/>
  <c r="A353" i="1"/>
  <c r="P352" i="1"/>
  <c r="N352" i="1"/>
  <c r="M352" i="1"/>
  <c r="L352" i="1"/>
  <c r="O352" i="1" s="1"/>
  <c r="K352" i="1"/>
  <c r="J352" i="1"/>
  <c r="I352" i="1"/>
  <c r="H352" i="1"/>
  <c r="G352" i="1"/>
  <c r="F352" i="1"/>
  <c r="E352" i="1"/>
  <c r="D352" i="1"/>
  <c r="C352" i="1"/>
  <c r="B352" i="1"/>
  <c r="A352" i="1"/>
  <c r="P351" i="1"/>
  <c r="N351" i="1"/>
  <c r="M351" i="1"/>
  <c r="L351" i="1"/>
  <c r="O351" i="1" s="1"/>
  <c r="K351" i="1"/>
  <c r="J351" i="1"/>
  <c r="I351" i="1"/>
  <c r="H351" i="1"/>
  <c r="G351" i="1"/>
  <c r="F351" i="1"/>
  <c r="E351" i="1"/>
  <c r="D351" i="1"/>
  <c r="C351" i="1"/>
  <c r="B351" i="1"/>
  <c r="A351" i="1"/>
  <c r="P350" i="1"/>
  <c r="N350" i="1"/>
  <c r="M350" i="1"/>
  <c r="L350" i="1"/>
  <c r="O350" i="1" s="1"/>
  <c r="K350" i="1"/>
  <c r="J350" i="1"/>
  <c r="I350" i="1"/>
  <c r="H350" i="1"/>
  <c r="G350" i="1"/>
  <c r="F350" i="1"/>
  <c r="E350" i="1"/>
  <c r="D350" i="1"/>
  <c r="C350" i="1"/>
  <c r="B350" i="1"/>
  <c r="A350" i="1"/>
  <c r="P349" i="1"/>
  <c r="L349" i="1"/>
  <c r="K349" i="1"/>
  <c r="J349" i="1"/>
  <c r="I349" i="1"/>
  <c r="H349" i="1"/>
  <c r="G349" i="1"/>
  <c r="F349" i="1"/>
  <c r="E349" i="1"/>
  <c r="D349" i="1"/>
  <c r="C349" i="1"/>
  <c r="B349" i="1"/>
  <c r="A349" i="1"/>
  <c r="P348" i="1"/>
  <c r="L348" i="1"/>
  <c r="K348" i="1"/>
  <c r="J348" i="1"/>
  <c r="I348" i="1"/>
  <c r="H348" i="1"/>
  <c r="G348" i="1"/>
  <c r="F348" i="1"/>
  <c r="E348" i="1"/>
  <c r="D348" i="1"/>
  <c r="C348" i="1"/>
  <c r="B348" i="1"/>
  <c r="A348" i="1"/>
  <c r="P347" i="1"/>
  <c r="N347" i="1"/>
  <c r="M347" i="1"/>
  <c r="L347" i="1"/>
  <c r="O347" i="1" s="1"/>
  <c r="K347" i="1"/>
  <c r="J347" i="1"/>
  <c r="I347" i="1"/>
  <c r="H347" i="1"/>
  <c r="G347" i="1"/>
  <c r="F347" i="1"/>
  <c r="E347" i="1"/>
  <c r="D347" i="1"/>
  <c r="C347" i="1"/>
  <c r="B347" i="1"/>
  <c r="A347" i="1"/>
  <c r="P346" i="1"/>
  <c r="L346" i="1"/>
  <c r="O346" i="1" s="1"/>
  <c r="K346" i="1"/>
  <c r="J346" i="1"/>
  <c r="I346" i="1"/>
  <c r="H346" i="1"/>
  <c r="G346" i="1"/>
  <c r="F346" i="1"/>
  <c r="E346" i="1"/>
  <c r="D346" i="1"/>
  <c r="C346" i="1"/>
  <c r="B346" i="1"/>
  <c r="A346" i="1"/>
  <c r="P345" i="1"/>
  <c r="N345" i="1"/>
  <c r="M345" i="1"/>
  <c r="L345" i="1"/>
  <c r="O345" i="1" s="1"/>
  <c r="K345" i="1"/>
  <c r="J345" i="1"/>
  <c r="I345" i="1"/>
  <c r="H345" i="1"/>
  <c r="G345" i="1"/>
  <c r="F345" i="1"/>
  <c r="E345" i="1"/>
  <c r="D345" i="1"/>
  <c r="C345" i="1"/>
  <c r="B345" i="1"/>
  <c r="A345" i="1"/>
  <c r="P344" i="1"/>
  <c r="N344" i="1"/>
  <c r="M344" i="1"/>
  <c r="L344" i="1"/>
  <c r="O344" i="1" s="1"/>
  <c r="K344" i="1"/>
  <c r="J344" i="1"/>
  <c r="I344" i="1"/>
  <c r="H344" i="1"/>
  <c r="G344" i="1"/>
  <c r="F344" i="1"/>
  <c r="E344" i="1"/>
  <c r="D344" i="1"/>
  <c r="C344" i="1"/>
  <c r="B344" i="1"/>
  <c r="A344" i="1"/>
  <c r="P343" i="1"/>
  <c r="N343" i="1"/>
  <c r="M343" i="1"/>
  <c r="L343" i="1"/>
  <c r="O343" i="1" s="1"/>
  <c r="K343" i="1"/>
  <c r="J343" i="1"/>
  <c r="I343" i="1"/>
  <c r="H343" i="1"/>
  <c r="G343" i="1"/>
  <c r="F343" i="1"/>
  <c r="E343" i="1"/>
  <c r="D343" i="1"/>
  <c r="C343" i="1"/>
  <c r="B343" i="1"/>
  <c r="A343" i="1"/>
  <c r="P342" i="1"/>
  <c r="N342" i="1"/>
  <c r="M342" i="1"/>
  <c r="L342" i="1"/>
  <c r="O342" i="1" s="1"/>
  <c r="K342" i="1"/>
  <c r="J342" i="1"/>
  <c r="I342" i="1"/>
  <c r="H342" i="1"/>
  <c r="G342" i="1"/>
  <c r="F342" i="1"/>
  <c r="E342" i="1"/>
  <c r="D342" i="1"/>
  <c r="C342" i="1"/>
  <c r="B342" i="1"/>
  <c r="A342" i="1"/>
  <c r="P341" i="1"/>
  <c r="L341" i="1"/>
  <c r="M341" i="1" s="1"/>
  <c r="K341" i="1"/>
  <c r="J341" i="1"/>
  <c r="I341" i="1"/>
  <c r="H341" i="1"/>
  <c r="G341" i="1"/>
  <c r="F341" i="1"/>
  <c r="E341" i="1"/>
  <c r="D341" i="1"/>
  <c r="C341" i="1"/>
  <c r="B341" i="1"/>
  <c r="A341" i="1"/>
  <c r="P340" i="1"/>
  <c r="L340" i="1"/>
  <c r="K340" i="1"/>
  <c r="J340" i="1"/>
  <c r="I340" i="1"/>
  <c r="H340" i="1"/>
  <c r="G340" i="1"/>
  <c r="F340" i="1"/>
  <c r="E340" i="1"/>
  <c r="D340" i="1"/>
  <c r="C340" i="1"/>
  <c r="B340" i="1"/>
  <c r="A340" i="1"/>
  <c r="P339" i="1"/>
  <c r="N339" i="1"/>
  <c r="M339" i="1"/>
  <c r="L339" i="1"/>
  <c r="O339" i="1" s="1"/>
  <c r="K339" i="1"/>
  <c r="J339" i="1"/>
  <c r="I339" i="1"/>
  <c r="H339" i="1"/>
  <c r="G339" i="1"/>
  <c r="F339" i="1"/>
  <c r="E339" i="1"/>
  <c r="D339" i="1"/>
  <c r="C339" i="1"/>
  <c r="B339" i="1"/>
  <c r="A339" i="1"/>
  <c r="P338" i="1"/>
  <c r="L338" i="1"/>
  <c r="O338" i="1" s="1"/>
  <c r="K338" i="1"/>
  <c r="J338" i="1"/>
  <c r="I338" i="1"/>
  <c r="H338" i="1"/>
  <c r="G338" i="1"/>
  <c r="F338" i="1"/>
  <c r="E338" i="1"/>
  <c r="D338" i="1"/>
  <c r="C338" i="1"/>
  <c r="B338" i="1"/>
  <c r="A338" i="1"/>
  <c r="P337" i="1"/>
  <c r="N337" i="1"/>
  <c r="M337" i="1"/>
  <c r="L337" i="1"/>
  <c r="O337" i="1" s="1"/>
  <c r="K337" i="1"/>
  <c r="J337" i="1"/>
  <c r="I337" i="1"/>
  <c r="H337" i="1"/>
  <c r="G337" i="1"/>
  <c r="F337" i="1"/>
  <c r="E337" i="1"/>
  <c r="D337" i="1"/>
  <c r="C337" i="1"/>
  <c r="B337" i="1"/>
  <c r="A337" i="1"/>
  <c r="P336" i="1"/>
  <c r="N336" i="1"/>
  <c r="M336" i="1"/>
  <c r="L336" i="1"/>
  <c r="O336" i="1" s="1"/>
  <c r="K336" i="1"/>
  <c r="J336" i="1"/>
  <c r="I336" i="1"/>
  <c r="H336" i="1"/>
  <c r="G336" i="1"/>
  <c r="F336" i="1"/>
  <c r="E336" i="1"/>
  <c r="D336" i="1"/>
  <c r="C336" i="1"/>
  <c r="B336" i="1"/>
  <c r="A336" i="1"/>
  <c r="P335" i="1"/>
  <c r="N335" i="1"/>
  <c r="M335" i="1"/>
  <c r="L335" i="1"/>
  <c r="O335" i="1" s="1"/>
  <c r="K335" i="1"/>
  <c r="J335" i="1"/>
  <c r="I335" i="1"/>
  <c r="H335" i="1"/>
  <c r="G335" i="1"/>
  <c r="F335" i="1"/>
  <c r="E335" i="1"/>
  <c r="D335" i="1"/>
  <c r="C335" i="1"/>
  <c r="B335" i="1"/>
  <c r="A335" i="1"/>
  <c r="P334" i="1"/>
  <c r="L334" i="1"/>
  <c r="O334" i="1" s="1"/>
  <c r="K334" i="1"/>
  <c r="J334" i="1"/>
  <c r="I334" i="1"/>
  <c r="H334" i="1"/>
  <c r="G334" i="1"/>
  <c r="F334" i="1"/>
  <c r="E334" i="1"/>
  <c r="D334" i="1"/>
  <c r="C334" i="1"/>
  <c r="B334" i="1"/>
  <c r="A334" i="1"/>
  <c r="P333" i="1"/>
  <c r="M333" i="1"/>
  <c r="L333" i="1"/>
  <c r="K333" i="1"/>
  <c r="J333" i="1"/>
  <c r="I333" i="1"/>
  <c r="H333" i="1"/>
  <c r="G333" i="1"/>
  <c r="F333" i="1"/>
  <c r="E333" i="1"/>
  <c r="D333" i="1"/>
  <c r="C333" i="1"/>
  <c r="B333" i="1"/>
  <c r="A333" i="1"/>
  <c r="P332" i="1"/>
  <c r="L332" i="1"/>
  <c r="K332" i="1"/>
  <c r="J332" i="1"/>
  <c r="I332" i="1"/>
  <c r="H332" i="1"/>
  <c r="G332" i="1"/>
  <c r="F332" i="1"/>
  <c r="E332" i="1"/>
  <c r="D332" i="1"/>
  <c r="C332" i="1"/>
  <c r="B332" i="1"/>
  <c r="A332" i="1"/>
  <c r="P331" i="1"/>
  <c r="N331" i="1"/>
  <c r="M331" i="1"/>
  <c r="L331" i="1"/>
  <c r="O331" i="1" s="1"/>
  <c r="K331" i="1"/>
  <c r="J331" i="1"/>
  <c r="I331" i="1"/>
  <c r="H331" i="1"/>
  <c r="G331" i="1"/>
  <c r="F331" i="1"/>
  <c r="E331" i="1"/>
  <c r="D331" i="1"/>
  <c r="C331" i="1"/>
  <c r="B331" i="1"/>
  <c r="A331" i="1"/>
  <c r="P330" i="1"/>
  <c r="L330" i="1"/>
  <c r="O330" i="1" s="1"/>
  <c r="K330" i="1"/>
  <c r="J330" i="1"/>
  <c r="I330" i="1"/>
  <c r="H330" i="1"/>
  <c r="G330" i="1"/>
  <c r="F330" i="1"/>
  <c r="E330" i="1"/>
  <c r="D330" i="1"/>
  <c r="C330" i="1"/>
  <c r="B330" i="1"/>
  <c r="A330" i="1"/>
  <c r="P329" i="1"/>
  <c r="N329" i="1"/>
  <c r="M329" i="1"/>
  <c r="L329" i="1"/>
  <c r="O329" i="1" s="1"/>
  <c r="K329" i="1"/>
  <c r="J329" i="1"/>
  <c r="I329" i="1"/>
  <c r="H329" i="1"/>
  <c r="G329" i="1"/>
  <c r="F329" i="1"/>
  <c r="E329" i="1"/>
  <c r="D329" i="1"/>
  <c r="C329" i="1"/>
  <c r="B329" i="1"/>
  <c r="A329" i="1"/>
  <c r="P328" i="1"/>
  <c r="N328" i="1"/>
  <c r="M328" i="1"/>
  <c r="L328" i="1"/>
  <c r="O328" i="1" s="1"/>
  <c r="K328" i="1"/>
  <c r="J328" i="1"/>
  <c r="I328" i="1"/>
  <c r="H328" i="1"/>
  <c r="G328" i="1"/>
  <c r="F328" i="1"/>
  <c r="E328" i="1"/>
  <c r="D328" i="1"/>
  <c r="C328" i="1"/>
  <c r="B328" i="1"/>
  <c r="A328" i="1"/>
  <c r="P327" i="1"/>
  <c r="N327" i="1"/>
  <c r="M327" i="1"/>
  <c r="L327" i="1"/>
  <c r="O327" i="1" s="1"/>
  <c r="K327" i="1"/>
  <c r="J327" i="1"/>
  <c r="I327" i="1"/>
  <c r="H327" i="1"/>
  <c r="G327" i="1"/>
  <c r="F327" i="1"/>
  <c r="E327" i="1"/>
  <c r="D327" i="1"/>
  <c r="C327" i="1"/>
  <c r="B327" i="1"/>
  <c r="A327" i="1"/>
  <c r="P326" i="1"/>
  <c r="L326" i="1"/>
  <c r="O326" i="1" s="1"/>
  <c r="K326" i="1"/>
  <c r="J326" i="1"/>
  <c r="I326" i="1"/>
  <c r="H326" i="1"/>
  <c r="G326" i="1"/>
  <c r="F326" i="1"/>
  <c r="E326" i="1"/>
  <c r="D326" i="1"/>
  <c r="C326" i="1"/>
  <c r="B326" i="1"/>
  <c r="A326" i="1"/>
  <c r="P325" i="1"/>
  <c r="M325" i="1"/>
  <c r="L325" i="1"/>
  <c r="K325" i="1"/>
  <c r="J325" i="1"/>
  <c r="I325" i="1"/>
  <c r="H325" i="1"/>
  <c r="G325" i="1"/>
  <c r="F325" i="1"/>
  <c r="E325" i="1"/>
  <c r="D325" i="1"/>
  <c r="C325" i="1"/>
  <c r="B325" i="1"/>
  <c r="A325" i="1"/>
  <c r="P324" i="1"/>
  <c r="L324" i="1"/>
  <c r="K324" i="1"/>
  <c r="J324" i="1"/>
  <c r="I324" i="1"/>
  <c r="H324" i="1"/>
  <c r="G324" i="1"/>
  <c r="F324" i="1"/>
  <c r="E324" i="1"/>
  <c r="D324" i="1"/>
  <c r="C324" i="1"/>
  <c r="B324" i="1"/>
  <c r="A324" i="1"/>
  <c r="P323" i="1"/>
  <c r="N323" i="1"/>
  <c r="M323" i="1"/>
  <c r="L323" i="1"/>
  <c r="O323" i="1" s="1"/>
  <c r="K323" i="1"/>
  <c r="J323" i="1"/>
  <c r="I323" i="1"/>
  <c r="H323" i="1"/>
  <c r="G323" i="1"/>
  <c r="F323" i="1"/>
  <c r="E323" i="1"/>
  <c r="D323" i="1"/>
  <c r="C323" i="1"/>
  <c r="B323" i="1"/>
  <c r="A323" i="1"/>
  <c r="P322" i="1"/>
  <c r="L322" i="1"/>
  <c r="O322" i="1" s="1"/>
  <c r="K322" i="1"/>
  <c r="J322" i="1"/>
  <c r="I322" i="1"/>
  <c r="H322" i="1"/>
  <c r="G322" i="1"/>
  <c r="F322" i="1"/>
  <c r="E322" i="1"/>
  <c r="D322" i="1"/>
  <c r="C322" i="1"/>
  <c r="B322" i="1"/>
  <c r="A322" i="1"/>
  <c r="P321" i="1"/>
  <c r="N321" i="1"/>
  <c r="M321" i="1"/>
  <c r="L321" i="1"/>
  <c r="O321" i="1" s="1"/>
  <c r="K321" i="1"/>
  <c r="J321" i="1"/>
  <c r="I321" i="1"/>
  <c r="H321" i="1"/>
  <c r="G321" i="1"/>
  <c r="F321" i="1"/>
  <c r="E321" i="1"/>
  <c r="D321" i="1"/>
  <c r="C321" i="1"/>
  <c r="B321" i="1"/>
  <c r="A321" i="1"/>
  <c r="P320" i="1"/>
  <c r="N320" i="1"/>
  <c r="M320" i="1"/>
  <c r="L320" i="1"/>
  <c r="O320" i="1" s="1"/>
  <c r="K320" i="1"/>
  <c r="J320" i="1"/>
  <c r="I320" i="1"/>
  <c r="H320" i="1"/>
  <c r="G320" i="1"/>
  <c r="F320" i="1"/>
  <c r="E320" i="1"/>
  <c r="D320" i="1"/>
  <c r="C320" i="1"/>
  <c r="B320" i="1"/>
  <c r="A320" i="1"/>
  <c r="P319" i="1"/>
  <c r="N319" i="1"/>
  <c r="M319" i="1"/>
  <c r="L319" i="1"/>
  <c r="O319" i="1" s="1"/>
  <c r="K319" i="1"/>
  <c r="J319" i="1"/>
  <c r="I319" i="1"/>
  <c r="H319" i="1"/>
  <c r="G319" i="1"/>
  <c r="F319" i="1"/>
  <c r="E319" i="1"/>
  <c r="D319" i="1"/>
  <c r="C319" i="1"/>
  <c r="B319" i="1"/>
  <c r="A319" i="1"/>
  <c r="P318" i="1"/>
  <c r="L318" i="1"/>
  <c r="O318" i="1" s="1"/>
  <c r="K318" i="1"/>
  <c r="J318" i="1"/>
  <c r="I318" i="1"/>
  <c r="H318" i="1"/>
  <c r="G318" i="1"/>
  <c r="F318" i="1"/>
  <c r="E318" i="1"/>
  <c r="D318" i="1"/>
  <c r="C318" i="1"/>
  <c r="B318" i="1"/>
  <c r="A318" i="1"/>
  <c r="P317" i="1"/>
  <c r="M317" i="1"/>
  <c r="L317" i="1"/>
  <c r="K317" i="1"/>
  <c r="J317" i="1"/>
  <c r="I317" i="1"/>
  <c r="H317" i="1"/>
  <c r="G317" i="1"/>
  <c r="F317" i="1"/>
  <c r="E317" i="1"/>
  <c r="D317" i="1"/>
  <c r="C317" i="1"/>
  <c r="B317" i="1"/>
  <c r="A317" i="1"/>
  <c r="P316" i="1"/>
  <c r="L316" i="1"/>
  <c r="K316" i="1"/>
  <c r="J316" i="1"/>
  <c r="I316" i="1"/>
  <c r="H316" i="1"/>
  <c r="G316" i="1"/>
  <c r="F316" i="1"/>
  <c r="E316" i="1"/>
  <c r="D316" i="1"/>
  <c r="C316" i="1"/>
  <c r="B316" i="1"/>
  <c r="A316" i="1"/>
  <c r="P315" i="1"/>
  <c r="N315" i="1"/>
  <c r="M315" i="1"/>
  <c r="L315" i="1"/>
  <c r="O315" i="1" s="1"/>
  <c r="K315" i="1"/>
  <c r="J315" i="1"/>
  <c r="I315" i="1"/>
  <c r="H315" i="1"/>
  <c r="G315" i="1"/>
  <c r="F315" i="1"/>
  <c r="E315" i="1"/>
  <c r="D315" i="1"/>
  <c r="C315" i="1"/>
  <c r="B315" i="1"/>
  <c r="A315" i="1"/>
  <c r="P314" i="1"/>
  <c r="L314" i="1"/>
  <c r="O314" i="1" s="1"/>
  <c r="K314" i="1"/>
  <c r="J314" i="1"/>
  <c r="I314" i="1"/>
  <c r="H314" i="1"/>
  <c r="G314" i="1"/>
  <c r="F314" i="1"/>
  <c r="E314" i="1"/>
  <c r="D314" i="1"/>
  <c r="C314" i="1"/>
  <c r="B314" i="1"/>
  <c r="A314" i="1"/>
  <c r="P313" i="1"/>
  <c r="N313" i="1"/>
  <c r="M313" i="1"/>
  <c r="L313" i="1"/>
  <c r="O313" i="1" s="1"/>
  <c r="K313" i="1"/>
  <c r="J313" i="1"/>
  <c r="I313" i="1"/>
  <c r="H313" i="1"/>
  <c r="G313" i="1"/>
  <c r="F313" i="1"/>
  <c r="E313" i="1"/>
  <c r="D313" i="1"/>
  <c r="C313" i="1"/>
  <c r="B313" i="1"/>
  <c r="A313" i="1"/>
  <c r="P312" i="1"/>
  <c r="N312" i="1"/>
  <c r="M312" i="1"/>
  <c r="L312" i="1"/>
  <c r="O312" i="1" s="1"/>
  <c r="K312" i="1"/>
  <c r="J312" i="1"/>
  <c r="I312" i="1"/>
  <c r="H312" i="1"/>
  <c r="G312" i="1"/>
  <c r="F312" i="1"/>
  <c r="E312" i="1"/>
  <c r="D312" i="1"/>
  <c r="C312" i="1"/>
  <c r="B312" i="1"/>
  <c r="A312" i="1"/>
  <c r="P311" i="1"/>
  <c r="N311" i="1"/>
  <c r="M311" i="1"/>
  <c r="L311" i="1"/>
  <c r="O311" i="1" s="1"/>
  <c r="K311" i="1"/>
  <c r="J311" i="1"/>
  <c r="I311" i="1"/>
  <c r="H311" i="1"/>
  <c r="G311" i="1"/>
  <c r="F311" i="1"/>
  <c r="E311" i="1"/>
  <c r="D311" i="1"/>
  <c r="C311" i="1"/>
  <c r="B311" i="1"/>
  <c r="A311" i="1"/>
  <c r="P310" i="1"/>
  <c r="L310" i="1"/>
  <c r="O310" i="1" s="1"/>
  <c r="K310" i="1"/>
  <c r="J310" i="1"/>
  <c r="I310" i="1"/>
  <c r="H310" i="1"/>
  <c r="G310" i="1"/>
  <c r="F310" i="1"/>
  <c r="E310" i="1"/>
  <c r="D310" i="1"/>
  <c r="C310" i="1"/>
  <c r="B310" i="1"/>
  <c r="A310" i="1"/>
  <c r="P309" i="1"/>
  <c r="M309" i="1"/>
  <c r="L309" i="1"/>
  <c r="K309" i="1"/>
  <c r="J309" i="1"/>
  <c r="I309" i="1"/>
  <c r="H309" i="1"/>
  <c r="G309" i="1"/>
  <c r="F309" i="1"/>
  <c r="E309" i="1"/>
  <c r="D309" i="1"/>
  <c r="C309" i="1"/>
  <c r="B309" i="1"/>
  <c r="A309" i="1"/>
  <c r="P308" i="1"/>
  <c r="L308" i="1"/>
  <c r="K308" i="1"/>
  <c r="J308" i="1"/>
  <c r="I308" i="1"/>
  <c r="H308" i="1"/>
  <c r="G308" i="1"/>
  <c r="F308" i="1"/>
  <c r="E308" i="1"/>
  <c r="D308" i="1"/>
  <c r="C308" i="1"/>
  <c r="B308" i="1"/>
  <c r="A308" i="1"/>
  <c r="P307" i="1"/>
  <c r="N307" i="1"/>
  <c r="M307" i="1"/>
  <c r="L307" i="1"/>
  <c r="O307" i="1" s="1"/>
  <c r="K307" i="1"/>
  <c r="J307" i="1"/>
  <c r="I307" i="1"/>
  <c r="H307" i="1"/>
  <c r="G307" i="1"/>
  <c r="F307" i="1"/>
  <c r="E307" i="1"/>
  <c r="D307" i="1"/>
  <c r="C307" i="1"/>
  <c r="B307" i="1"/>
  <c r="A307" i="1"/>
  <c r="P306" i="1"/>
  <c r="L306" i="1"/>
  <c r="O306" i="1" s="1"/>
  <c r="K306" i="1"/>
  <c r="J306" i="1"/>
  <c r="I306" i="1"/>
  <c r="H306" i="1"/>
  <c r="G306" i="1"/>
  <c r="F306" i="1"/>
  <c r="E306" i="1"/>
  <c r="D306" i="1"/>
  <c r="C306" i="1"/>
  <c r="B306" i="1"/>
  <c r="A306" i="1"/>
  <c r="P305" i="1"/>
  <c r="N305" i="1"/>
  <c r="M305" i="1"/>
  <c r="L305" i="1"/>
  <c r="O305" i="1" s="1"/>
  <c r="K305" i="1"/>
  <c r="J305" i="1"/>
  <c r="I305" i="1"/>
  <c r="H305" i="1"/>
  <c r="G305" i="1"/>
  <c r="F305" i="1"/>
  <c r="E305" i="1"/>
  <c r="D305" i="1"/>
  <c r="C305" i="1"/>
  <c r="B305" i="1"/>
  <c r="A305" i="1"/>
  <c r="P304" i="1"/>
  <c r="N304" i="1"/>
  <c r="M304" i="1"/>
  <c r="L304" i="1"/>
  <c r="O304" i="1" s="1"/>
  <c r="K304" i="1"/>
  <c r="J304" i="1"/>
  <c r="I304" i="1"/>
  <c r="H304" i="1"/>
  <c r="G304" i="1"/>
  <c r="F304" i="1"/>
  <c r="E304" i="1"/>
  <c r="D304" i="1"/>
  <c r="C304" i="1"/>
  <c r="B304" i="1"/>
  <c r="A304" i="1"/>
  <c r="P303" i="1"/>
  <c r="N303" i="1"/>
  <c r="M303" i="1"/>
  <c r="L303" i="1"/>
  <c r="O303" i="1" s="1"/>
  <c r="K303" i="1"/>
  <c r="J303" i="1"/>
  <c r="I303" i="1"/>
  <c r="H303" i="1"/>
  <c r="G303" i="1"/>
  <c r="F303" i="1"/>
  <c r="E303" i="1"/>
  <c r="D303" i="1"/>
  <c r="C303" i="1"/>
  <c r="B303" i="1"/>
  <c r="A303" i="1"/>
  <c r="P302" i="1"/>
  <c r="N302" i="1"/>
  <c r="M302" i="1"/>
  <c r="L302" i="1"/>
  <c r="O302" i="1" s="1"/>
  <c r="K302" i="1"/>
  <c r="J302" i="1"/>
  <c r="I302" i="1"/>
  <c r="H302" i="1"/>
  <c r="G302" i="1"/>
  <c r="F302" i="1"/>
  <c r="E302" i="1"/>
  <c r="D302" i="1"/>
  <c r="C302" i="1"/>
  <c r="B302" i="1"/>
  <c r="A302" i="1"/>
  <c r="P301" i="1"/>
  <c r="L301" i="1"/>
  <c r="K301" i="1"/>
  <c r="J301" i="1"/>
  <c r="I301" i="1"/>
  <c r="H301" i="1"/>
  <c r="G301" i="1"/>
  <c r="F301" i="1"/>
  <c r="E301" i="1"/>
  <c r="D301" i="1"/>
  <c r="C301" i="1"/>
  <c r="B301" i="1"/>
  <c r="A301" i="1"/>
  <c r="P300" i="1"/>
  <c r="L300" i="1"/>
  <c r="K300" i="1"/>
  <c r="J300" i="1"/>
  <c r="I300" i="1"/>
  <c r="H300" i="1"/>
  <c r="G300" i="1"/>
  <c r="F300" i="1"/>
  <c r="E300" i="1"/>
  <c r="D300" i="1"/>
  <c r="C300" i="1"/>
  <c r="B300" i="1"/>
  <c r="A300" i="1"/>
  <c r="P299" i="1"/>
  <c r="N299" i="1"/>
  <c r="M299" i="1"/>
  <c r="L299" i="1"/>
  <c r="O299" i="1" s="1"/>
  <c r="K299" i="1"/>
  <c r="J299" i="1"/>
  <c r="I299" i="1"/>
  <c r="H299" i="1"/>
  <c r="G299" i="1"/>
  <c r="F299" i="1"/>
  <c r="E299" i="1"/>
  <c r="D299" i="1"/>
  <c r="C299" i="1"/>
  <c r="B299" i="1"/>
  <c r="A299" i="1"/>
  <c r="P298" i="1"/>
  <c r="L298" i="1"/>
  <c r="O298" i="1" s="1"/>
  <c r="K298" i="1"/>
  <c r="J298" i="1"/>
  <c r="I298" i="1"/>
  <c r="H298" i="1"/>
  <c r="G298" i="1"/>
  <c r="F298" i="1"/>
  <c r="E298" i="1"/>
  <c r="D298" i="1"/>
  <c r="C298" i="1"/>
  <c r="B298" i="1"/>
  <c r="A298" i="1"/>
  <c r="P297" i="1"/>
  <c r="N297" i="1"/>
  <c r="M297" i="1"/>
  <c r="L297" i="1"/>
  <c r="O297" i="1" s="1"/>
  <c r="K297" i="1"/>
  <c r="J297" i="1"/>
  <c r="I297" i="1"/>
  <c r="H297" i="1"/>
  <c r="G297" i="1"/>
  <c r="F297" i="1"/>
  <c r="E297" i="1"/>
  <c r="D297" i="1"/>
  <c r="C297" i="1"/>
  <c r="B297" i="1"/>
  <c r="A297" i="1"/>
  <c r="P296" i="1"/>
  <c r="N296" i="1"/>
  <c r="M296" i="1"/>
  <c r="L296" i="1"/>
  <c r="O296" i="1" s="1"/>
  <c r="K296" i="1"/>
  <c r="J296" i="1"/>
  <c r="I296" i="1"/>
  <c r="H296" i="1"/>
  <c r="G296" i="1"/>
  <c r="F296" i="1"/>
  <c r="E296" i="1"/>
  <c r="D296" i="1"/>
  <c r="C296" i="1"/>
  <c r="B296" i="1"/>
  <c r="A296" i="1"/>
  <c r="P295" i="1"/>
  <c r="N295" i="1"/>
  <c r="M295" i="1"/>
  <c r="L295" i="1"/>
  <c r="O295" i="1" s="1"/>
  <c r="K295" i="1"/>
  <c r="J295" i="1"/>
  <c r="I295" i="1"/>
  <c r="H295" i="1"/>
  <c r="G295" i="1"/>
  <c r="F295" i="1"/>
  <c r="E295" i="1"/>
  <c r="D295" i="1"/>
  <c r="C295" i="1"/>
  <c r="B295" i="1"/>
  <c r="A295" i="1"/>
  <c r="P294" i="1"/>
  <c r="L294" i="1"/>
  <c r="O294" i="1" s="1"/>
  <c r="K294" i="1"/>
  <c r="J294" i="1"/>
  <c r="I294" i="1"/>
  <c r="H294" i="1"/>
  <c r="G294" i="1"/>
  <c r="F294" i="1"/>
  <c r="E294" i="1"/>
  <c r="D294" i="1"/>
  <c r="C294" i="1"/>
  <c r="B294" i="1"/>
  <c r="A294" i="1"/>
  <c r="P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A293" i="1"/>
  <c r="P292" i="1"/>
  <c r="L292" i="1"/>
  <c r="K292" i="1"/>
  <c r="J292" i="1"/>
  <c r="I292" i="1"/>
  <c r="H292" i="1"/>
  <c r="G292" i="1"/>
  <c r="F292" i="1"/>
  <c r="E292" i="1"/>
  <c r="D292" i="1"/>
  <c r="C292" i="1"/>
  <c r="B292" i="1"/>
  <c r="A292" i="1"/>
  <c r="P291" i="1"/>
  <c r="N291" i="1"/>
  <c r="M291" i="1"/>
  <c r="L291" i="1"/>
  <c r="O291" i="1" s="1"/>
  <c r="K291" i="1"/>
  <c r="J291" i="1"/>
  <c r="I291" i="1"/>
  <c r="H291" i="1"/>
  <c r="G291" i="1"/>
  <c r="F291" i="1"/>
  <c r="E291" i="1"/>
  <c r="D291" i="1"/>
  <c r="C291" i="1"/>
  <c r="B291" i="1"/>
  <c r="A291" i="1"/>
  <c r="P290" i="1"/>
  <c r="L290" i="1"/>
  <c r="O290" i="1" s="1"/>
  <c r="K290" i="1"/>
  <c r="J290" i="1"/>
  <c r="I290" i="1"/>
  <c r="H290" i="1"/>
  <c r="G290" i="1"/>
  <c r="F290" i="1"/>
  <c r="E290" i="1"/>
  <c r="D290" i="1"/>
  <c r="C290" i="1"/>
  <c r="B290" i="1"/>
  <c r="A290" i="1"/>
  <c r="P289" i="1"/>
  <c r="N289" i="1"/>
  <c r="M289" i="1"/>
  <c r="L289" i="1"/>
  <c r="O289" i="1" s="1"/>
  <c r="K289" i="1"/>
  <c r="J289" i="1"/>
  <c r="I289" i="1"/>
  <c r="H289" i="1"/>
  <c r="G289" i="1"/>
  <c r="F289" i="1"/>
  <c r="E289" i="1"/>
  <c r="D289" i="1"/>
  <c r="C289" i="1"/>
  <c r="B289" i="1"/>
  <c r="A289" i="1"/>
  <c r="P288" i="1"/>
  <c r="N288" i="1"/>
  <c r="M288" i="1"/>
  <c r="L288" i="1"/>
  <c r="O288" i="1" s="1"/>
  <c r="K288" i="1"/>
  <c r="J288" i="1"/>
  <c r="I288" i="1"/>
  <c r="H288" i="1"/>
  <c r="G288" i="1"/>
  <c r="F288" i="1"/>
  <c r="E288" i="1"/>
  <c r="D288" i="1"/>
  <c r="C288" i="1"/>
  <c r="B288" i="1"/>
  <c r="A288" i="1"/>
  <c r="P287" i="1"/>
  <c r="N287" i="1"/>
  <c r="M287" i="1"/>
  <c r="L287" i="1"/>
  <c r="O287" i="1" s="1"/>
  <c r="K287" i="1"/>
  <c r="J287" i="1"/>
  <c r="I287" i="1"/>
  <c r="H287" i="1"/>
  <c r="G287" i="1"/>
  <c r="F287" i="1"/>
  <c r="E287" i="1"/>
  <c r="D287" i="1"/>
  <c r="C287" i="1"/>
  <c r="B287" i="1"/>
  <c r="A287" i="1"/>
  <c r="P286" i="1"/>
  <c r="L286" i="1"/>
  <c r="O286" i="1" s="1"/>
  <c r="K286" i="1"/>
  <c r="J286" i="1"/>
  <c r="I286" i="1"/>
  <c r="H286" i="1"/>
  <c r="G286" i="1"/>
  <c r="F286" i="1"/>
  <c r="E286" i="1"/>
  <c r="D286" i="1"/>
  <c r="C286" i="1"/>
  <c r="B286" i="1"/>
  <c r="A286" i="1"/>
  <c r="P285" i="1"/>
  <c r="L285" i="1"/>
  <c r="K285" i="1"/>
  <c r="J285" i="1"/>
  <c r="I285" i="1"/>
  <c r="H285" i="1"/>
  <c r="G285" i="1"/>
  <c r="F285" i="1"/>
  <c r="E285" i="1"/>
  <c r="D285" i="1"/>
  <c r="C285" i="1"/>
  <c r="B285" i="1"/>
  <c r="A285" i="1"/>
  <c r="P284" i="1"/>
  <c r="L284" i="1"/>
  <c r="K284" i="1"/>
  <c r="J284" i="1"/>
  <c r="I284" i="1"/>
  <c r="H284" i="1"/>
  <c r="G284" i="1"/>
  <c r="F284" i="1"/>
  <c r="E284" i="1"/>
  <c r="D284" i="1"/>
  <c r="C284" i="1"/>
  <c r="B284" i="1"/>
  <c r="A284" i="1"/>
  <c r="P283" i="1"/>
  <c r="N283" i="1"/>
  <c r="M283" i="1"/>
  <c r="L283" i="1"/>
  <c r="O283" i="1" s="1"/>
  <c r="K283" i="1"/>
  <c r="J283" i="1"/>
  <c r="I283" i="1"/>
  <c r="H283" i="1"/>
  <c r="G283" i="1"/>
  <c r="F283" i="1"/>
  <c r="E283" i="1"/>
  <c r="D283" i="1"/>
  <c r="C283" i="1"/>
  <c r="B283" i="1"/>
  <c r="A283" i="1"/>
  <c r="P282" i="1"/>
  <c r="L282" i="1"/>
  <c r="O282" i="1" s="1"/>
  <c r="K282" i="1"/>
  <c r="J282" i="1"/>
  <c r="I282" i="1"/>
  <c r="H282" i="1"/>
  <c r="G282" i="1"/>
  <c r="F282" i="1"/>
  <c r="E282" i="1"/>
  <c r="D282" i="1"/>
  <c r="C282" i="1"/>
  <c r="B282" i="1"/>
  <c r="A282" i="1"/>
  <c r="P281" i="1"/>
  <c r="N281" i="1"/>
  <c r="M281" i="1"/>
  <c r="L281" i="1"/>
  <c r="O281" i="1" s="1"/>
  <c r="K281" i="1"/>
  <c r="J281" i="1"/>
  <c r="I281" i="1"/>
  <c r="H281" i="1"/>
  <c r="G281" i="1"/>
  <c r="F281" i="1"/>
  <c r="E281" i="1"/>
  <c r="D281" i="1"/>
  <c r="C281" i="1"/>
  <c r="B281" i="1"/>
  <c r="A281" i="1"/>
  <c r="P280" i="1"/>
  <c r="N280" i="1"/>
  <c r="M280" i="1"/>
  <c r="L280" i="1"/>
  <c r="O280" i="1" s="1"/>
  <c r="K280" i="1"/>
  <c r="J280" i="1"/>
  <c r="I280" i="1"/>
  <c r="H280" i="1"/>
  <c r="G280" i="1"/>
  <c r="F280" i="1"/>
  <c r="E280" i="1"/>
  <c r="D280" i="1"/>
  <c r="C280" i="1"/>
  <c r="B280" i="1"/>
  <c r="A280" i="1"/>
  <c r="P279" i="1"/>
  <c r="N279" i="1"/>
  <c r="M279" i="1"/>
  <c r="L279" i="1"/>
  <c r="O279" i="1" s="1"/>
  <c r="K279" i="1"/>
  <c r="J279" i="1"/>
  <c r="I279" i="1"/>
  <c r="H279" i="1"/>
  <c r="G279" i="1"/>
  <c r="F279" i="1"/>
  <c r="E279" i="1"/>
  <c r="D279" i="1"/>
  <c r="C279" i="1"/>
  <c r="B279" i="1"/>
  <c r="A279" i="1"/>
  <c r="P278" i="1"/>
  <c r="N278" i="1"/>
  <c r="L278" i="1"/>
  <c r="O278" i="1" s="1"/>
  <c r="K278" i="1"/>
  <c r="J278" i="1"/>
  <c r="I278" i="1"/>
  <c r="H278" i="1"/>
  <c r="G278" i="1"/>
  <c r="F278" i="1"/>
  <c r="E278" i="1"/>
  <c r="D278" i="1"/>
  <c r="C278" i="1"/>
  <c r="B278" i="1"/>
  <c r="A278" i="1"/>
  <c r="P277" i="1"/>
  <c r="L277" i="1"/>
  <c r="K277" i="1"/>
  <c r="J277" i="1"/>
  <c r="I277" i="1"/>
  <c r="H277" i="1"/>
  <c r="G277" i="1"/>
  <c r="F277" i="1"/>
  <c r="E277" i="1"/>
  <c r="D277" i="1"/>
  <c r="C277" i="1"/>
  <c r="B277" i="1"/>
  <c r="A277" i="1"/>
  <c r="P276" i="1"/>
  <c r="L276" i="1"/>
  <c r="K276" i="1"/>
  <c r="J276" i="1"/>
  <c r="I276" i="1"/>
  <c r="H276" i="1"/>
  <c r="G276" i="1"/>
  <c r="F276" i="1"/>
  <c r="E276" i="1"/>
  <c r="D276" i="1"/>
  <c r="C276" i="1"/>
  <c r="B276" i="1"/>
  <c r="A276" i="1"/>
  <c r="P275" i="1"/>
  <c r="N275" i="1"/>
  <c r="M275" i="1"/>
  <c r="L275" i="1"/>
  <c r="O275" i="1" s="1"/>
  <c r="K275" i="1"/>
  <c r="J275" i="1"/>
  <c r="I275" i="1"/>
  <c r="H275" i="1"/>
  <c r="G275" i="1"/>
  <c r="F275" i="1"/>
  <c r="E275" i="1"/>
  <c r="D275" i="1"/>
  <c r="C275" i="1"/>
  <c r="B275" i="1"/>
  <c r="A275" i="1"/>
  <c r="P274" i="1"/>
  <c r="L274" i="1"/>
  <c r="O274" i="1" s="1"/>
  <c r="K274" i="1"/>
  <c r="J274" i="1"/>
  <c r="I274" i="1"/>
  <c r="H274" i="1"/>
  <c r="G274" i="1"/>
  <c r="F274" i="1"/>
  <c r="E274" i="1"/>
  <c r="D274" i="1"/>
  <c r="C274" i="1"/>
  <c r="B274" i="1"/>
  <c r="A274" i="1"/>
  <c r="P273" i="1"/>
  <c r="N273" i="1"/>
  <c r="M273" i="1"/>
  <c r="L273" i="1"/>
  <c r="O273" i="1" s="1"/>
  <c r="K273" i="1"/>
  <c r="J273" i="1"/>
  <c r="I273" i="1"/>
  <c r="H273" i="1"/>
  <c r="G273" i="1"/>
  <c r="F273" i="1"/>
  <c r="E273" i="1"/>
  <c r="D273" i="1"/>
  <c r="C273" i="1"/>
  <c r="B273" i="1"/>
  <c r="A273" i="1"/>
  <c r="P272" i="1"/>
  <c r="N272" i="1"/>
  <c r="M272" i="1"/>
  <c r="L272" i="1"/>
  <c r="O272" i="1" s="1"/>
  <c r="K272" i="1"/>
  <c r="J272" i="1"/>
  <c r="I272" i="1"/>
  <c r="H272" i="1"/>
  <c r="G272" i="1"/>
  <c r="F272" i="1"/>
  <c r="E272" i="1"/>
  <c r="D272" i="1"/>
  <c r="C272" i="1"/>
  <c r="B272" i="1"/>
  <c r="A272" i="1"/>
  <c r="P271" i="1"/>
  <c r="N271" i="1"/>
  <c r="M271" i="1"/>
  <c r="L271" i="1"/>
  <c r="O271" i="1" s="1"/>
  <c r="K271" i="1"/>
  <c r="J271" i="1"/>
  <c r="I271" i="1"/>
  <c r="H271" i="1"/>
  <c r="G271" i="1"/>
  <c r="F271" i="1"/>
  <c r="E271" i="1"/>
  <c r="D271" i="1"/>
  <c r="C271" i="1"/>
  <c r="B271" i="1"/>
  <c r="A271" i="1"/>
  <c r="P270" i="1"/>
  <c r="L270" i="1"/>
  <c r="O270" i="1" s="1"/>
  <c r="K270" i="1"/>
  <c r="J270" i="1"/>
  <c r="I270" i="1"/>
  <c r="H270" i="1"/>
  <c r="G270" i="1"/>
  <c r="F270" i="1"/>
  <c r="E270" i="1"/>
  <c r="D270" i="1"/>
  <c r="C270" i="1"/>
  <c r="B270" i="1"/>
  <c r="A270" i="1"/>
  <c r="P269" i="1"/>
  <c r="M269" i="1"/>
  <c r="L269" i="1"/>
  <c r="K269" i="1"/>
  <c r="J269" i="1"/>
  <c r="I269" i="1"/>
  <c r="H269" i="1"/>
  <c r="G269" i="1"/>
  <c r="F269" i="1"/>
  <c r="E269" i="1"/>
  <c r="D269" i="1"/>
  <c r="C269" i="1"/>
  <c r="B269" i="1"/>
  <c r="A269" i="1"/>
  <c r="P268" i="1"/>
  <c r="L268" i="1"/>
  <c r="K268" i="1"/>
  <c r="J268" i="1"/>
  <c r="I268" i="1"/>
  <c r="H268" i="1"/>
  <c r="G268" i="1"/>
  <c r="F268" i="1"/>
  <c r="E268" i="1"/>
  <c r="D268" i="1"/>
  <c r="C268" i="1"/>
  <c r="B268" i="1"/>
  <c r="A268" i="1"/>
  <c r="P267" i="1"/>
  <c r="N267" i="1"/>
  <c r="M267" i="1"/>
  <c r="L267" i="1"/>
  <c r="O267" i="1" s="1"/>
  <c r="K267" i="1"/>
  <c r="J267" i="1"/>
  <c r="I267" i="1"/>
  <c r="H267" i="1"/>
  <c r="G267" i="1"/>
  <c r="F267" i="1"/>
  <c r="E267" i="1"/>
  <c r="D267" i="1"/>
  <c r="C267" i="1"/>
  <c r="B267" i="1"/>
  <c r="A267" i="1"/>
  <c r="P266" i="1"/>
  <c r="L266" i="1"/>
  <c r="O266" i="1" s="1"/>
  <c r="K266" i="1"/>
  <c r="J266" i="1"/>
  <c r="I266" i="1"/>
  <c r="H266" i="1"/>
  <c r="G266" i="1"/>
  <c r="F266" i="1"/>
  <c r="E266" i="1"/>
  <c r="D266" i="1"/>
  <c r="C266" i="1"/>
  <c r="B266" i="1"/>
  <c r="A266" i="1"/>
  <c r="P265" i="1"/>
  <c r="N265" i="1"/>
  <c r="M265" i="1"/>
  <c r="L265" i="1"/>
  <c r="O265" i="1" s="1"/>
  <c r="K265" i="1"/>
  <c r="J265" i="1"/>
  <c r="I265" i="1"/>
  <c r="H265" i="1"/>
  <c r="G265" i="1"/>
  <c r="F265" i="1"/>
  <c r="E265" i="1"/>
  <c r="D265" i="1"/>
  <c r="C265" i="1"/>
  <c r="B265" i="1"/>
  <c r="A265" i="1"/>
  <c r="P264" i="1"/>
  <c r="N264" i="1"/>
  <c r="M264" i="1"/>
  <c r="L264" i="1"/>
  <c r="O264" i="1" s="1"/>
  <c r="K264" i="1"/>
  <c r="J264" i="1"/>
  <c r="I264" i="1"/>
  <c r="H264" i="1"/>
  <c r="G264" i="1"/>
  <c r="F264" i="1"/>
  <c r="E264" i="1"/>
  <c r="D264" i="1"/>
  <c r="C264" i="1"/>
  <c r="B264" i="1"/>
  <c r="A264" i="1"/>
  <c r="P263" i="1"/>
  <c r="N263" i="1"/>
  <c r="M263" i="1"/>
  <c r="L263" i="1"/>
  <c r="O263" i="1" s="1"/>
  <c r="K263" i="1"/>
  <c r="J263" i="1"/>
  <c r="I263" i="1"/>
  <c r="H263" i="1"/>
  <c r="G263" i="1"/>
  <c r="F263" i="1"/>
  <c r="E263" i="1"/>
  <c r="D263" i="1"/>
  <c r="C263" i="1"/>
  <c r="B263" i="1"/>
  <c r="A263" i="1"/>
  <c r="P262" i="1"/>
  <c r="L262" i="1"/>
  <c r="O262" i="1" s="1"/>
  <c r="K262" i="1"/>
  <c r="J262" i="1"/>
  <c r="I262" i="1"/>
  <c r="H262" i="1"/>
  <c r="G262" i="1"/>
  <c r="F262" i="1"/>
  <c r="E262" i="1"/>
  <c r="D262" i="1"/>
  <c r="C262" i="1"/>
  <c r="B262" i="1"/>
  <c r="A262" i="1"/>
  <c r="P261" i="1"/>
  <c r="M261" i="1"/>
  <c r="L261" i="1"/>
  <c r="K261" i="1"/>
  <c r="J261" i="1"/>
  <c r="I261" i="1"/>
  <c r="H261" i="1"/>
  <c r="G261" i="1"/>
  <c r="F261" i="1"/>
  <c r="E261" i="1"/>
  <c r="D261" i="1"/>
  <c r="C261" i="1"/>
  <c r="B261" i="1"/>
  <c r="A261" i="1"/>
  <c r="P260" i="1"/>
  <c r="L260" i="1"/>
  <c r="K260" i="1"/>
  <c r="J260" i="1"/>
  <c r="I260" i="1"/>
  <c r="H260" i="1"/>
  <c r="G260" i="1"/>
  <c r="F260" i="1"/>
  <c r="E260" i="1"/>
  <c r="D260" i="1"/>
  <c r="C260" i="1"/>
  <c r="B260" i="1"/>
  <c r="A260" i="1"/>
  <c r="P259" i="1"/>
  <c r="N259" i="1"/>
  <c r="M259" i="1"/>
  <c r="L259" i="1"/>
  <c r="O259" i="1" s="1"/>
  <c r="K259" i="1"/>
  <c r="J259" i="1"/>
  <c r="I259" i="1"/>
  <c r="H259" i="1"/>
  <c r="G259" i="1"/>
  <c r="F259" i="1"/>
  <c r="E259" i="1"/>
  <c r="D259" i="1"/>
  <c r="C259" i="1"/>
  <c r="B259" i="1"/>
  <c r="A259" i="1"/>
  <c r="P258" i="1"/>
  <c r="L258" i="1"/>
  <c r="O258" i="1" s="1"/>
  <c r="K258" i="1"/>
  <c r="J258" i="1"/>
  <c r="I258" i="1"/>
  <c r="H258" i="1"/>
  <c r="G258" i="1"/>
  <c r="F258" i="1"/>
  <c r="E258" i="1"/>
  <c r="D258" i="1"/>
  <c r="C258" i="1"/>
  <c r="B258" i="1"/>
  <c r="A258" i="1"/>
  <c r="P257" i="1"/>
  <c r="N257" i="1"/>
  <c r="M257" i="1"/>
  <c r="L257" i="1"/>
  <c r="O257" i="1" s="1"/>
  <c r="K257" i="1"/>
  <c r="J257" i="1"/>
  <c r="I257" i="1"/>
  <c r="H257" i="1"/>
  <c r="G257" i="1"/>
  <c r="F257" i="1"/>
  <c r="E257" i="1"/>
  <c r="D257" i="1"/>
  <c r="C257" i="1"/>
  <c r="B257" i="1"/>
  <c r="A257" i="1"/>
  <c r="P256" i="1"/>
  <c r="N256" i="1"/>
  <c r="M256" i="1"/>
  <c r="L256" i="1"/>
  <c r="O256" i="1" s="1"/>
  <c r="K256" i="1"/>
  <c r="J256" i="1"/>
  <c r="I256" i="1"/>
  <c r="H256" i="1"/>
  <c r="G256" i="1"/>
  <c r="F256" i="1"/>
  <c r="E256" i="1"/>
  <c r="D256" i="1"/>
  <c r="C256" i="1"/>
  <c r="B256" i="1"/>
  <c r="A256" i="1"/>
  <c r="P255" i="1"/>
  <c r="N255" i="1"/>
  <c r="M255" i="1"/>
  <c r="L255" i="1"/>
  <c r="O255" i="1" s="1"/>
  <c r="K255" i="1"/>
  <c r="J255" i="1"/>
  <c r="I255" i="1"/>
  <c r="H255" i="1"/>
  <c r="G255" i="1"/>
  <c r="F255" i="1"/>
  <c r="E255" i="1"/>
  <c r="D255" i="1"/>
  <c r="C255" i="1"/>
  <c r="B255" i="1"/>
  <c r="A255" i="1"/>
  <c r="P254" i="1"/>
  <c r="L254" i="1"/>
  <c r="O254" i="1" s="1"/>
  <c r="K254" i="1"/>
  <c r="J254" i="1"/>
  <c r="I254" i="1"/>
  <c r="H254" i="1"/>
  <c r="G254" i="1"/>
  <c r="F254" i="1"/>
  <c r="E254" i="1"/>
  <c r="D254" i="1"/>
  <c r="C254" i="1"/>
  <c r="B254" i="1"/>
  <c r="A254" i="1"/>
  <c r="P253" i="1"/>
  <c r="M253" i="1"/>
  <c r="L253" i="1"/>
  <c r="K253" i="1"/>
  <c r="J253" i="1"/>
  <c r="I253" i="1"/>
  <c r="H253" i="1"/>
  <c r="G253" i="1"/>
  <c r="F253" i="1"/>
  <c r="E253" i="1"/>
  <c r="D253" i="1"/>
  <c r="C253" i="1"/>
  <c r="B253" i="1"/>
  <c r="A253" i="1"/>
  <c r="P252" i="1"/>
  <c r="L252" i="1"/>
  <c r="K252" i="1"/>
  <c r="J252" i="1"/>
  <c r="I252" i="1"/>
  <c r="H252" i="1"/>
  <c r="G252" i="1"/>
  <c r="F252" i="1"/>
  <c r="E252" i="1"/>
  <c r="D252" i="1"/>
  <c r="C252" i="1"/>
  <c r="B252" i="1"/>
  <c r="A252" i="1"/>
  <c r="P251" i="1"/>
  <c r="N251" i="1"/>
  <c r="M251" i="1"/>
  <c r="L251" i="1"/>
  <c r="O251" i="1" s="1"/>
  <c r="K251" i="1"/>
  <c r="J251" i="1"/>
  <c r="I251" i="1"/>
  <c r="H251" i="1"/>
  <c r="G251" i="1"/>
  <c r="F251" i="1"/>
  <c r="E251" i="1"/>
  <c r="D251" i="1"/>
  <c r="C251" i="1"/>
  <c r="B251" i="1"/>
  <c r="A251" i="1"/>
  <c r="P250" i="1"/>
  <c r="L250" i="1"/>
  <c r="O250" i="1" s="1"/>
  <c r="K250" i="1"/>
  <c r="J250" i="1"/>
  <c r="I250" i="1"/>
  <c r="H250" i="1"/>
  <c r="G250" i="1"/>
  <c r="F250" i="1"/>
  <c r="E250" i="1"/>
  <c r="D250" i="1"/>
  <c r="C250" i="1"/>
  <c r="B250" i="1"/>
  <c r="A250" i="1"/>
  <c r="P249" i="1"/>
  <c r="N249" i="1"/>
  <c r="M249" i="1"/>
  <c r="L249" i="1"/>
  <c r="O249" i="1" s="1"/>
  <c r="K249" i="1"/>
  <c r="J249" i="1"/>
  <c r="I249" i="1"/>
  <c r="H249" i="1"/>
  <c r="G249" i="1"/>
  <c r="F249" i="1"/>
  <c r="E249" i="1"/>
  <c r="D249" i="1"/>
  <c r="C249" i="1"/>
  <c r="B249" i="1"/>
  <c r="A249" i="1"/>
  <c r="P248" i="1"/>
  <c r="N248" i="1"/>
  <c r="M248" i="1"/>
  <c r="L248" i="1"/>
  <c r="O248" i="1" s="1"/>
  <c r="K248" i="1"/>
  <c r="J248" i="1"/>
  <c r="I248" i="1"/>
  <c r="H248" i="1"/>
  <c r="G248" i="1"/>
  <c r="F248" i="1"/>
  <c r="E248" i="1"/>
  <c r="D248" i="1"/>
  <c r="C248" i="1"/>
  <c r="B248" i="1"/>
  <c r="A248" i="1"/>
  <c r="P247" i="1"/>
  <c r="N247" i="1"/>
  <c r="M247" i="1"/>
  <c r="L247" i="1"/>
  <c r="O247" i="1" s="1"/>
  <c r="K247" i="1"/>
  <c r="J247" i="1"/>
  <c r="I247" i="1"/>
  <c r="H247" i="1"/>
  <c r="G247" i="1"/>
  <c r="F247" i="1"/>
  <c r="E247" i="1"/>
  <c r="D247" i="1"/>
  <c r="C247" i="1"/>
  <c r="B247" i="1"/>
  <c r="A247" i="1"/>
  <c r="P246" i="1"/>
  <c r="M246" i="1"/>
  <c r="L246" i="1"/>
  <c r="O246" i="1" s="1"/>
  <c r="K246" i="1"/>
  <c r="J246" i="1"/>
  <c r="I246" i="1"/>
  <c r="H246" i="1"/>
  <c r="G246" i="1"/>
  <c r="F246" i="1"/>
  <c r="E246" i="1"/>
  <c r="D246" i="1"/>
  <c r="C246" i="1"/>
  <c r="B246" i="1"/>
  <c r="A246" i="1"/>
  <c r="P245" i="1"/>
  <c r="M245" i="1"/>
  <c r="L245" i="1"/>
  <c r="K245" i="1"/>
  <c r="J245" i="1"/>
  <c r="I245" i="1"/>
  <c r="H245" i="1"/>
  <c r="G245" i="1"/>
  <c r="F245" i="1"/>
  <c r="E245" i="1"/>
  <c r="D245" i="1"/>
  <c r="C245" i="1"/>
  <c r="B245" i="1"/>
  <c r="A245" i="1"/>
  <c r="P244" i="1"/>
  <c r="L244" i="1"/>
  <c r="K244" i="1"/>
  <c r="J244" i="1"/>
  <c r="I244" i="1"/>
  <c r="H244" i="1"/>
  <c r="G244" i="1"/>
  <c r="F244" i="1"/>
  <c r="E244" i="1"/>
  <c r="D244" i="1"/>
  <c r="C244" i="1"/>
  <c r="B244" i="1"/>
  <c r="A244" i="1"/>
  <c r="P243" i="1"/>
  <c r="N243" i="1"/>
  <c r="M243" i="1"/>
  <c r="L243" i="1"/>
  <c r="O243" i="1" s="1"/>
  <c r="K243" i="1"/>
  <c r="J243" i="1"/>
  <c r="I243" i="1"/>
  <c r="H243" i="1"/>
  <c r="G243" i="1"/>
  <c r="F243" i="1"/>
  <c r="E243" i="1"/>
  <c r="D243" i="1"/>
  <c r="C243" i="1"/>
  <c r="B243" i="1"/>
  <c r="A243" i="1"/>
  <c r="P242" i="1"/>
  <c r="L242" i="1"/>
  <c r="O242" i="1" s="1"/>
  <c r="K242" i="1"/>
  <c r="J242" i="1"/>
  <c r="I242" i="1"/>
  <c r="H242" i="1"/>
  <c r="G242" i="1"/>
  <c r="F242" i="1"/>
  <c r="E242" i="1"/>
  <c r="D242" i="1"/>
  <c r="C242" i="1"/>
  <c r="B242" i="1"/>
  <c r="A242" i="1"/>
  <c r="P241" i="1"/>
  <c r="N241" i="1"/>
  <c r="M241" i="1"/>
  <c r="L241" i="1"/>
  <c r="O241" i="1" s="1"/>
  <c r="K241" i="1"/>
  <c r="J241" i="1"/>
  <c r="I241" i="1"/>
  <c r="H241" i="1"/>
  <c r="G241" i="1"/>
  <c r="F241" i="1"/>
  <c r="E241" i="1"/>
  <c r="D241" i="1"/>
  <c r="C241" i="1"/>
  <c r="B241" i="1"/>
  <c r="A241" i="1"/>
  <c r="P240" i="1"/>
  <c r="N240" i="1"/>
  <c r="M240" i="1"/>
  <c r="L240" i="1"/>
  <c r="O240" i="1" s="1"/>
  <c r="K240" i="1"/>
  <c r="J240" i="1"/>
  <c r="I240" i="1"/>
  <c r="H240" i="1"/>
  <c r="G240" i="1"/>
  <c r="F240" i="1"/>
  <c r="E240" i="1"/>
  <c r="D240" i="1"/>
  <c r="C240" i="1"/>
  <c r="B240" i="1"/>
  <c r="A240" i="1"/>
  <c r="P239" i="1"/>
  <c r="N239" i="1"/>
  <c r="M239" i="1"/>
  <c r="L239" i="1"/>
  <c r="O239" i="1" s="1"/>
  <c r="K239" i="1"/>
  <c r="J239" i="1"/>
  <c r="I239" i="1"/>
  <c r="H239" i="1"/>
  <c r="G239" i="1"/>
  <c r="F239" i="1"/>
  <c r="E239" i="1"/>
  <c r="D239" i="1"/>
  <c r="C239" i="1"/>
  <c r="B239" i="1"/>
  <c r="A239" i="1"/>
  <c r="P238" i="1"/>
  <c r="N238" i="1"/>
  <c r="M238" i="1"/>
  <c r="L238" i="1"/>
  <c r="O238" i="1" s="1"/>
  <c r="K238" i="1"/>
  <c r="J238" i="1"/>
  <c r="I238" i="1"/>
  <c r="H238" i="1"/>
  <c r="G238" i="1"/>
  <c r="F238" i="1"/>
  <c r="E238" i="1"/>
  <c r="D238" i="1"/>
  <c r="C238" i="1"/>
  <c r="B238" i="1"/>
  <c r="A238" i="1"/>
  <c r="P237" i="1"/>
  <c r="L237" i="1"/>
  <c r="K237" i="1"/>
  <c r="J237" i="1"/>
  <c r="I237" i="1"/>
  <c r="H237" i="1"/>
  <c r="G237" i="1"/>
  <c r="F237" i="1"/>
  <c r="E237" i="1"/>
  <c r="D237" i="1"/>
  <c r="C237" i="1"/>
  <c r="B237" i="1"/>
  <c r="A237" i="1"/>
  <c r="P236" i="1"/>
  <c r="L236" i="1"/>
  <c r="K236" i="1"/>
  <c r="J236" i="1"/>
  <c r="I236" i="1"/>
  <c r="H236" i="1"/>
  <c r="G236" i="1"/>
  <c r="F236" i="1"/>
  <c r="E236" i="1"/>
  <c r="D236" i="1"/>
  <c r="C236" i="1"/>
  <c r="B236" i="1"/>
  <c r="A236" i="1"/>
  <c r="P235" i="1"/>
  <c r="N235" i="1"/>
  <c r="M235" i="1"/>
  <c r="L235" i="1"/>
  <c r="O235" i="1" s="1"/>
  <c r="K235" i="1"/>
  <c r="J235" i="1"/>
  <c r="I235" i="1"/>
  <c r="H235" i="1"/>
  <c r="G235" i="1"/>
  <c r="F235" i="1"/>
  <c r="E235" i="1"/>
  <c r="D235" i="1"/>
  <c r="C235" i="1"/>
  <c r="B235" i="1"/>
  <c r="A235" i="1"/>
  <c r="P234" i="1"/>
  <c r="L234" i="1"/>
  <c r="O234" i="1" s="1"/>
  <c r="K234" i="1"/>
  <c r="J234" i="1"/>
  <c r="I234" i="1"/>
  <c r="H234" i="1"/>
  <c r="G234" i="1"/>
  <c r="F234" i="1"/>
  <c r="E234" i="1"/>
  <c r="D234" i="1"/>
  <c r="C234" i="1"/>
  <c r="B234" i="1"/>
  <c r="A234" i="1"/>
  <c r="P233" i="1"/>
  <c r="N233" i="1"/>
  <c r="M233" i="1"/>
  <c r="L233" i="1"/>
  <c r="O233" i="1" s="1"/>
  <c r="K233" i="1"/>
  <c r="J233" i="1"/>
  <c r="I233" i="1"/>
  <c r="H233" i="1"/>
  <c r="G233" i="1"/>
  <c r="F233" i="1"/>
  <c r="E233" i="1"/>
  <c r="D233" i="1"/>
  <c r="C233" i="1"/>
  <c r="B233" i="1"/>
  <c r="A233" i="1"/>
  <c r="P232" i="1"/>
  <c r="N232" i="1"/>
  <c r="M232" i="1"/>
  <c r="L232" i="1"/>
  <c r="O232" i="1" s="1"/>
  <c r="K232" i="1"/>
  <c r="J232" i="1"/>
  <c r="I232" i="1"/>
  <c r="H232" i="1"/>
  <c r="G232" i="1"/>
  <c r="F232" i="1"/>
  <c r="E232" i="1"/>
  <c r="D232" i="1"/>
  <c r="C232" i="1"/>
  <c r="B232" i="1"/>
  <c r="A232" i="1"/>
  <c r="P231" i="1"/>
  <c r="N231" i="1"/>
  <c r="M231" i="1"/>
  <c r="L231" i="1"/>
  <c r="O231" i="1" s="1"/>
  <c r="K231" i="1"/>
  <c r="J231" i="1"/>
  <c r="I231" i="1"/>
  <c r="H231" i="1"/>
  <c r="G231" i="1"/>
  <c r="F231" i="1"/>
  <c r="E231" i="1"/>
  <c r="D231" i="1"/>
  <c r="C231" i="1"/>
  <c r="B231" i="1"/>
  <c r="A231" i="1"/>
  <c r="P230" i="1"/>
  <c r="M230" i="1"/>
  <c r="L230" i="1"/>
  <c r="O230" i="1" s="1"/>
  <c r="K230" i="1"/>
  <c r="J230" i="1"/>
  <c r="I230" i="1"/>
  <c r="H230" i="1"/>
  <c r="G230" i="1"/>
  <c r="F230" i="1"/>
  <c r="E230" i="1"/>
  <c r="D230" i="1"/>
  <c r="C230" i="1"/>
  <c r="B230" i="1"/>
  <c r="A230" i="1"/>
  <c r="P229" i="1"/>
  <c r="M229" i="1"/>
  <c r="L229" i="1"/>
  <c r="K229" i="1"/>
  <c r="J229" i="1"/>
  <c r="I229" i="1"/>
  <c r="H229" i="1"/>
  <c r="G229" i="1"/>
  <c r="F229" i="1"/>
  <c r="E229" i="1"/>
  <c r="D229" i="1"/>
  <c r="C229" i="1"/>
  <c r="B229" i="1"/>
  <c r="A229" i="1"/>
  <c r="P228" i="1"/>
  <c r="L228" i="1"/>
  <c r="K228" i="1"/>
  <c r="J228" i="1"/>
  <c r="I228" i="1"/>
  <c r="H228" i="1"/>
  <c r="G228" i="1"/>
  <c r="F228" i="1"/>
  <c r="E228" i="1"/>
  <c r="D228" i="1"/>
  <c r="C228" i="1"/>
  <c r="B228" i="1"/>
  <c r="A228" i="1"/>
  <c r="P227" i="1"/>
  <c r="N227" i="1"/>
  <c r="M227" i="1"/>
  <c r="L227" i="1"/>
  <c r="O227" i="1" s="1"/>
  <c r="K227" i="1"/>
  <c r="J227" i="1"/>
  <c r="I227" i="1"/>
  <c r="H227" i="1"/>
  <c r="G227" i="1"/>
  <c r="F227" i="1"/>
  <c r="E227" i="1"/>
  <c r="D227" i="1"/>
  <c r="C227" i="1"/>
  <c r="B227" i="1"/>
  <c r="A227" i="1"/>
  <c r="P226" i="1"/>
  <c r="L226" i="1"/>
  <c r="O226" i="1" s="1"/>
  <c r="K226" i="1"/>
  <c r="J226" i="1"/>
  <c r="I226" i="1"/>
  <c r="H226" i="1"/>
  <c r="G226" i="1"/>
  <c r="F226" i="1"/>
  <c r="E226" i="1"/>
  <c r="D226" i="1"/>
  <c r="C226" i="1"/>
  <c r="B226" i="1"/>
  <c r="A226" i="1"/>
  <c r="P225" i="1"/>
  <c r="N225" i="1"/>
  <c r="M225" i="1"/>
  <c r="L225" i="1"/>
  <c r="O225" i="1" s="1"/>
  <c r="K225" i="1"/>
  <c r="J225" i="1"/>
  <c r="I225" i="1"/>
  <c r="H225" i="1"/>
  <c r="G225" i="1"/>
  <c r="F225" i="1"/>
  <c r="E225" i="1"/>
  <c r="D225" i="1"/>
  <c r="C225" i="1"/>
  <c r="B225" i="1"/>
  <c r="A225" i="1"/>
  <c r="P224" i="1"/>
  <c r="N224" i="1"/>
  <c r="M224" i="1"/>
  <c r="L224" i="1"/>
  <c r="O224" i="1" s="1"/>
  <c r="K224" i="1"/>
  <c r="J224" i="1"/>
  <c r="I224" i="1"/>
  <c r="H224" i="1"/>
  <c r="G224" i="1"/>
  <c r="F224" i="1"/>
  <c r="E224" i="1"/>
  <c r="D224" i="1"/>
  <c r="C224" i="1"/>
  <c r="B224" i="1"/>
  <c r="A224" i="1"/>
  <c r="P223" i="1"/>
  <c r="N223" i="1"/>
  <c r="M223" i="1"/>
  <c r="L223" i="1"/>
  <c r="O223" i="1" s="1"/>
  <c r="K223" i="1"/>
  <c r="J223" i="1"/>
  <c r="I223" i="1"/>
  <c r="H223" i="1"/>
  <c r="G223" i="1"/>
  <c r="F223" i="1"/>
  <c r="E223" i="1"/>
  <c r="D223" i="1"/>
  <c r="C223" i="1"/>
  <c r="B223" i="1"/>
  <c r="A223" i="1"/>
  <c r="P222" i="1"/>
  <c r="L222" i="1"/>
  <c r="O222" i="1" s="1"/>
  <c r="K222" i="1"/>
  <c r="J222" i="1"/>
  <c r="I222" i="1"/>
  <c r="H222" i="1"/>
  <c r="G222" i="1"/>
  <c r="F222" i="1"/>
  <c r="E222" i="1"/>
  <c r="D222" i="1"/>
  <c r="C222" i="1"/>
  <c r="B222" i="1"/>
  <c r="A222" i="1"/>
  <c r="P221" i="1"/>
  <c r="L221" i="1"/>
  <c r="K221" i="1"/>
  <c r="J221" i="1"/>
  <c r="I221" i="1"/>
  <c r="H221" i="1"/>
  <c r="G221" i="1"/>
  <c r="F221" i="1"/>
  <c r="E221" i="1"/>
  <c r="D221" i="1"/>
  <c r="C221" i="1"/>
  <c r="B221" i="1"/>
  <c r="A221" i="1"/>
  <c r="P220" i="1"/>
  <c r="L220" i="1"/>
  <c r="K220" i="1"/>
  <c r="J220" i="1"/>
  <c r="I220" i="1"/>
  <c r="H220" i="1"/>
  <c r="G220" i="1"/>
  <c r="F220" i="1"/>
  <c r="E220" i="1"/>
  <c r="D220" i="1"/>
  <c r="C220" i="1"/>
  <c r="B220" i="1"/>
  <c r="A220" i="1"/>
  <c r="P219" i="1"/>
  <c r="N219" i="1"/>
  <c r="M219" i="1"/>
  <c r="L219" i="1"/>
  <c r="O219" i="1" s="1"/>
  <c r="K219" i="1"/>
  <c r="J219" i="1"/>
  <c r="I219" i="1"/>
  <c r="H219" i="1"/>
  <c r="G219" i="1"/>
  <c r="F219" i="1"/>
  <c r="E219" i="1"/>
  <c r="D219" i="1"/>
  <c r="C219" i="1"/>
  <c r="B219" i="1"/>
  <c r="A219" i="1"/>
  <c r="P218" i="1"/>
  <c r="L218" i="1"/>
  <c r="O218" i="1" s="1"/>
  <c r="K218" i="1"/>
  <c r="J218" i="1"/>
  <c r="I218" i="1"/>
  <c r="H218" i="1"/>
  <c r="G218" i="1"/>
  <c r="F218" i="1"/>
  <c r="E218" i="1"/>
  <c r="D218" i="1"/>
  <c r="C218" i="1"/>
  <c r="B218" i="1"/>
  <c r="A218" i="1"/>
  <c r="P217" i="1"/>
  <c r="N217" i="1"/>
  <c r="M217" i="1"/>
  <c r="L217" i="1"/>
  <c r="O217" i="1" s="1"/>
  <c r="K217" i="1"/>
  <c r="J217" i="1"/>
  <c r="I217" i="1"/>
  <c r="H217" i="1"/>
  <c r="G217" i="1"/>
  <c r="F217" i="1"/>
  <c r="E217" i="1"/>
  <c r="D217" i="1"/>
  <c r="C217" i="1"/>
  <c r="B217" i="1"/>
  <c r="A217" i="1"/>
  <c r="P216" i="1"/>
  <c r="N216" i="1"/>
  <c r="M216" i="1"/>
  <c r="L216" i="1"/>
  <c r="O216" i="1" s="1"/>
  <c r="K216" i="1"/>
  <c r="J216" i="1"/>
  <c r="I216" i="1"/>
  <c r="H216" i="1"/>
  <c r="G216" i="1"/>
  <c r="F216" i="1"/>
  <c r="E216" i="1"/>
  <c r="D216" i="1"/>
  <c r="C216" i="1"/>
  <c r="B216" i="1"/>
  <c r="A216" i="1"/>
  <c r="P215" i="1"/>
  <c r="M215" i="1"/>
  <c r="L215" i="1"/>
  <c r="O215" i="1" s="1"/>
  <c r="K215" i="1"/>
  <c r="J215" i="1"/>
  <c r="I215" i="1"/>
  <c r="H215" i="1"/>
  <c r="G215" i="1"/>
  <c r="F215" i="1"/>
  <c r="E215" i="1"/>
  <c r="D215" i="1"/>
  <c r="C215" i="1"/>
  <c r="B215" i="1"/>
  <c r="A215" i="1"/>
  <c r="P214" i="1"/>
  <c r="N214" i="1"/>
  <c r="L214" i="1"/>
  <c r="O214" i="1" s="1"/>
  <c r="K214" i="1"/>
  <c r="J214" i="1"/>
  <c r="I214" i="1"/>
  <c r="H214" i="1"/>
  <c r="G214" i="1"/>
  <c r="F214" i="1"/>
  <c r="E214" i="1"/>
  <c r="D214" i="1"/>
  <c r="C214" i="1"/>
  <c r="B214" i="1"/>
  <c r="A214" i="1"/>
  <c r="P213" i="1"/>
  <c r="L213" i="1"/>
  <c r="K213" i="1"/>
  <c r="J213" i="1"/>
  <c r="I213" i="1"/>
  <c r="H213" i="1"/>
  <c r="G213" i="1"/>
  <c r="F213" i="1"/>
  <c r="E213" i="1"/>
  <c r="D213" i="1"/>
  <c r="C213" i="1"/>
  <c r="B213" i="1"/>
  <c r="A213" i="1"/>
  <c r="P212" i="1"/>
  <c r="L212" i="1"/>
  <c r="K212" i="1"/>
  <c r="J212" i="1"/>
  <c r="I212" i="1"/>
  <c r="H212" i="1"/>
  <c r="G212" i="1"/>
  <c r="F212" i="1"/>
  <c r="E212" i="1"/>
  <c r="D212" i="1"/>
  <c r="C212" i="1"/>
  <c r="B212" i="1"/>
  <c r="A212" i="1"/>
  <c r="P211" i="1"/>
  <c r="N211" i="1"/>
  <c r="M211" i="1"/>
  <c r="L211" i="1"/>
  <c r="O211" i="1" s="1"/>
  <c r="K211" i="1"/>
  <c r="J211" i="1"/>
  <c r="I211" i="1"/>
  <c r="H211" i="1"/>
  <c r="G211" i="1"/>
  <c r="F211" i="1"/>
  <c r="E211" i="1"/>
  <c r="D211" i="1"/>
  <c r="C211" i="1"/>
  <c r="B211" i="1"/>
  <c r="A211" i="1"/>
  <c r="P210" i="1"/>
  <c r="L210" i="1"/>
  <c r="O210" i="1" s="1"/>
  <c r="K210" i="1"/>
  <c r="J210" i="1"/>
  <c r="I210" i="1"/>
  <c r="H210" i="1"/>
  <c r="G210" i="1"/>
  <c r="F210" i="1"/>
  <c r="E210" i="1"/>
  <c r="D210" i="1"/>
  <c r="C210" i="1"/>
  <c r="B210" i="1"/>
  <c r="A210" i="1"/>
  <c r="P209" i="1"/>
  <c r="N209" i="1"/>
  <c r="M209" i="1"/>
  <c r="L209" i="1"/>
  <c r="O209" i="1" s="1"/>
  <c r="K209" i="1"/>
  <c r="J209" i="1"/>
  <c r="I209" i="1"/>
  <c r="H209" i="1"/>
  <c r="G209" i="1"/>
  <c r="F209" i="1"/>
  <c r="E209" i="1"/>
  <c r="D209" i="1"/>
  <c r="C209" i="1"/>
  <c r="B209" i="1"/>
  <c r="A209" i="1"/>
  <c r="P208" i="1"/>
  <c r="N208" i="1"/>
  <c r="M208" i="1"/>
  <c r="L208" i="1"/>
  <c r="O208" i="1" s="1"/>
  <c r="K208" i="1"/>
  <c r="J208" i="1"/>
  <c r="I208" i="1"/>
  <c r="H208" i="1"/>
  <c r="G208" i="1"/>
  <c r="F208" i="1"/>
  <c r="E208" i="1"/>
  <c r="D208" i="1"/>
  <c r="C208" i="1"/>
  <c r="B208" i="1"/>
  <c r="A208" i="1"/>
  <c r="P207" i="1"/>
  <c r="M207" i="1"/>
  <c r="L207" i="1"/>
  <c r="O207" i="1" s="1"/>
  <c r="K207" i="1"/>
  <c r="J207" i="1"/>
  <c r="I207" i="1"/>
  <c r="H207" i="1"/>
  <c r="G207" i="1"/>
  <c r="F207" i="1"/>
  <c r="E207" i="1"/>
  <c r="D207" i="1"/>
  <c r="C207" i="1"/>
  <c r="B207" i="1"/>
  <c r="A207" i="1"/>
  <c r="P206" i="1"/>
  <c r="L206" i="1"/>
  <c r="O206" i="1" s="1"/>
  <c r="K206" i="1"/>
  <c r="J206" i="1"/>
  <c r="I206" i="1"/>
  <c r="H206" i="1"/>
  <c r="G206" i="1"/>
  <c r="F206" i="1"/>
  <c r="E206" i="1"/>
  <c r="D206" i="1"/>
  <c r="C206" i="1"/>
  <c r="B206" i="1"/>
  <c r="A206" i="1"/>
  <c r="P205" i="1"/>
  <c r="L205" i="1"/>
  <c r="K205" i="1"/>
  <c r="J205" i="1"/>
  <c r="I205" i="1"/>
  <c r="H205" i="1"/>
  <c r="G205" i="1"/>
  <c r="F205" i="1"/>
  <c r="E205" i="1"/>
  <c r="D205" i="1"/>
  <c r="C205" i="1"/>
  <c r="B205" i="1"/>
  <c r="A205" i="1"/>
  <c r="P204" i="1"/>
  <c r="L204" i="1"/>
  <c r="K204" i="1"/>
  <c r="J204" i="1"/>
  <c r="I204" i="1"/>
  <c r="H204" i="1"/>
  <c r="G204" i="1"/>
  <c r="F204" i="1"/>
  <c r="E204" i="1"/>
  <c r="D204" i="1"/>
  <c r="C204" i="1"/>
  <c r="B204" i="1"/>
  <c r="A204" i="1"/>
  <c r="P203" i="1"/>
  <c r="N203" i="1"/>
  <c r="M203" i="1"/>
  <c r="L203" i="1"/>
  <c r="O203" i="1" s="1"/>
  <c r="K203" i="1"/>
  <c r="J203" i="1"/>
  <c r="I203" i="1"/>
  <c r="H203" i="1"/>
  <c r="G203" i="1"/>
  <c r="F203" i="1"/>
  <c r="E203" i="1"/>
  <c r="D203" i="1"/>
  <c r="C203" i="1"/>
  <c r="B203" i="1"/>
  <c r="A203" i="1"/>
  <c r="P202" i="1"/>
  <c r="L202" i="1"/>
  <c r="O202" i="1" s="1"/>
  <c r="K202" i="1"/>
  <c r="J202" i="1"/>
  <c r="I202" i="1"/>
  <c r="H202" i="1"/>
  <c r="G202" i="1"/>
  <c r="F202" i="1"/>
  <c r="E202" i="1"/>
  <c r="D202" i="1"/>
  <c r="C202" i="1"/>
  <c r="B202" i="1"/>
  <c r="A202" i="1"/>
  <c r="P201" i="1"/>
  <c r="N201" i="1"/>
  <c r="M201" i="1"/>
  <c r="L201" i="1"/>
  <c r="O201" i="1" s="1"/>
  <c r="K201" i="1"/>
  <c r="J201" i="1"/>
  <c r="I201" i="1"/>
  <c r="H201" i="1"/>
  <c r="G201" i="1"/>
  <c r="F201" i="1"/>
  <c r="E201" i="1"/>
  <c r="D201" i="1"/>
  <c r="C201" i="1"/>
  <c r="B201" i="1"/>
  <c r="A201" i="1"/>
  <c r="P200" i="1"/>
  <c r="N200" i="1"/>
  <c r="M200" i="1"/>
  <c r="L200" i="1"/>
  <c r="O200" i="1" s="1"/>
  <c r="K200" i="1"/>
  <c r="J200" i="1"/>
  <c r="I200" i="1"/>
  <c r="H200" i="1"/>
  <c r="G200" i="1"/>
  <c r="F200" i="1"/>
  <c r="E200" i="1"/>
  <c r="D200" i="1"/>
  <c r="C200" i="1"/>
  <c r="B200" i="1"/>
  <c r="A200" i="1"/>
  <c r="P199" i="1"/>
  <c r="N199" i="1"/>
  <c r="M199" i="1"/>
  <c r="L199" i="1"/>
  <c r="O199" i="1" s="1"/>
  <c r="K199" i="1"/>
  <c r="J199" i="1"/>
  <c r="I199" i="1"/>
  <c r="H199" i="1"/>
  <c r="G199" i="1"/>
  <c r="F199" i="1"/>
  <c r="E199" i="1"/>
  <c r="D199" i="1"/>
  <c r="C199" i="1"/>
  <c r="B199" i="1"/>
  <c r="A199" i="1"/>
  <c r="P198" i="1"/>
  <c r="L198" i="1"/>
  <c r="O198" i="1" s="1"/>
  <c r="K198" i="1"/>
  <c r="J198" i="1"/>
  <c r="I198" i="1"/>
  <c r="H198" i="1"/>
  <c r="G198" i="1"/>
  <c r="F198" i="1"/>
  <c r="E198" i="1"/>
  <c r="D198" i="1"/>
  <c r="C198" i="1"/>
  <c r="B198" i="1"/>
  <c r="A198" i="1"/>
  <c r="P197" i="1"/>
  <c r="M197" i="1"/>
  <c r="L197" i="1"/>
  <c r="K197" i="1"/>
  <c r="J197" i="1"/>
  <c r="I197" i="1"/>
  <c r="H197" i="1"/>
  <c r="G197" i="1"/>
  <c r="F197" i="1"/>
  <c r="E197" i="1"/>
  <c r="D197" i="1"/>
  <c r="C197" i="1"/>
  <c r="B197" i="1"/>
  <c r="A197" i="1"/>
  <c r="P196" i="1"/>
  <c r="L196" i="1"/>
  <c r="K196" i="1"/>
  <c r="J196" i="1"/>
  <c r="I196" i="1"/>
  <c r="H196" i="1"/>
  <c r="G196" i="1"/>
  <c r="F196" i="1"/>
  <c r="E196" i="1"/>
  <c r="D196" i="1"/>
  <c r="C196" i="1"/>
  <c r="B196" i="1"/>
  <c r="A196" i="1"/>
  <c r="P195" i="1"/>
  <c r="N195" i="1"/>
  <c r="M195" i="1"/>
  <c r="L195" i="1"/>
  <c r="O195" i="1" s="1"/>
  <c r="K195" i="1"/>
  <c r="J195" i="1"/>
  <c r="I195" i="1"/>
  <c r="H195" i="1"/>
  <c r="G195" i="1"/>
  <c r="F195" i="1"/>
  <c r="E195" i="1"/>
  <c r="D195" i="1"/>
  <c r="C195" i="1"/>
  <c r="B195" i="1"/>
  <c r="A195" i="1"/>
  <c r="P194" i="1"/>
  <c r="L194" i="1"/>
  <c r="O194" i="1" s="1"/>
  <c r="K194" i="1"/>
  <c r="J194" i="1"/>
  <c r="I194" i="1"/>
  <c r="H194" i="1"/>
  <c r="G194" i="1"/>
  <c r="F194" i="1"/>
  <c r="E194" i="1"/>
  <c r="D194" i="1"/>
  <c r="C194" i="1"/>
  <c r="B194" i="1"/>
  <c r="A194" i="1"/>
  <c r="P193" i="1"/>
  <c r="N193" i="1"/>
  <c r="M193" i="1"/>
  <c r="L193" i="1"/>
  <c r="O193" i="1" s="1"/>
  <c r="K193" i="1"/>
  <c r="J193" i="1"/>
  <c r="I193" i="1"/>
  <c r="H193" i="1"/>
  <c r="G193" i="1"/>
  <c r="F193" i="1"/>
  <c r="E193" i="1"/>
  <c r="D193" i="1"/>
  <c r="C193" i="1"/>
  <c r="B193" i="1"/>
  <c r="A193" i="1"/>
  <c r="P192" i="1"/>
  <c r="N192" i="1"/>
  <c r="M192" i="1"/>
  <c r="L192" i="1"/>
  <c r="O192" i="1" s="1"/>
  <c r="K192" i="1"/>
  <c r="J192" i="1"/>
  <c r="I192" i="1"/>
  <c r="H192" i="1"/>
  <c r="G192" i="1"/>
  <c r="F192" i="1"/>
  <c r="E192" i="1"/>
  <c r="D192" i="1"/>
  <c r="C192" i="1"/>
  <c r="B192" i="1"/>
  <c r="A192" i="1"/>
  <c r="P191" i="1"/>
  <c r="M191" i="1"/>
  <c r="L191" i="1"/>
  <c r="O191" i="1" s="1"/>
  <c r="K191" i="1"/>
  <c r="J191" i="1"/>
  <c r="I191" i="1"/>
  <c r="H191" i="1"/>
  <c r="G191" i="1"/>
  <c r="F191" i="1"/>
  <c r="E191" i="1"/>
  <c r="D191" i="1"/>
  <c r="C191" i="1"/>
  <c r="B191" i="1"/>
  <c r="A191" i="1"/>
  <c r="P190" i="1"/>
  <c r="L190" i="1"/>
  <c r="O190" i="1" s="1"/>
  <c r="K190" i="1"/>
  <c r="J190" i="1"/>
  <c r="I190" i="1"/>
  <c r="H190" i="1"/>
  <c r="G190" i="1"/>
  <c r="F190" i="1"/>
  <c r="E190" i="1"/>
  <c r="D190" i="1"/>
  <c r="C190" i="1"/>
  <c r="B190" i="1"/>
  <c r="A190" i="1"/>
  <c r="P189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A189" i="1"/>
  <c r="P188" i="1"/>
  <c r="L188" i="1"/>
  <c r="K188" i="1"/>
  <c r="J188" i="1"/>
  <c r="I188" i="1"/>
  <c r="H188" i="1"/>
  <c r="G188" i="1"/>
  <c r="F188" i="1"/>
  <c r="E188" i="1"/>
  <c r="D188" i="1"/>
  <c r="C188" i="1"/>
  <c r="B188" i="1"/>
  <c r="A188" i="1"/>
  <c r="P187" i="1"/>
  <c r="N187" i="1"/>
  <c r="M187" i="1"/>
  <c r="L187" i="1"/>
  <c r="O187" i="1" s="1"/>
  <c r="K187" i="1"/>
  <c r="J187" i="1"/>
  <c r="I187" i="1"/>
  <c r="H187" i="1"/>
  <c r="G187" i="1"/>
  <c r="F187" i="1"/>
  <c r="E187" i="1"/>
  <c r="D187" i="1"/>
  <c r="C187" i="1"/>
  <c r="B187" i="1"/>
  <c r="A187" i="1"/>
  <c r="P186" i="1"/>
  <c r="N186" i="1"/>
  <c r="M186" i="1"/>
  <c r="L186" i="1"/>
  <c r="O186" i="1" s="1"/>
  <c r="K186" i="1"/>
  <c r="J186" i="1"/>
  <c r="I186" i="1"/>
  <c r="H186" i="1"/>
  <c r="G186" i="1"/>
  <c r="F186" i="1"/>
  <c r="E186" i="1"/>
  <c r="D186" i="1"/>
  <c r="C186" i="1"/>
  <c r="B186" i="1"/>
  <c r="A186" i="1"/>
  <c r="P185" i="1"/>
  <c r="N185" i="1"/>
  <c r="M185" i="1"/>
  <c r="L185" i="1"/>
  <c r="O185" i="1" s="1"/>
  <c r="K185" i="1"/>
  <c r="J185" i="1"/>
  <c r="I185" i="1"/>
  <c r="H185" i="1"/>
  <c r="G185" i="1"/>
  <c r="F185" i="1"/>
  <c r="E185" i="1"/>
  <c r="D185" i="1"/>
  <c r="C185" i="1"/>
  <c r="B185" i="1"/>
  <c r="A185" i="1"/>
  <c r="P184" i="1"/>
  <c r="N184" i="1"/>
  <c r="M184" i="1"/>
  <c r="L184" i="1"/>
  <c r="O184" i="1" s="1"/>
  <c r="K184" i="1"/>
  <c r="J184" i="1"/>
  <c r="I184" i="1"/>
  <c r="H184" i="1"/>
  <c r="G184" i="1"/>
  <c r="F184" i="1"/>
  <c r="E184" i="1"/>
  <c r="D184" i="1"/>
  <c r="C184" i="1"/>
  <c r="B184" i="1"/>
  <c r="A184" i="1"/>
  <c r="P183" i="1"/>
  <c r="N183" i="1"/>
  <c r="M183" i="1"/>
  <c r="L183" i="1"/>
  <c r="O183" i="1" s="1"/>
  <c r="K183" i="1"/>
  <c r="J183" i="1"/>
  <c r="I183" i="1"/>
  <c r="H183" i="1"/>
  <c r="G183" i="1"/>
  <c r="F183" i="1"/>
  <c r="E183" i="1"/>
  <c r="D183" i="1"/>
  <c r="C183" i="1"/>
  <c r="B183" i="1"/>
  <c r="A183" i="1"/>
  <c r="P182" i="1"/>
  <c r="L182" i="1"/>
  <c r="O182" i="1" s="1"/>
  <c r="K182" i="1"/>
  <c r="J182" i="1"/>
  <c r="I182" i="1"/>
  <c r="H182" i="1"/>
  <c r="G182" i="1"/>
  <c r="F182" i="1"/>
  <c r="E182" i="1"/>
  <c r="D182" i="1"/>
  <c r="C182" i="1"/>
  <c r="B182" i="1"/>
  <c r="A182" i="1"/>
  <c r="P181" i="1"/>
  <c r="L181" i="1"/>
  <c r="K181" i="1"/>
  <c r="J181" i="1"/>
  <c r="I181" i="1"/>
  <c r="H181" i="1"/>
  <c r="G181" i="1"/>
  <c r="F181" i="1"/>
  <c r="E181" i="1"/>
  <c r="D181" i="1"/>
  <c r="C181" i="1"/>
  <c r="B181" i="1"/>
  <c r="A181" i="1"/>
  <c r="P180" i="1"/>
  <c r="L180" i="1"/>
  <c r="K180" i="1"/>
  <c r="J180" i="1"/>
  <c r="I180" i="1"/>
  <c r="H180" i="1"/>
  <c r="G180" i="1"/>
  <c r="F180" i="1"/>
  <c r="E180" i="1"/>
  <c r="D180" i="1"/>
  <c r="C180" i="1"/>
  <c r="B180" i="1"/>
  <c r="A180" i="1"/>
  <c r="P179" i="1"/>
  <c r="N179" i="1"/>
  <c r="M179" i="1"/>
  <c r="L179" i="1"/>
  <c r="O179" i="1" s="1"/>
  <c r="K179" i="1"/>
  <c r="J179" i="1"/>
  <c r="I179" i="1"/>
  <c r="H179" i="1"/>
  <c r="G179" i="1"/>
  <c r="F179" i="1"/>
  <c r="E179" i="1"/>
  <c r="D179" i="1"/>
  <c r="C179" i="1"/>
  <c r="B179" i="1"/>
  <c r="A179" i="1"/>
  <c r="P178" i="1"/>
  <c r="N178" i="1"/>
  <c r="M178" i="1"/>
  <c r="L178" i="1"/>
  <c r="O178" i="1" s="1"/>
  <c r="K178" i="1"/>
  <c r="J178" i="1"/>
  <c r="I178" i="1"/>
  <c r="H178" i="1"/>
  <c r="G178" i="1"/>
  <c r="F178" i="1"/>
  <c r="E178" i="1"/>
  <c r="D178" i="1"/>
  <c r="C178" i="1"/>
  <c r="B178" i="1"/>
  <c r="A178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B177" i="1"/>
  <c r="A177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B176" i="1"/>
  <c r="A176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B175" i="1"/>
  <c r="A175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A174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A173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B172" i="1"/>
  <c r="A172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B171" i="1"/>
  <c r="A171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A170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B169" i="1"/>
  <c r="A169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B168" i="1"/>
  <c r="A168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C167" i="1"/>
  <c r="B167" i="1"/>
  <c r="A167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B166" i="1"/>
  <c r="A166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B165" i="1"/>
  <c r="A165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C164" i="1"/>
  <c r="B164" i="1"/>
  <c r="A164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B163" i="1"/>
  <c r="A163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A162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A161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B160" i="1"/>
  <c r="A160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B159" i="1"/>
  <c r="A159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A158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A157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A156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A155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B154" i="1"/>
  <c r="A154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B153" i="1"/>
  <c r="A153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A152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A151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B150" i="1"/>
  <c r="A150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B149" i="1"/>
  <c r="A149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A148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B147" i="1"/>
  <c r="A147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A146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B145" i="1"/>
  <c r="A145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B144" i="1"/>
  <c r="A144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A143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A142" i="1"/>
  <c r="P141" i="1"/>
  <c r="O141" i="1"/>
  <c r="N141" i="1"/>
  <c r="L141" i="1"/>
  <c r="M141" i="1" s="1"/>
  <c r="K141" i="1"/>
  <c r="J141" i="1"/>
  <c r="I141" i="1"/>
  <c r="H141" i="1"/>
  <c r="G141" i="1"/>
  <c r="F141" i="1"/>
  <c r="E141" i="1"/>
  <c r="D141" i="1"/>
  <c r="C141" i="1"/>
  <c r="B141" i="1"/>
  <c r="A141" i="1"/>
  <c r="P140" i="1"/>
  <c r="O140" i="1"/>
  <c r="N140" i="1"/>
  <c r="L140" i="1"/>
  <c r="M140" i="1" s="1"/>
  <c r="K140" i="1"/>
  <c r="J140" i="1"/>
  <c r="I140" i="1"/>
  <c r="H140" i="1"/>
  <c r="G140" i="1"/>
  <c r="F140" i="1"/>
  <c r="E140" i="1"/>
  <c r="D140" i="1"/>
  <c r="C140" i="1"/>
  <c r="B140" i="1"/>
  <c r="A140" i="1"/>
  <c r="P139" i="1"/>
  <c r="O139" i="1"/>
  <c r="N139" i="1"/>
  <c r="L139" i="1"/>
  <c r="M139" i="1" s="1"/>
  <c r="K139" i="1"/>
  <c r="J139" i="1"/>
  <c r="I139" i="1"/>
  <c r="H139" i="1"/>
  <c r="G139" i="1"/>
  <c r="F139" i="1"/>
  <c r="E139" i="1"/>
  <c r="D139" i="1"/>
  <c r="C139" i="1"/>
  <c r="B139" i="1"/>
  <c r="A139" i="1"/>
  <c r="P138" i="1"/>
  <c r="O138" i="1"/>
  <c r="N138" i="1"/>
  <c r="L138" i="1"/>
  <c r="M138" i="1" s="1"/>
  <c r="K138" i="1"/>
  <c r="J138" i="1"/>
  <c r="I138" i="1"/>
  <c r="H138" i="1"/>
  <c r="G138" i="1"/>
  <c r="F138" i="1"/>
  <c r="E138" i="1"/>
  <c r="D138" i="1"/>
  <c r="C138" i="1"/>
  <c r="B138" i="1"/>
  <c r="A138" i="1"/>
  <c r="P137" i="1"/>
  <c r="O137" i="1"/>
  <c r="N137" i="1"/>
  <c r="L137" i="1"/>
  <c r="M137" i="1" s="1"/>
  <c r="K137" i="1"/>
  <c r="J137" i="1"/>
  <c r="I137" i="1"/>
  <c r="H137" i="1"/>
  <c r="G137" i="1"/>
  <c r="F137" i="1"/>
  <c r="E137" i="1"/>
  <c r="D137" i="1"/>
  <c r="C137" i="1"/>
  <c r="B137" i="1"/>
  <c r="A137" i="1"/>
  <c r="P136" i="1"/>
  <c r="O136" i="1"/>
  <c r="N136" i="1"/>
  <c r="L136" i="1"/>
  <c r="M136" i="1" s="1"/>
  <c r="K136" i="1"/>
  <c r="J136" i="1"/>
  <c r="I136" i="1"/>
  <c r="H136" i="1"/>
  <c r="G136" i="1"/>
  <c r="F136" i="1"/>
  <c r="E136" i="1"/>
  <c r="D136" i="1"/>
  <c r="C136" i="1"/>
  <c r="B136" i="1"/>
  <c r="A136" i="1"/>
  <c r="P135" i="1"/>
  <c r="O135" i="1"/>
  <c r="N135" i="1"/>
  <c r="L135" i="1"/>
  <c r="M135" i="1" s="1"/>
  <c r="K135" i="1"/>
  <c r="J135" i="1"/>
  <c r="I135" i="1"/>
  <c r="H135" i="1"/>
  <c r="G135" i="1"/>
  <c r="F135" i="1"/>
  <c r="E135" i="1"/>
  <c r="D135" i="1"/>
  <c r="C135" i="1"/>
  <c r="B135" i="1"/>
  <c r="A135" i="1"/>
  <c r="P134" i="1"/>
  <c r="O134" i="1"/>
  <c r="N134" i="1"/>
  <c r="L134" i="1"/>
  <c r="M134" i="1" s="1"/>
  <c r="K134" i="1"/>
  <c r="J134" i="1"/>
  <c r="I134" i="1"/>
  <c r="H134" i="1"/>
  <c r="G134" i="1"/>
  <c r="F134" i="1"/>
  <c r="E134" i="1"/>
  <c r="D134" i="1"/>
  <c r="C134" i="1"/>
  <c r="B134" i="1"/>
  <c r="A134" i="1"/>
  <c r="P133" i="1"/>
  <c r="O133" i="1"/>
  <c r="N133" i="1"/>
  <c r="L133" i="1"/>
  <c r="M133" i="1" s="1"/>
  <c r="K133" i="1"/>
  <c r="J133" i="1"/>
  <c r="I133" i="1"/>
  <c r="H133" i="1"/>
  <c r="G133" i="1"/>
  <c r="F133" i="1"/>
  <c r="E133" i="1"/>
  <c r="D133" i="1"/>
  <c r="C133" i="1"/>
  <c r="B133" i="1"/>
  <c r="A133" i="1"/>
  <c r="P132" i="1"/>
  <c r="O132" i="1"/>
  <c r="N132" i="1"/>
  <c r="L132" i="1"/>
  <c r="M132" i="1" s="1"/>
  <c r="K132" i="1"/>
  <c r="J132" i="1"/>
  <c r="I132" i="1"/>
  <c r="H132" i="1"/>
  <c r="G132" i="1"/>
  <c r="F132" i="1"/>
  <c r="E132" i="1"/>
  <c r="D132" i="1"/>
  <c r="C132" i="1"/>
  <c r="B132" i="1"/>
  <c r="A132" i="1"/>
  <c r="P131" i="1"/>
  <c r="O131" i="1"/>
  <c r="N131" i="1"/>
  <c r="L131" i="1"/>
  <c r="M131" i="1" s="1"/>
  <c r="K131" i="1"/>
  <c r="J131" i="1"/>
  <c r="I131" i="1"/>
  <c r="H131" i="1"/>
  <c r="G131" i="1"/>
  <c r="F131" i="1"/>
  <c r="E131" i="1"/>
  <c r="D131" i="1"/>
  <c r="C131" i="1"/>
  <c r="B131" i="1"/>
  <c r="A131" i="1"/>
  <c r="P130" i="1"/>
  <c r="O130" i="1"/>
  <c r="N130" i="1"/>
  <c r="L130" i="1"/>
  <c r="M130" i="1" s="1"/>
  <c r="K130" i="1"/>
  <c r="J130" i="1"/>
  <c r="I130" i="1"/>
  <c r="H130" i="1"/>
  <c r="G130" i="1"/>
  <c r="F130" i="1"/>
  <c r="E130" i="1"/>
  <c r="D130" i="1"/>
  <c r="C130" i="1"/>
  <c r="B130" i="1"/>
  <c r="A130" i="1"/>
  <c r="P129" i="1"/>
  <c r="O129" i="1"/>
  <c r="N129" i="1"/>
  <c r="L129" i="1"/>
  <c r="M129" i="1" s="1"/>
  <c r="K129" i="1"/>
  <c r="J129" i="1"/>
  <c r="I129" i="1"/>
  <c r="H129" i="1"/>
  <c r="G129" i="1"/>
  <c r="F129" i="1"/>
  <c r="E129" i="1"/>
  <c r="D129" i="1"/>
  <c r="C129" i="1"/>
  <c r="B129" i="1"/>
  <c r="A129" i="1"/>
  <c r="P128" i="1"/>
  <c r="O128" i="1"/>
  <c r="N128" i="1"/>
  <c r="L128" i="1"/>
  <c r="M128" i="1" s="1"/>
  <c r="K128" i="1"/>
  <c r="J128" i="1"/>
  <c r="I128" i="1"/>
  <c r="H128" i="1"/>
  <c r="G128" i="1"/>
  <c r="F128" i="1"/>
  <c r="E128" i="1"/>
  <c r="D128" i="1"/>
  <c r="C128" i="1"/>
  <c r="B128" i="1"/>
  <c r="A128" i="1"/>
  <c r="P127" i="1"/>
  <c r="O127" i="1"/>
  <c r="N127" i="1"/>
  <c r="L127" i="1"/>
  <c r="M127" i="1" s="1"/>
  <c r="K127" i="1"/>
  <c r="J127" i="1"/>
  <c r="I127" i="1"/>
  <c r="H127" i="1"/>
  <c r="G127" i="1"/>
  <c r="F127" i="1"/>
  <c r="E127" i="1"/>
  <c r="D127" i="1"/>
  <c r="C127" i="1"/>
  <c r="B127" i="1"/>
  <c r="A127" i="1"/>
  <c r="P126" i="1"/>
  <c r="O126" i="1"/>
  <c r="N126" i="1"/>
  <c r="L126" i="1"/>
  <c r="M126" i="1" s="1"/>
  <c r="K126" i="1"/>
  <c r="J126" i="1"/>
  <c r="I126" i="1"/>
  <c r="H126" i="1"/>
  <c r="G126" i="1"/>
  <c r="F126" i="1"/>
  <c r="E126" i="1"/>
  <c r="D126" i="1"/>
  <c r="C126" i="1"/>
  <c r="B126" i="1"/>
  <c r="A126" i="1"/>
  <c r="P125" i="1"/>
  <c r="O125" i="1"/>
  <c r="N125" i="1"/>
  <c r="L125" i="1"/>
  <c r="M125" i="1" s="1"/>
  <c r="K125" i="1"/>
  <c r="J125" i="1"/>
  <c r="I125" i="1"/>
  <c r="H125" i="1"/>
  <c r="G125" i="1"/>
  <c r="F125" i="1"/>
  <c r="E125" i="1"/>
  <c r="D125" i="1"/>
  <c r="C125" i="1"/>
  <c r="B125" i="1"/>
  <c r="A125" i="1"/>
  <c r="P124" i="1"/>
  <c r="O124" i="1"/>
  <c r="N124" i="1"/>
  <c r="L124" i="1"/>
  <c r="M124" i="1" s="1"/>
  <c r="K124" i="1"/>
  <c r="J124" i="1"/>
  <c r="I124" i="1"/>
  <c r="H124" i="1"/>
  <c r="G124" i="1"/>
  <c r="F124" i="1"/>
  <c r="E124" i="1"/>
  <c r="D124" i="1"/>
  <c r="C124" i="1"/>
  <c r="B124" i="1"/>
  <c r="A124" i="1"/>
  <c r="P123" i="1"/>
  <c r="O123" i="1"/>
  <c r="N123" i="1"/>
  <c r="L123" i="1"/>
  <c r="M123" i="1" s="1"/>
  <c r="K123" i="1"/>
  <c r="J123" i="1"/>
  <c r="I123" i="1"/>
  <c r="H123" i="1"/>
  <c r="G123" i="1"/>
  <c r="F123" i="1"/>
  <c r="E123" i="1"/>
  <c r="D123" i="1"/>
  <c r="C123" i="1"/>
  <c r="B123" i="1"/>
  <c r="A123" i="1"/>
  <c r="P122" i="1"/>
  <c r="O122" i="1"/>
  <c r="N122" i="1"/>
  <c r="L122" i="1"/>
  <c r="M122" i="1" s="1"/>
  <c r="K122" i="1"/>
  <c r="J122" i="1"/>
  <c r="I122" i="1"/>
  <c r="H122" i="1"/>
  <c r="G122" i="1"/>
  <c r="F122" i="1"/>
  <c r="E122" i="1"/>
  <c r="D122" i="1"/>
  <c r="C122" i="1"/>
  <c r="B122" i="1"/>
  <c r="A122" i="1"/>
  <c r="P121" i="1"/>
  <c r="O121" i="1"/>
  <c r="N121" i="1"/>
  <c r="L121" i="1"/>
  <c r="M121" i="1" s="1"/>
  <c r="K121" i="1"/>
  <c r="J121" i="1"/>
  <c r="I121" i="1"/>
  <c r="H121" i="1"/>
  <c r="G121" i="1"/>
  <c r="F121" i="1"/>
  <c r="E121" i="1"/>
  <c r="D121" i="1"/>
  <c r="C121" i="1"/>
  <c r="B121" i="1"/>
  <c r="A121" i="1"/>
  <c r="P120" i="1"/>
  <c r="O120" i="1"/>
  <c r="N120" i="1"/>
  <c r="L120" i="1"/>
  <c r="M120" i="1" s="1"/>
  <c r="K120" i="1"/>
  <c r="J120" i="1"/>
  <c r="I120" i="1"/>
  <c r="H120" i="1"/>
  <c r="G120" i="1"/>
  <c r="F120" i="1"/>
  <c r="E120" i="1"/>
  <c r="D120" i="1"/>
  <c r="C120" i="1"/>
  <c r="B120" i="1"/>
  <c r="A120" i="1"/>
  <c r="P119" i="1"/>
  <c r="O119" i="1"/>
  <c r="N119" i="1"/>
  <c r="L119" i="1"/>
  <c r="M119" i="1" s="1"/>
  <c r="K119" i="1"/>
  <c r="J119" i="1"/>
  <c r="I119" i="1"/>
  <c r="H119" i="1"/>
  <c r="G119" i="1"/>
  <c r="F119" i="1"/>
  <c r="E119" i="1"/>
  <c r="D119" i="1"/>
  <c r="C119" i="1"/>
  <c r="B119" i="1"/>
  <c r="A119" i="1"/>
  <c r="P118" i="1"/>
  <c r="O118" i="1"/>
  <c r="N118" i="1"/>
  <c r="L118" i="1"/>
  <c r="M118" i="1" s="1"/>
  <c r="K118" i="1"/>
  <c r="J118" i="1"/>
  <c r="I118" i="1"/>
  <c r="H118" i="1"/>
  <c r="G118" i="1"/>
  <c r="F118" i="1"/>
  <c r="E118" i="1"/>
  <c r="D118" i="1"/>
  <c r="C118" i="1"/>
  <c r="B118" i="1"/>
  <c r="A118" i="1"/>
  <c r="P117" i="1"/>
  <c r="O117" i="1"/>
  <c r="N117" i="1"/>
  <c r="L117" i="1"/>
  <c r="M117" i="1" s="1"/>
  <c r="K117" i="1"/>
  <c r="J117" i="1"/>
  <c r="I117" i="1"/>
  <c r="H117" i="1"/>
  <c r="G117" i="1"/>
  <c r="F117" i="1"/>
  <c r="E117" i="1"/>
  <c r="D117" i="1"/>
  <c r="C117" i="1"/>
  <c r="B117" i="1"/>
  <c r="A117" i="1"/>
  <c r="P116" i="1"/>
  <c r="O116" i="1"/>
  <c r="N116" i="1"/>
  <c r="L116" i="1"/>
  <c r="M116" i="1" s="1"/>
  <c r="K116" i="1"/>
  <c r="J116" i="1"/>
  <c r="I116" i="1"/>
  <c r="H116" i="1"/>
  <c r="G116" i="1"/>
  <c r="F116" i="1"/>
  <c r="E116" i="1"/>
  <c r="D116" i="1"/>
  <c r="C116" i="1"/>
  <c r="B116" i="1"/>
  <c r="A116" i="1"/>
  <c r="P115" i="1"/>
  <c r="O115" i="1"/>
  <c r="N115" i="1"/>
  <c r="L115" i="1"/>
  <c r="M115" i="1" s="1"/>
  <c r="K115" i="1"/>
  <c r="J115" i="1"/>
  <c r="I115" i="1"/>
  <c r="H115" i="1"/>
  <c r="G115" i="1"/>
  <c r="F115" i="1"/>
  <c r="E115" i="1"/>
  <c r="D115" i="1"/>
  <c r="C115" i="1"/>
  <c r="B115" i="1"/>
  <c r="A115" i="1"/>
  <c r="P114" i="1"/>
  <c r="O114" i="1"/>
  <c r="N114" i="1"/>
  <c r="L114" i="1"/>
  <c r="M114" i="1" s="1"/>
  <c r="K114" i="1"/>
  <c r="J114" i="1"/>
  <c r="I114" i="1"/>
  <c r="H114" i="1"/>
  <c r="G114" i="1"/>
  <c r="F114" i="1"/>
  <c r="E114" i="1"/>
  <c r="D114" i="1"/>
  <c r="C114" i="1"/>
  <c r="B114" i="1"/>
  <c r="A114" i="1"/>
  <c r="P113" i="1"/>
  <c r="O113" i="1"/>
  <c r="N113" i="1"/>
  <c r="L113" i="1"/>
  <c r="M113" i="1" s="1"/>
  <c r="K113" i="1"/>
  <c r="J113" i="1"/>
  <c r="I113" i="1"/>
  <c r="H113" i="1"/>
  <c r="G113" i="1"/>
  <c r="F113" i="1"/>
  <c r="E113" i="1"/>
  <c r="D113" i="1"/>
  <c r="C113" i="1"/>
  <c r="B113" i="1"/>
  <c r="A113" i="1"/>
  <c r="P112" i="1"/>
  <c r="L112" i="1"/>
  <c r="M112" i="1" s="1"/>
  <c r="K112" i="1"/>
  <c r="J112" i="1"/>
  <c r="I112" i="1"/>
  <c r="H112" i="1"/>
  <c r="G112" i="1"/>
  <c r="F112" i="1"/>
  <c r="E112" i="1"/>
  <c r="D112" i="1"/>
  <c r="C112" i="1"/>
  <c r="B112" i="1"/>
  <c r="A112" i="1"/>
  <c r="P111" i="1"/>
  <c r="O111" i="1"/>
  <c r="N111" i="1"/>
  <c r="L111" i="1"/>
  <c r="M111" i="1" s="1"/>
  <c r="K111" i="1"/>
  <c r="J111" i="1"/>
  <c r="I111" i="1"/>
  <c r="H111" i="1"/>
  <c r="G111" i="1"/>
  <c r="F111" i="1"/>
  <c r="E111" i="1"/>
  <c r="D111" i="1"/>
  <c r="C111" i="1"/>
  <c r="B111" i="1"/>
  <c r="A111" i="1"/>
  <c r="P110" i="1"/>
  <c r="O110" i="1"/>
  <c r="N110" i="1"/>
  <c r="L110" i="1"/>
  <c r="M110" i="1" s="1"/>
  <c r="K110" i="1"/>
  <c r="J110" i="1"/>
  <c r="I110" i="1"/>
  <c r="H110" i="1"/>
  <c r="G110" i="1"/>
  <c r="F110" i="1"/>
  <c r="E110" i="1"/>
  <c r="D110" i="1"/>
  <c r="C110" i="1"/>
  <c r="B110" i="1"/>
  <c r="A110" i="1"/>
  <c r="P109" i="1"/>
  <c r="L109" i="1"/>
  <c r="M109" i="1" s="1"/>
  <c r="K109" i="1"/>
  <c r="J109" i="1"/>
  <c r="I109" i="1"/>
  <c r="H109" i="1"/>
  <c r="G109" i="1"/>
  <c r="F109" i="1"/>
  <c r="E109" i="1"/>
  <c r="D109" i="1"/>
  <c r="C109" i="1"/>
  <c r="B109" i="1"/>
  <c r="A109" i="1"/>
  <c r="P108" i="1"/>
  <c r="L108" i="1"/>
  <c r="M108" i="1" s="1"/>
  <c r="K108" i="1"/>
  <c r="J108" i="1"/>
  <c r="I108" i="1"/>
  <c r="H108" i="1"/>
  <c r="G108" i="1"/>
  <c r="F108" i="1"/>
  <c r="E108" i="1"/>
  <c r="D108" i="1"/>
  <c r="C108" i="1"/>
  <c r="B108" i="1"/>
  <c r="A108" i="1"/>
  <c r="P107" i="1"/>
  <c r="O107" i="1"/>
  <c r="L107" i="1"/>
  <c r="M107" i="1" s="1"/>
  <c r="K107" i="1"/>
  <c r="J107" i="1"/>
  <c r="I107" i="1"/>
  <c r="H107" i="1"/>
  <c r="G107" i="1"/>
  <c r="F107" i="1"/>
  <c r="E107" i="1"/>
  <c r="D107" i="1"/>
  <c r="C107" i="1"/>
  <c r="B107" i="1"/>
  <c r="A107" i="1"/>
  <c r="P106" i="1"/>
  <c r="O106" i="1"/>
  <c r="N106" i="1"/>
  <c r="L106" i="1"/>
  <c r="M106" i="1" s="1"/>
  <c r="K106" i="1"/>
  <c r="J106" i="1"/>
  <c r="I106" i="1"/>
  <c r="H106" i="1"/>
  <c r="G106" i="1"/>
  <c r="F106" i="1"/>
  <c r="E106" i="1"/>
  <c r="D106" i="1"/>
  <c r="C106" i="1"/>
  <c r="B106" i="1"/>
  <c r="A106" i="1"/>
  <c r="P105" i="1"/>
  <c r="L105" i="1"/>
  <c r="M105" i="1" s="1"/>
  <c r="K105" i="1"/>
  <c r="J105" i="1"/>
  <c r="I105" i="1"/>
  <c r="H105" i="1"/>
  <c r="G105" i="1"/>
  <c r="F105" i="1"/>
  <c r="E105" i="1"/>
  <c r="D105" i="1"/>
  <c r="C105" i="1"/>
  <c r="B105" i="1"/>
  <c r="A105" i="1"/>
  <c r="P104" i="1"/>
  <c r="L104" i="1"/>
  <c r="M104" i="1" s="1"/>
  <c r="K104" i="1"/>
  <c r="J104" i="1"/>
  <c r="I104" i="1"/>
  <c r="H104" i="1"/>
  <c r="G104" i="1"/>
  <c r="F104" i="1"/>
  <c r="E104" i="1"/>
  <c r="D104" i="1"/>
  <c r="C104" i="1"/>
  <c r="B104" i="1"/>
  <c r="A104" i="1"/>
  <c r="P103" i="1"/>
  <c r="O103" i="1"/>
  <c r="N103" i="1"/>
  <c r="L103" i="1"/>
  <c r="M103" i="1" s="1"/>
  <c r="K103" i="1"/>
  <c r="J103" i="1"/>
  <c r="I103" i="1"/>
  <c r="H103" i="1"/>
  <c r="G103" i="1"/>
  <c r="F103" i="1"/>
  <c r="E103" i="1"/>
  <c r="D103" i="1"/>
  <c r="C103" i="1"/>
  <c r="B103" i="1"/>
  <c r="A103" i="1"/>
  <c r="P102" i="1"/>
  <c r="O102" i="1"/>
  <c r="N102" i="1"/>
  <c r="L102" i="1"/>
  <c r="M102" i="1" s="1"/>
  <c r="K102" i="1"/>
  <c r="J102" i="1"/>
  <c r="I102" i="1"/>
  <c r="H102" i="1"/>
  <c r="G102" i="1"/>
  <c r="F102" i="1"/>
  <c r="E102" i="1"/>
  <c r="D102" i="1"/>
  <c r="C102" i="1"/>
  <c r="B102" i="1"/>
  <c r="A102" i="1"/>
  <c r="P101" i="1"/>
  <c r="L101" i="1"/>
  <c r="M101" i="1" s="1"/>
  <c r="K101" i="1"/>
  <c r="J101" i="1"/>
  <c r="I101" i="1"/>
  <c r="H101" i="1"/>
  <c r="G101" i="1"/>
  <c r="F101" i="1"/>
  <c r="E101" i="1"/>
  <c r="D101" i="1"/>
  <c r="C101" i="1"/>
  <c r="B101" i="1"/>
  <c r="A101" i="1"/>
  <c r="P100" i="1"/>
  <c r="L100" i="1"/>
  <c r="M100" i="1" s="1"/>
  <c r="K100" i="1"/>
  <c r="J100" i="1"/>
  <c r="I100" i="1"/>
  <c r="H100" i="1"/>
  <c r="G100" i="1"/>
  <c r="F100" i="1"/>
  <c r="E100" i="1"/>
  <c r="D100" i="1"/>
  <c r="C100" i="1"/>
  <c r="B100" i="1"/>
  <c r="A100" i="1"/>
  <c r="P99" i="1"/>
  <c r="O99" i="1"/>
  <c r="L99" i="1"/>
  <c r="M99" i="1" s="1"/>
  <c r="K99" i="1"/>
  <c r="J99" i="1"/>
  <c r="I99" i="1"/>
  <c r="H99" i="1"/>
  <c r="G99" i="1"/>
  <c r="F99" i="1"/>
  <c r="E99" i="1"/>
  <c r="D99" i="1"/>
  <c r="C99" i="1"/>
  <c r="B99" i="1"/>
  <c r="A99" i="1"/>
  <c r="P98" i="1"/>
  <c r="O98" i="1"/>
  <c r="N98" i="1"/>
  <c r="L98" i="1"/>
  <c r="M98" i="1" s="1"/>
  <c r="K98" i="1"/>
  <c r="J98" i="1"/>
  <c r="I98" i="1"/>
  <c r="H98" i="1"/>
  <c r="G98" i="1"/>
  <c r="F98" i="1"/>
  <c r="E98" i="1"/>
  <c r="D98" i="1"/>
  <c r="C98" i="1"/>
  <c r="B98" i="1"/>
  <c r="A98" i="1"/>
  <c r="P97" i="1"/>
  <c r="L97" i="1"/>
  <c r="M97" i="1" s="1"/>
  <c r="K97" i="1"/>
  <c r="J97" i="1"/>
  <c r="I97" i="1"/>
  <c r="H97" i="1"/>
  <c r="G97" i="1"/>
  <c r="F97" i="1"/>
  <c r="E97" i="1"/>
  <c r="D97" i="1"/>
  <c r="C97" i="1"/>
  <c r="B97" i="1"/>
  <c r="A97" i="1"/>
  <c r="P96" i="1"/>
  <c r="L96" i="1"/>
  <c r="M96" i="1" s="1"/>
  <c r="K96" i="1"/>
  <c r="J96" i="1"/>
  <c r="I96" i="1"/>
  <c r="H96" i="1"/>
  <c r="G96" i="1"/>
  <c r="F96" i="1"/>
  <c r="E96" i="1"/>
  <c r="D96" i="1"/>
  <c r="C96" i="1"/>
  <c r="B96" i="1"/>
  <c r="A96" i="1"/>
  <c r="P95" i="1"/>
  <c r="O95" i="1"/>
  <c r="N95" i="1"/>
  <c r="L95" i="1"/>
  <c r="M95" i="1" s="1"/>
  <c r="K95" i="1"/>
  <c r="J95" i="1"/>
  <c r="I95" i="1"/>
  <c r="H95" i="1"/>
  <c r="G95" i="1"/>
  <c r="F95" i="1"/>
  <c r="E95" i="1"/>
  <c r="D95" i="1"/>
  <c r="C95" i="1"/>
  <c r="B95" i="1"/>
  <c r="A95" i="1"/>
  <c r="P94" i="1"/>
  <c r="O94" i="1"/>
  <c r="N94" i="1"/>
  <c r="L94" i="1"/>
  <c r="M94" i="1" s="1"/>
  <c r="K94" i="1"/>
  <c r="J94" i="1"/>
  <c r="I94" i="1"/>
  <c r="H94" i="1"/>
  <c r="G94" i="1"/>
  <c r="F94" i="1"/>
  <c r="E94" i="1"/>
  <c r="D94" i="1"/>
  <c r="C94" i="1"/>
  <c r="B94" i="1"/>
  <c r="A94" i="1"/>
  <c r="P93" i="1"/>
  <c r="L93" i="1"/>
  <c r="M93" i="1" s="1"/>
  <c r="K93" i="1"/>
  <c r="J93" i="1"/>
  <c r="I93" i="1"/>
  <c r="H93" i="1"/>
  <c r="G93" i="1"/>
  <c r="F93" i="1"/>
  <c r="E93" i="1"/>
  <c r="D93" i="1"/>
  <c r="C93" i="1"/>
  <c r="B93" i="1"/>
  <c r="A93" i="1"/>
  <c r="P92" i="1"/>
  <c r="L92" i="1"/>
  <c r="M92" i="1" s="1"/>
  <c r="K92" i="1"/>
  <c r="J92" i="1"/>
  <c r="I92" i="1"/>
  <c r="H92" i="1"/>
  <c r="G92" i="1"/>
  <c r="F92" i="1"/>
  <c r="E92" i="1"/>
  <c r="D92" i="1"/>
  <c r="C92" i="1"/>
  <c r="B92" i="1"/>
  <c r="A92" i="1"/>
  <c r="P91" i="1"/>
  <c r="O91" i="1"/>
  <c r="L91" i="1"/>
  <c r="M91" i="1" s="1"/>
  <c r="K91" i="1"/>
  <c r="J91" i="1"/>
  <c r="I91" i="1"/>
  <c r="H91" i="1"/>
  <c r="G91" i="1"/>
  <c r="F91" i="1"/>
  <c r="E91" i="1"/>
  <c r="D91" i="1"/>
  <c r="C91" i="1"/>
  <c r="B91" i="1"/>
  <c r="A91" i="1"/>
  <c r="P90" i="1"/>
  <c r="O90" i="1"/>
  <c r="N90" i="1"/>
  <c r="L90" i="1"/>
  <c r="M90" i="1" s="1"/>
  <c r="K90" i="1"/>
  <c r="J90" i="1"/>
  <c r="I90" i="1"/>
  <c r="H90" i="1"/>
  <c r="G90" i="1"/>
  <c r="F90" i="1"/>
  <c r="E90" i="1"/>
  <c r="D90" i="1"/>
  <c r="C90" i="1"/>
  <c r="B90" i="1"/>
  <c r="A90" i="1"/>
  <c r="P89" i="1"/>
  <c r="L89" i="1"/>
  <c r="M89" i="1" s="1"/>
  <c r="K89" i="1"/>
  <c r="J89" i="1"/>
  <c r="I89" i="1"/>
  <c r="H89" i="1"/>
  <c r="G89" i="1"/>
  <c r="F89" i="1"/>
  <c r="E89" i="1"/>
  <c r="D89" i="1"/>
  <c r="C89" i="1"/>
  <c r="B89" i="1"/>
  <c r="A89" i="1"/>
  <c r="P88" i="1"/>
  <c r="L88" i="1"/>
  <c r="M88" i="1" s="1"/>
  <c r="K88" i="1"/>
  <c r="J88" i="1"/>
  <c r="I88" i="1"/>
  <c r="H88" i="1"/>
  <c r="G88" i="1"/>
  <c r="F88" i="1"/>
  <c r="E88" i="1"/>
  <c r="D88" i="1"/>
  <c r="C88" i="1"/>
  <c r="B88" i="1"/>
  <c r="A88" i="1"/>
  <c r="P87" i="1"/>
  <c r="O87" i="1"/>
  <c r="N87" i="1"/>
  <c r="L87" i="1"/>
  <c r="M87" i="1" s="1"/>
  <c r="K87" i="1"/>
  <c r="J87" i="1"/>
  <c r="I87" i="1"/>
  <c r="H87" i="1"/>
  <c r="G87" i="1"/>
  <c r="F87" i="1"/>
  <c r="E87" i="1"/>
  <c r="D87" i="1"/>
  <c r="C87" i="1"/>
  <c r="B87" i="1"/>
  <c r="A87" i="1"/>
  <c r="P86" i="1"/>
  <c r="O86" i="1"/>
  <c r="N86" i="1"/>
  <c r="L86" i="1"/>
  <c r="M86" i="1" s="1"/>
  <c r="K86" i="1"/>
  <c r="J86" i="1"/>
  <c r="I86" i="1"/>
  <c r="H86" i="1"/>
  <c r="G86" i="1"/>
  <c r="F86" i="1"/>
  <c r="E86" i="1"/>
  <c r="D86" i="1"/>
  <c r="C86" i="1"/>
  <c r="B86" i="1"/>
  <c r="A86" i="1"/>
  <c r="P85" i="1"/>
  <c r="L85" i="1"/>
  <c r="M85" i="1" s="1"/>
  <c r="K85" i="1"/>
  <c r="J85" i="1"/>
  <c r="I85" i="1"/>
  <c r="H85" i="1"/>
  <c r="G85" i="1"/>
  <c r="F85" i="1"/>
  <c r="E85" i="1"/>
  <c r="D85" i="1"/>
  <c r="C85" i="1"/>
  <c r="B85" i="1"/>
  <c r="A85" i="1"/>
  <c r="P84" i="1"/>
  <c r="L84" i="1"/>
  <c r="M84" i="1" s="1"/>
  <c r="K84" i="1"/>
  <c r="J84" i="1"/>
  <c r="I84" i="1"/>
  <c r="H84" i="1"/>
  <c r="G84" i="1"/>
  <c r="F84" i="1"/>
  <c r="E84" i="1"/>
  <c r="D84" i="1"/>
  <c r="C84" i="1"/>
  <c r="B84" i="1"/>
  <c r="A84" i="1"/>
  <c r="P83" i="1"/>
  <c r="O83" i="1"/>
  <c r="L83" i="1"/>
  <c r="M83" i="1" s="1"/>
  <c r="K83" i="1"/>
  <c r="J83" i="1"/>
  <c r="I83" i="1"/>
  <c r="H83" i="1"/>
  <c r="G83" i="1"/>
  <c r="F83" i="1"/>
  <c r="E83" i="1"/>
  <c r="D83" i="1"/>
  <c r="C83" i="1"/>
  <c r="B83" i="1"/>
  <c r="A83" i="1"/>
  <c r="P82" i="1"/>
  <c r="O82" i="1"/>
  <c r="N82" i="1"/>
  <c r="L82" i="1"/>
  <c r="M82" i="1" s="1"/>
  <c r="K82" i="1"/>
  <c r="J82" i="1"/>
  <c r="I82" i="1"/>
  <c r="H82" i="1"/>
  <c r="G82" i="1"/>
  <c r="F82" i="1"/>
  <c r="E82" i="1"/>
  <c r="D82" i="1"/>
  <c r="C82" i="1"/>
  <c r="B82" i="1"/>
  <c r="A82" i="1"/>
  <c r="P81" i="1"/>
  <c r="L81" i="1"/>
  <c r="M81" i="1" s="1"/>
  <c r="K81" i="1"/>
  <c r="J81" i="1"/>
  <c r="I81" i="1"/>
  <c r="H81" i="1"/>
  <c r="G81" i="1"/>
  <c r="F81" i="1"/>
  <c r="E81" i="1"/>
  <c r="D81" i="1"/>
  <c r="C81" i="1"/>
  <c r="B81" i="1"/>
  <c r="A81" i="1"/>
  <c r="P80" i="1"/>
  <c r="L80" i="1"/>
  <c r="M80" i="1" s="1"/>
  <c r="K80" i="1"/>
  <c r="J80" i="1"/>
  <c r="I80" i="1"/>
  <c r="H80" i="1"/>
  <c r="G80" i="1"/>
  <c r="F80" i="1"/>
  <c r="E80" i="1"/>
  <c r="D80" i="1"/>
  <c r="C80" i="1"/>
  <c r="B80" i="1"/>
  <c r="A80" i="1"/>
  <c r="P79" i="1"/>
  <c r="O79" i="1"/>
  <c r="N79" i="1"/>
  <c r="L79" i="1"/>
  <c r="M79" i="1" s="1"/>
  <c r="K79" i="1"/>
  <c r="J79" i="1"/>
  <c r="I79" i="1"/>
  <c r="H79" i="1"/>
  <c r="G79" i="1"/>
  <c r="F79" i="1"/>
  <c r="E79" i="1"/>
  <c r="D79" i="1"/>
  <c r="C79" i="1"/>
  <c r="B79" i="1"/>
  <c r="A79" i="1"/>
  <c r="P78" i="1"/>
  <c r="O78" i="1"/>
  <c r="N78" i="1"/>
  <c r="L78" i="1"/>
  <c r="M78" i="1" s="1"/>
  <c r="K78" i="1"/>
  <c r="J78" i="1"/>
  <c r="I78" i="1"/>
  <c r="H78" i="1"/>
  <c r="G78" i="1"/>
  <c r="F78" i="1"/>
  <c r="E78" i="1"/>
  <c r="D78" i="1"/>
  <c r="C78" i="1"/>
  <c r="B78" i="1"/>
  <c r="A78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A77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A76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A75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A74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A73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A72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A71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A70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69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A68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A67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A66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A65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A64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A63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A62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A61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A60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A59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A58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A57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A56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A55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A54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A53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A52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A51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A50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A49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A48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A47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A46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A45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A44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A43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A42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A41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A40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A39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A38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A37" i="1"/>
  <c r="P36" i="1"/>
  <c r="N36" i="1"/>
  <c r="M36" i="1"/>
  <c r="L36" i="1"/>
  <c r="O36" i="1" s="1"/>
  <c r="K36" i="1"/>
  <c r="J36" i="1"/>
  <c r="I36" i="1"/>
  <c r="H36" i="1"/>
  <c r="G36" i="1"/>
  <c r="F36" i="1"/>
  <c r="E36" i="1"/>
  <c r="D36" i="1"/>
  <c r="C36" i="1"/>
  <c r="B36" i="1"/>
  <c r="A36" i="1"/>
  <c r="P35" i="1"/>
  <c r="N35" i="1"/>
  <c r="M35" i="1"/>
  <c r="L35" i="1"/>
  <c r="O35" i="1" s="1"/>
  <c r="K35" i="1"/>
  <c r="J35" i="1"/>
  <c r="I35" i="1"/>
  <c r="H35" i="1"/>
  <c r="G35" i="1"/>
  <c r="F35" i="1"/>
  <c r="E35" i="1"/>
  <c r="D35" i="1"/>
  <c r="C35" i="1"/>
  <c r="B35" i="1"/>
  <c r="A35" i="1"/>
  <c r="P34" i="1"/>
  <c r="N34" i="1"/>
  <c r="M34" i="1"/>
  <c r="L34" i="1"/>
  <c r="O34" i="1" s="1"/>
  <c r="K34" i="1"/>
  <c r="J34" i="1"/>
  <c r="I34" i="1"/>
  <c r="H34" i="1"/>
  <c r="G34" i="1"/>
  <c r="F34" i="1"/>
  <c r="E34" i="1"/>
  <c r="D34" i="1"/>
  <c r="C34" i="1"/>
  <c r="B34" i="1"/>
  <c r="A34" i="1"/>
  <c r="P33" i="1"/>
  <c r="N33" i="1"/>
  <c r="M33" i="1"/>
  <c r="L33" i="1"/>
  <c r="O33" i="1" s="1"/>
  <c r="K33" i="1"/>
  <c r="J33" i="1"/>
  <c r="I33" i="1"/>
  <c r="H33" i="1"/>
  <c r="G33" i="1"/>
  <c r="F33" i="1"/>
  <c r="E33" i="1"/>
  <c r="D33" i="1"/>
  <c r="C33" i="1"/>
  <c r="B33" i="1"/>
  <c r="A33" i="1"/>
  <c r="P32" i="1"/>
  <c r="N32" i="1"/>
  <c r="M32" i="1"/>
  <c r="L32" i="1"/>
  <c r="O32" i="1" s="1"/>
  <c r="K32" i="1"/>
  <c r="J32" i="1"/>
  <c r="I32" i="1"/>
  <c r="H32" i="1"/>
  <c r="G32" i="1"/>
  <c r="F32" i="1"/>
  <c r="E32" i="1"/>
  <c r="D32" i="1"/>
  <c r="C32" i="1"/>
  <c r="B32" i="1"/>
  <c r="A32" i="1"/>
  <c r="P31" i="1"/>
  <c r="N31" i="1"/>
  <c r="M31" i="1"/>
  <c r="L31" i="1"/>
  <c r="O31" i="1" s="1"/>
  <c r="K31" i="1"/>
  <c r="J31" i="1"/>
  <c r="I31" i="1"/>
  <c r="H31" i="1"/>
  <c r="G31" i="1"/>
  <c r="F31" i="1"/>
  <c r="E31" i="1"/>
  <c r="D31" i="1"/>
  <c r="C31" i="1"/>
  <c r="B31" i="1"/>
  <c r="A31" i="1"/>
  <c r="P30" i="1"/>
  <c r="N30" i="1"/>
  <c r="M30" i="1"/>
  <c r="L30" i="1"/>
  <c r="O30" i="1" s="1"/>
  <c r="K30" i="1"/>
  <c r="J30" i="1"/>
  <c r="I30" i="1"/>
  <c r="H30" i="1"/>
  <c r="G30" i="1"/>
  <c r="F30" i="1"/>
  <c r="E30" i="1"/>
  <c r="D30" i="1"/>
  <c r="C30" i="1"/>
  <c r="B30" i="1"/>
  <c r="A30" i="1"/>
  <c r="P29" i="1"/>
  <c r="N29" i="1"/>
  <c r="M29" i="1"/>
  <c r="L29" i="1"/>
  <c r="O29" i="1" s="1"/>
  <c r="K29" i="1"/>
  <c r="J29" i="1"/>
  <c r="I29" i="1"/>
  <c r="H29" i="1"/>
  <c r="G29" i="1"/>
  <c r="F29" i="1"/>
  <c r="E29" i="1"/>
  <c r="D29" i="1"/>
  <c r="C29" i="1"/>
  <c r="B29" i="1"/>
  <c r="A29" i="1"/>
  <c r="P28" i="1"/>
  <c r="N28" i="1"/>
  <c r="M28" i="1"/>
  <c r="L28" i="1"/>
  <c r="O28" i="1" s="1"/>
  <c r="K28" i="1"/>
  <c r="J28" i="1"/>
  <c r="I28" i="1"/>
  <c r="H28" i="1"/>
  <c r="G28" i="1"/>
  <c r="F28" i="1"/>
  <c r="E28" i="1"/>
  <c r="D28" i="1"/>
  <c r="C28" i="1"/>
  <c r="B28" i="1"/>
  <c r="A28" i="1"/>
  <c r="P27" i="1"/>
  <c r="N27" i="1"/>
  <c r="M27" i="1"/>
  <c r="L27" i="1"/>
  <c r="O27" i="1" s="1"/>
  <c r="K27" i="1"/>
  <c r="J27" i="1"/>
  <c r="I27" i="1"/>
  <c r="H27" i="1"/>
  <c r="G27" i="1"/>
  <c r="F27" i="1"/>
  <c r="E27" i="1"/>
  <c r="D27" i="1"/>
  <c r="C27" i="1"/>
  <c r="B27" i="1"/>
  <c r="A27" i="1"/>
  <c r="P26" i="1"/>
  <c r="N26" i="1"/>
  <c r="M26" i="1"/>
  <c r="L26" i="1"/>
  <c r="O26" i="1" s="1"/>
  <c r="K26" i="1"/>
  <c r="J26" i="1"/>
  <c r="I26" i="1"/>
  <c r="H26" i="1"/>
  <c r="G26" i="1"/>
  <c r="F26" i="1"/>
  <c r="E26" i="1"/>
  <c r="D26" i="1"/>
  <c r="C26" i="1"/>
  <c r="B26" i="1"/>
  <c r="A26" i="1"/>
  <c r="P25" i="1"/>
  <c r="N25" i="1"/>
  <c r="M25" i="1"/>
  <c r="L25" i="1"/>
  <c r="O25" i="1" s="1"/>
  <c r="K25" i="1"/>
  <c r="J25" i="1"/>
  <c r="I25" i="1"/>
  <c r="H25" i="1"/>
  <c r="G25" i="1"/>
  <c r="F25" i="1"/>
  <c r="E25" i="1"/>
  <c r="D25" i="1"/>
  <c r="C25" i="1"/>
  <c r="B25" i="1"/>
  <c r="A25" i="1"/>
  <c r="P24" i="1"/>
  <c r="N24" i="1"/>
  <c r="M24" i="1"/>
  <c r="L24" i="1"/>
  <c r="O24" i="1" s="1"/>
  <c r="K24" i="1"/>
  <c r="J24" i="1"/>
  <c r="I24" i="1"/>
  <c r="H24" i="1"/>
  <c r="G24" i="1"/>
  <c r="F24" i="1"/>
  <c r="E24" i="1"/>
  <c r="D24" i="1"/>
  <c r="C24" i="1"/>
  <c r="B24" i="1"/>
  <c r="A24" i="1"/>
  <c r="P23" i="1"/>
  <c r="N23" i="1"/>
  <c r="M23" i="1"/>
  <c r="L23" i="1"/>
  <c r="O23" i="1" s="1"/>
  <c r="K23" i="1"/>
  <c r="J23" i="1"/>
  <c r="I23" i="1"/>
  <c r="H23" i="1"/>
  <c r="G23" i="1"/>
  <c r="F23" i="1"/>
  <c r="E23" i="1"/>
  <c r="D23" i="1"/>
  <c r="C23" i="1"/>
  <c r="B23" i="1"/>
  <c r="A23" i="1"/>
  <c r="P22" i="1"/>
  <c r="N22" i="1"/>
  <c r="M22" i="1"/>
  <c r="L22" i="1"/>
  <c r="O22" i="1" s="1"/>
  <c r="K22" i="1"/>
  <c r="J22" i="1"/>
  <c r="I22" i="1"/>
  <c r="H22" i="1"/>
  <c r="G22" i="1"/>
  <c r="F22" i="1"/>
  <c r="E22" i="1"/>
  <c r="D22" i="1"/>
  <c r="C22" i="1"/>
  <c r="B22" i="1"/>
  <c r="A22" i="1"/>
  <c r="P21" i="1"/>
  <c r="N21" i="1"/>
  <c r="M21" i="1"/>
  <c r="L21" i="1"/>
  <c r="O21" i="1" s="1"/>
  <c r="K21" i="1"/>
  <c r="J21" i="1"/>
  <c r="I21" i="1"/>
  <c r="H21" i="1"/>
  <c r="G21" i="1"/>
  <c r="F21" i="1"/>
  <c r="E21" i="1"/>
  <c r="D21" i="1"/>
  <c r="C21" i="1"/>
  <c r="B21" i="1"/>
  <c r="A21" i="1"/>
  <c r="P20" i="1"/>
  <c r="N20" i="1"/>
  <c r="M20" i="1"/>
  <c r="L20" i="1"/>
  <c r="O20" i="1" s="1"/>
  <c r="K20" i="1"/>
  <c r="J20" i="1"/>
  <c r="I20" i="1"/>
  <c r="H20" i="1"/>
  <c r="G20" i="1"/>
  <c r="F20" i="1"/>
  <c r="E20" i="1"/>
  <c r="D20" i="1"/>
  <c r="C20" i="1"/>
  <c r="B20" i="1"/>
  <c r="A20" i="1"/>
  <c r="P19" i="1"/>
  <c r="N19" i="1"/>
  <c r="M19" i="1"/>
  <c r="L19" i="1"/>
  <c r="O19" i="1" s="1"/>
  <c r="K19" i="1"/>
  <c r="J19" i="1"/>
  <c r="I19" i="1"/>
  <c r="H19" i="1"/>
  <c r="G19" i="1"/>
  <c r="F19" i="1"/>
  <c r="E19" i="1"/>
  <c r="D19" i="1"/>
  <c r="C19" i="1"/>
  <c r="B19" i="1"/>
  <c r="A19" i="1"/>
  <c r="P18" i="1"/>
  <c r="N18" i="1"/>
  <c r="M18" i="1"/>
  <c r="L18" i="1"/>
  <c r="O18" i="1" s="1"/>
  <c r="K18" i="1"/>
  <c r="J18" i="1"/>
  <c r="I18" i="1"/>
  <c r="H18" i="1"/>
  <c r="G18" i="1"/>
  <c r="F18" i="1"/>
  <c r="E18" i="1"/>
  <c r="D18" i="1"/>
  <c r="C18" i="1"/>
  <c r="B18" i="1"/>
  <c r="A18" i="1"/>
  <c r="P17" i="1"/>
  <c r="N17" i="1"/>
  <c r="M17" i="1"/>
  <c r="L17" i="1"/>
  <c r="O17" i="1" s="1"/>
  <c r="K17" i="1"/>
  <c r="J17" i="1"/>
  <c r="I17" i="1"/>
  <c r="H17" i="1"/>
  <c r="G17" i="1"/>
  <c r="F17" i="1"/>
  <c r="E17" i="1"/>
  <c r="D17" i="1"/>
  <c r="C17" i="1"/>
  <c r="B17" i="1"/>
  <c r="A17" i="1"/>
  <c r="P16" i="1"/>
  <c r="N16" i="1"/>
  <c r="M16" i="1"/>
  <c r="L16" i="1"/>
  <c r="O16" i="1" s="1"/>
  <c r="K16" i="1"/>
  <c r="J16" i="1"/>
  <c r="I16" i="1"/>
  <c r="H16" i="1"/>
  <c r="G16" i="1"/>
  <c r="F16" i="1"/>
  <c r="E16" i="1"/>
  <c r="D16" i="1"/>
  <c r="C16" i="1"/>
  <c r="B16" i="1"/>
  <c r="A16" i="1"/>
  <c r="P15" i="1"/>
  <c r="N15" i="1"/>
  <c r="M15" i="1"/>
  <c r="L15" i="1"/>
  <c r="O15" i="1" s="1"/>
  <c r="K15" i="1"/>
  <c r="J15" i="1"/>
  <c r="I15" i="1"/>
  <c r="H15" i="1"/>
  <c r="G15" i="1"/>
  <c r="F15" i="1"/>
  <c r="E15" i="1"/>
  <c r="D15" i="1"/>
  <c r="C15" i="1"/>
  <c r="B15" i="1"/>
  <c r="A15" i="1"/>
  <c r="P14" i="1"/>
  <c r="N14" i="1"/>
  <c r="M14" i="1"/>
  <c r="L14" i="1"/>
  <c r="O14" i="1" s="1"/>
  <c r="K14" i="1"/>
  <c r="J14" i="1"/>
  <c r="I14" i="1"/>
  <c r="H14" i="1"/>
  <c r="G14" i="1"/>
  <c r="F14" i="1"/>
  <c r="E14" i="1"/>
  <c r="D14" i="1"/>
  <c r="C14" i="1"/>
  <c r="B14" i="1"/>
  <c r="A14" i="1"/>
  <c r="P13" i="1"/>
  <c r="N13" i="1"/>
  <c r="M13" i="1"/>
  <c r="L13" i="1"/>
  <c r="O13" i="1" s="1"/>
  <c r="K13" i="1"/>
  <c r="J13" i="1"/>
  <c r="I13" i="1"/>
  <c r="H13" i="1"/>
  <c r="G13" i="1"/>
  <c r="F13" i="1"/>
  <c r="E13" i="1"/>
  <c r="D13" i="1"/>
  <c r="C13" i="1"/>
  <c r="B13" i="1"/>
  <c r="A13" i="1"/>
  <c r="P12" i="1"/>
  <c r="N12" i="1"/>
  <c r="M12" i="1"/>
  <c r="L12" i="1"/>
  <c r="O12" i="1" s="1"/>
  <c r="K12" i="1"/>
  <c r="J12" i="1"/>
  <c r="I12" i="1"/>
  <c r="H12" i="1"/>
  <c r="G12" i="1"/>
  <c r="F12" i="1"/>
  <c r="E12" i="1"/>
  <c r="D12" i="1"/>
  <c r="C12" i="1"/>
  <c r="B12" i="1"/>
  <c r="A12" i="1"/>
  <c r="P11" i="1"/>
  <c r="N11" i="1"/>
  <c r="M11" i="1"/>
  <c r="L11" i="1"/>
  <c r="O11" i="1" s="1"/>
  <c r="K11" i="1"/>
  <c r="J11" i="1"/>
  <c r="I11" i="1"/>
  <c r="H11" i="1"/>
  <c r="G11" i="1"/>
  <c r="F11" i="1"/>
  <c r="E11" i="1"/>
  <c r="D11" i="1"/>
  <c r="C11" i="1"/>
  <c r="B11" i="1"/>
  <c r="A11" i="1"/>
  <c r="P10" i="1"/>
  <c r="N10" i="1"/>
  <c r="M10" i="1"/>
  <c r="L10" i="1"/>
  <c r="O10" i="1" s="1"/>
  <c r="K10" i="1"/>
  <c r="J10" i="1"/>
  <c r="I10" i="1"/>
  <c r="H10" i="1"/>
  <c r="G10" i="1"/>
  <c r="F10" i="1"/>
  <c r="E10" i="1"/>
  <c r="D10" i="1"/>
  <c r="C10" i="1"/>
  <c r="B10" i="1"/>
  <c r="A10" i="1"/>
  <c r="P9" i="1"/>
  <c r="N9" i="1"/>
  <c r="M9" i="1"/>
  <c r="L9" i="1"/>
  <c r="O9" i="1" s="1"/>
  <c r="K9" i="1"/>
  <c r="J9" i="1"/>
  <c r="I9" i="1"/>
  <c r="H9" i="1"/>
  <c r="G9" i="1"/>
  <c r="F9" i="1"/>
  <c r="E9" i="1"/>
  <c r="D9" i="1"/>
  <c r="C9" i="1"/>
  <c r="B9" i="1"/>
  <c r="A9" i="1"/>
  <c r="P8" i="1"/>
  <c r="N8" i="1"/>
  <c r="M8" i="1"/>
  <c r="L8" i="1"/>
  <c r="O8" i="1" s="1"/>
  <c r="K8" i="1"/>
  <c r="J8" i="1"/>
  <c r="I8" i="1"/>
  <c r="H8" i="1"/>
  <c r="G8" i="1"/>
  <c r="F8" i="1"/>
  <c r="E8" i="1"/>
  <c r="D8" i="1"/>
  <c r="C8" i="1"/>
  <c r="B8" i="1"/>
  <c r="A8" i="1"/>
  <c r="P7" i="1"/>
  <c r="N7" i="1"/>
  <c r="M7" i="1"/>
  <c r="L7" i="1"/>
  <c r="O7" i="1" s="1"/>
  <c r="K7" i="1"/>
  <c r="J7" i="1"/>
  <c r="I7" i="1"/>
  <c r="H7" i="1"/>
  <c r="G7" i="1"/>
  <c r="F7" i="1"/>
  <c r="E7" i="1"/>
  <c r="D7" i="1"/>
  <c r="C7" i="1"/>
  <c r="B7" i="1"/>
  <c r="A7" i="1"/>
  <c r="P6" i="1"/>
  <c r="N6" i="1"/>
  <c r="M6" i="1"/>
  <c r="L6" i="1"/>
  <c r="O6" i="1" s="1"/>
  <c r="K6" i="1"/>
  <c r="J6" i="1"/>
  <c r="I6" i="1"/>
  <c r="H6" i="1"/>
  <c r="G6" i="1"/>
  <c r="F6" i="1"/>
  <c r="E6" i="1"/>
  <c r="D6" i="1"/>
  <c r="C6" i="1"/>
  <c r="B6" i="1"/>
  <c r="A6" i="1"/>
  <c r="P5" i="1"/>
  <c r="N5" i="1"/>
  <c r="M5" i="1"/>
  <c r="L5" i="1"/>
  <c r="O5" i="1" s="1"/>
  <c r="K5" i="1"/>
  <c r="J5" i="1"/>
  <c r="I5" i="1"/>
  <c r="H5" i="1"/>
  <c r="G5" i="1"/>
  <c r="F5" i="1"/>
  <c r="E5" i="1"/>
  <c r="D5" i="1"/>
  <c r="C5" i="1"/>
  <c r="B5" i="1"/>
  <c r="A5" i="1"/>
  <c r="P4" i="1"/>
  <c r="N4" i="1"/>
  <c r="M4" i="1"/>
  <c r="L4" i="1"/>
  <c r="O4" i="1" s="1"/>
  <c r="K4" i="1"/>
  <c r="J4" i="1"/>
  <c r="I4" i="1"/>
  <c r="H4" i="1"/>
  <c r="G4" i="1"/>
  <c r="F4" i="1"/>
  <c r="E4" i="1"/>
  <c r="D4" i="1"/>
  <c r="C4" i="1"/>
  <c r="B4" i="1"/>
  <c r="A4" i="1"/>
  <c r="P3" i="1"/>
  <c r="N3" i="1"/>
  <c r="M3" i="1"/>
  <c r="L3" i="1"/>
  <c r="O3" i="1" s="1"/>
  <c r="K3" i="1"/>
  <c r="J3" i="1"/>
  <c r="I3" i="1"/>
  <c r="H3" i="1"/>
  <c r="G3" i="1"/>
  <c r="F3" i="1"/>
  <c r="E3" i="1"/>
  <c r="D3" i="1"/>
  <c r="C3" i="1"/>
  <c r="B3" i="1"/>
  <c r="A3" i="1"/>
  <c r="P2" i="1"/>
  <c r="N2" i="1"/>
  <c r="M2" i="1"/>
  <c r="L2" i="1"/>
  <c r="O2" i="1" s="1"/>
  <c r="K2" i="1"/>
  <c r="J2" i="1"/>
  <c r="I2" i="1"/>
  <c r="H2" i="1"/>
  <c r="G2" i="1"/>
  <c r="F2" i="1"/>
  <c r="E2" i="1"/>
  <c r="D2" i="1"/>
  <c r="C2" i="1"/>
  <c r="B2" i="1"/>
  <c r="A2" i="1"/>
  <c r="O277" i="1" l="1"/>
  <c r="N277" i="1"/>
  <c r="M182" i="1"/>
  <c r="O228" i="1"/>
  <c r="N228" i="1"/>
  <c r="M228" i="1"/>
  <c r="O237" i="1"/>
  <c r="N237" i="1"/>
  <c r="M262" i="1"/>
  <c r="M326" i="1"/>
  <c r="O80" i="1"/>
  <c r="O88" i="1"/>
  <c r="O96" i="1"/>
  <c r="O104" i="1"/>
  <c r="O112" i="1"/>
  <c r="O189" i="1"/>
  <c r="N189" i="1"/>
  <c r="N190" i="1"/>
  <c r="M214" i="1"/>
  <c r="N215" i="1"/>
  <c r="O244" i="1"/>
  <c r="N244" i="1"/>
  <c r="M244" i="1"/>
  <c r="O253" i="1"/>
  <c r="N253" i="1"/>
  <c r="N254" i="1"/>
  <c r="M278" i="1"/>
  <c r="O308" i="1"/>
  <c r="N308" i="1"/>
  <c r="M308" i="1"/>
  <c r="O317" i="1"/>
  <c r="N317" i="1"/>
  <c r="N318" i="1"/>
  <c r="O213" i="1"/>
  <c r="N213" i="1"/>
  <c r="O268" i="1"/>
  <c r="N268" i="1"/>
  <c r="M268" i="1"/>
  <c r="O332" i="1"/>
  <c r="N332" i="1"/>
  <c r="M332" i="1"/>
  <c r="N101" i="1"/>
  <c r="O301" i="1"/>
  <c r="N301" i="1"/>
  <c r="N85" i="1"/>
  <c r="N109" i="1"/>
  <c r="M277" i="1"/>
  <c r="N84" i="1"/>
  <c r="O85" i="1"/>
  <c r="N100" i="1"/>
  <c r="O109" i="1"/>
  <c r="O181" i="1"/>
  <c r="N181" i="1"/>
  <c r="N182" i="1"/>
  <c r="O188" i="1"/>
  <c r="N188" i="1"/>
  <c r="M188" i="1"/>
  <c r="O197" i="1"/>
  <c r="N197" i="1"/>
  <c r="N198" i="1"/>
  <c r="M222" i="1"/>
  <c r="M237" i="1"/>
  <c r="O252" i="1"/>
  <c r="N252" i="1"/>
  <c r="M252" i="1"/>
  <c r="O261" i="1"/>
  <c r="N261" i="1"/>
  <c r="N262" i="1"/>
  <c r="M286" i="1"/>
  <c r="M301" i="1"/>
  <c r="O316" i="1"/>
  <c r="N316" i="1"/>
  <c r="M316" i="1"/>
  <c r="O325" i="1"/>
  <c r="N325" i="1"/>
  <c r="N326" i="1"/>
  <c r="O204" i="1"/>
  <c r="N204" i="1"/>
  <c r="M204" i="1"/>
  <c r="N93" i="1"/>
  <c r="M213" i="1"/>
  <c r="N92" i="1"/>
  <c r="O93" i="1"/>
  <c r="O101" i="1"/>
  <c r="N108" i="1"/>
  <c r="N83" i="1"/>
  <c r="O84" i="1"/>
  <c r="N91" i="1"/>
  <c r="O92" i="1"/>
  <c r="N99" i="1"/>
  <c r="O100" i="1"/>
  <c r="N107" i="1"/>
  <c r="O108" i="1"/>
  <c r="M181" i="1"/>
  <c r="O212" i="1"/>
  <c r="N212" i="1"/>
  <c r="M212" i="1"/>
  <c r="O221" i="1"/>
  <c r="N221" i="1"/>
  <c r="N222" i="1"/>
  <c r="O276" i="1"/>
  <c r="N276" i="1"/>
  <c r="M276" i="1"/>
  <c r="O285" i="1"/>
  <c r="N285" i="1"/>
  <c r="N286" i="1"/>
  <c r="M310" i="1"/>
  <c r="O340" i="1"/>
  <c r="N340" i="1"/>
  <c r="M340" i="1"/>
  <c r="O349" i="1"/>
  <c r="N349" i="1"/>
  <c r="M206" i="1"/>
  <c r="N207" i="1"/>
  <c r="M221" i="1"/>
  <c r="O236" i="1"/>
  <c r="N236" i="1"/>
  <c r="M236" i="1"/>
  <c r="O245" i="1"/>
  <c r="N245" i="1"/>
  <c r="N246" i="1"/>
  <c r="M270" i="1"/>
  <c r="M285" i="1"/>
  <c r="O300" i="1"/>
  <c r="N300" i="1"/>
  <c r="M300" i="1"/>
  <c r="O309" i="1"/>
  <c r="N309" i="1"/>
  <c r="N310" i="1"/>
  <c r="M334" i="1"/>
  <c r="M349" i="1"/>
  <c r="N105" i="1"/>
  <c r="O180" i="1"/>
  <c r="N180" i="1"/>
  <c r="M180" i="1"/>
  <c r="O196" i="1"/>
  <c r="N196" i="1"/>
  <c r="M196" i="1"/>
  <c r="O205" i="1"/>
  <c r="N205" i="1"/>
  <c r="N206" i="1"/>
  <c r="O260" i="1"/>
  <c r="N260" i="1"/>
  <c r="M260" i="1"/>
  <c r="O269" i="1"/>
  <c r="N269" i="1"/>
  <c r="N270" i="1"/>
  <c r="M294" i="1"/>
  <c r="O324" i="1"/>
  <c r="N324" i="1"/>
  <c r="M324" i="1"/>
  <c r="O333" i="1"/>
  <c r="N333" i="1"/>
  <c r="N334" i="1"/>
  <c r="O341" i="1"/>
  <c r="N341" i="1"/>
  <c r="M198" i="1"/>
  <c r="O292" i="1"/>
  <c r="N292" i="1"/>
  <c r="M292" i="1"/>
  <c r="N81" i="1"/>
  <c r="N89" i="1"/>
  <c r="N97" i="1"/>
  <c r="N80" i="1"/>
  <c r="O81" i="1"/>
  <c r="N88" i="1"/>
  <c r="O89" i="1"/>
  <c r="N96" i="1"/>
  <c r="O97" i="1"/>
  <c r="N104" i="1"/>
  <c r="O105" i="1"/>
  <c r="N112" i="1"/>
  <c r="M190" i="1"/>
  <c r="N191" i="1"/>
  <c r="M205" i="1"/>
  <c r="O220" i="1"/>
  <c r="N220" i="1"/>
  <c r="M220" i="1"/>
  <c r="O229" i="1"/>
  <c r="N229" i="1"/>
  <c r="N230" i="1"/>
  <c r="M254" i="1"/>
  <c r="O284" i="1"/>
  <c r="N284" i="1"/>
  <c r="M284" i="1"/>
  <c r="O293" i="1"/>
  <c r="N293" i="1"/>
  <c r="N294" i="1"/>
  <c r="M318" i="1"/>
  <c r="O348" i="1"/>
  <c r="N348" i="1"/>
  <c r="M348" i="1"/>
  <c r="M194" i="1"/>
  <c r="M202" i="1"/>
  <c r="M210" i="1"/>
  <c r="M218" i="1"/>
  <c r="M226" i="1"/>
  <c r="M234" i="1"/>
  <c r="M242" i="1"/>
  <c r="M250" i="1"/>
  <c r="M258" i="1"/>
  <c r="M266" i="1"/>
  <c r="M274" i="1"/>
  <c r="M282" i="1"/>
  <c r="M290" i="1"/>
  <c r="M298" i="1"/>
  <c r="M306" i="1"/>
  <c r="M314" i="1"/>
  <c r="M322" i="1"/>
  <c r="M330" i="1"/>
  <c r="M338" i="1"/>
  <c r="M346" i="1"/>
  <c r="M354" i="1"/>
  <c r="N194" i="1"/>
  <c r="N202" i="1"/>
  <c r="N210" i="1"/>
  <c r="N218" i="1"/>
  <c r="N226" i="1"/>
  <c r="N234" i="1"/>
  <c r="N242" i="1"/>
  <c r="N250" i="1"/>
  <c r="N258" i="1"/>
  <c r="N266" i="1"/>
  <c r="N274" i="1"/>
  <c r="N282" i="1"/>
  <c r="N290" i="1"/>
  <c r="N298" i="1"/>
  <c r="N306" i="1"/>
  <c r="N314" i="1"/>
  <c r="N322" i="1"/>
  <c r="N330" i="1"/>
  <c r="N338" i="1"/>
  <c r="N346" i="1"/>
  <c r="N354" i="1"/>
  <c r="K1408" i="1"/>
  <c r="M1408" i="1"/>
  <c r="N1408" i="1"/>
</calcChain>
</file>

<file path=xl/sharedStrings.xml><?xml version="1.0" encoding="utf-8"?>
<sst xmlns="http://schemas.openxmlformats.org/spreadsheetml/2006/main" count="7148" uniqueCount="1491">
  <si>
    <t>Sl no</t>
  </si>
  <si>
    <t>Invoice Date</t>
  </si>
  <si>
    <t>Invoice Year</t>
  </si>
  <si>
    <t>FY (India, Apr-Mar)</t>
  </si>
  <si>
    <t>Quarter</t>
  </si>
  <si>
    <t>Month Name</t>
  </si>
  <si>
    <t>Weekday</t>
  </si>
  <si>
    <t>Status</t>
  </si>
  <si>
    <t>First Capture Mode</t>
  </si>
  <si>
    <t>Source</t>
  </si>
  <si>
    <t>Channel Type</t>
  </si>
  <si>
    <t>Model</t>
  </si>
  <si>
    <t>Segment</t>
  </si>
  <si>
    <t>Fuel Type</t>
  </si>
  <si>
    <t>Assumed Price (INR)</t>
  </si>
  <si>
    <t>Assumed CAC (INR)</t>
  </si>
  <si>
    <t xml:space="preserve">Sl no </t>
  </si>
  <si>
    <t xml:space="preserve">Month </t>
  </si>
  <si>
    <t>Enquiry Id</t>
  </si>
  <si>
    <t>Invoiced</t>
  </si>
  <si>
    <t>61cd61b0b36e3e6da58dae29</t>
  </si>
  <si>
    <t>Tele-in</t>
  </si>
  <si>
    <t>Dealer Webpage Tele-In</t>
  </si>
  <si>
    <t>JAZZ PE</t>
  </si>
  <si>
    <t>618b6718b36e3e1ef7f51e8b</t>
  </si>
  <si>
    <t>SMS/ Tele-Out</t>
  </si>
  <si>
    <t>Database Activity(Teleout/SMS)</t>
  </si>
  <si>
    <t>5TH GEN CITY PE</t>
  </si>
  <si>
    <t>619dfd9eb36e3e708f417e2d</t>
  </si>
  <si>
    <t>Referral-CAM</t>
  </si>
  <si>
    <t>AMAZE Petrol</t>
  </si>
  <si>
    <t>61de7890b36e3e6da59a395b</t>
  </si>
  <si>
    <t>Walk-in Showroom</t>
  </si>
  <si>
    <t>Adver. (TVC/Print/Hoarding/FM)</t>
  </si>
  <si>
    <t>61d2ef80b36e3e6da5916176</t>
  </si>
  <si>
    <t>61d28748b36e3e6da59079d9</t>
  </si>
  <si>
    <t>61e277dbb36e3e6da59d4b7f</t>
  </si>
  <si>
    <t>619366d4b36e3e1ef7fb8f67</t>
  </si>
  <si>
    <t>61adc4f8b36e3e708f4ea5f1</t>
  </si>
  <si>
    <t>61deafdeb36e3e6da59aada8</t>
  </si>
  <si>
    <t>Web Lead</t>
  </si>
  <si>
    <t>Web_Facebook</t>
  </si>
  <si>
    <t>61dba79eb36e3e6da597792f</t>
  </si>
  <si>
    <t>618664aab36e3e1ef7f21006</t>
  </si>
  <si>
    <t>6188c5f5b36e3e1ef7f2e063</t>
  </si>
  <si>
    <t>61a874a3b36e3e708f4af7be</t>
  </si>
  <si>
    <t>6199efdeb36e3e708f3dcf12</t>
  </si>
  <si>
    <t>6152bf95b36e3e14bc34da36</t>
  </si>
  <si>
    <t>Web</t>
  </si>
  <si>
    <t>61de78bcb36e3e6da59a39c7</t>
  </si>
  <si>
    <t>61dd7057b36e3e6da599adec</t>
  </si>
  <si>
    <t>CITY PE</t>
  </si>
  <si>
    <t>61d91332b36e3e6da5963876</t>
  </si>
  <si>
    <t>6194ff00b36e3e1ef7fd5287</t>
  </si>
  <si>
    <t>61d5a149b36e3e6da593da8c</t>
  </si>
  <si>
    <t>61877420b36e3e1ef7f24c4f</t>
  </si>
  <si>
    <t>61862deab36e3e1ef7f1d0a0</t>
  </si>
  <si>
    <t>61a9e45eb36e3e708f4c3dc5</t>
  </si>
  <si>
    <t>Web_CarDekho</t>
  </si>
  <si>
    <t>61cc0895b36e3e6da58c4bab</t>
  </si>
  <si>
    <t>613b2d96b36e3e7b6fa23a46</t>
  </si>
  <si>
    <t>61d98ffab36e3e6da5970cf5</t>
  </si>
  <si>
    <t>618f90f8b36e3e1ef7f90309</t>
  </si>
  <si>
    <t>61cad73ab36e3e6da58b3ea0</t>
  </si>
  <si>
    <t>6139c942b36e3e7b6fa10d4d</t>
  </si>
  <si>
    <t>61d96330b36e3e6da596c4b4</t>
  </si>
  <si>
    <t>5TH GEN CITY DE</t>
  </si>
  <si>
    <t>61d9301bb36e3e6da5966f73</t>
  </si>
  <si>
    <t>61f247e3b36e3e6da5a8f827</t>
  </si>
  <si>
    <t>Referral (HC/HBLP)</t>
  </si>
  <si>
    <t>61d2baa7b36e3e6da590ef87</t>
  </si>
  <si>
    <t>DSA</t>
  </si>
  <si>
    <t>61f3b1adb36e3e6da5aaa2a5</t>
  </si>
  <si>
    <t>618e3073b36e3e1ef7f7baec</t>
  </si>
  <si>
    <t>61cbf409b36e3e6da58c1431</t>
  </si>
  <si>
    <t>Web_Organic</t>
  </si>
  <si>
    <t>61b891d8b36e3e708f57dd6f</t>
  </si>
  <si>
    <t>6121ffbcb36e3e5cf6b543b7</t>
  </si>
  <si>
    <t>61f375b1b36e3e6da5a9fbbf</t>
  </si>
  <si>
    <t>61b3143eb36e3e708f5347da</t>
  </si>
  <si>
    <t>61a1f207b36e3e708f4524af</t>
  </si>
  <si>
    <t>61ea57b5b36e3e6da5a34c90</t>
  </si>
  <si>
    <t>618f5982b36e3e1ef7f8890f</t>
  </si>
  <si>
    <t>61f000fab36e3e6da5a7fd82</t>
  </si>
  <si>
    <t>61e26a6db36e3e6da59d346d</t>
  </si>
  <si>
    <t>61b00a55b36e3e708f506f09</t>
  </si>
  <si>
    <t>AMAZE Diesel</t>
  </si>
  <si>
    <t>61b31e0fb36e3e708f535ae2</t>
  </si>
  <si>
    <t>61d72046b36e3e6da5950939</t>
  </si>
  <si>
    <t>61e120a4b36e3e6da59c70b0</t>
  </si>
  <si>
    <t>61e3ce56b36e3e6da59de242</t>
  </si>
  <si>
    <t>616d65c5b36e3e14bc4ba3a8</t>
  </si>
  <si>
    <t>61fcd766b36e3e57b93abf9d</t>
  </si>
  <si>
    <t>61f4e01fb36e3e6da5abc9d3</t>
  </si>
  <si>
    <t>61974740b36e3e708f3bb700</t>
  </si>
  <si>
    <t>61dea5fdb36e3e6da59a98dd</t>
  </si>
  <si>
    <t>61f4c0c8b36e3e6da5ab7720</t>
  </si>
  <si>
    <t>61fa42c1b36e3e57b938a833</t>
  </si>
  <si>
    <t>61e3d4d4b36e3e6da59de63e</t>
  </si>
  <si>
    <t>620a0254b36e3e57b9440fa2</t>
  </si>
  <si>
    <t>61e500dbb36e3e6da59e4e63</t>
  </si>
  <si>
    <t>61ada733b36e3e708f4e62f1</t>
  </si>
  <si>
    <t>61fa5c66b36e3e57b938d96c</t>
  </si>
  <si>
    <t>61e19e2db36e3e6da59cfa4b</t>
  </si>
  <si>
    <t>61fe67f4b36e3e57b93c142d</t>
  </si>
  <si>
    <t>62036992b36e3e57b93f3fcd</t>
  </si>
  <si>
    <t>61f38c72b36e3e6da5aa3a96</t>
  </si>
  <si>
    <t>611f59d1b36e3e5cf6b2e020</t>
  </si>
  <si>
    <t>Web_Carwale</t>
  </si>
  <si>
    <t>71rUa7SgHjSkB3ktsZXzJEsf</t>
  </si>
  <si>
    <t>Service Visit</t>
  </si>
  <si>
    <t>620f77a6b36e3e02daf50895</t>
  </si>
  <si>
    <t>620a304bb36e3e57b9446757</t>
  </si>
  <si>
    <t>6194acc1b36e3e1ef7fca418</t>
  </si>
  <si>
    <t>62077d12b36e3e57b942cfaa</t>
  </si>
  <si>
    <t>62022f00b36e3e57b93e4472</t>
  </si>
  <si>
    <t>620cc918b36e3e02daf2ad77</t>
  </si>
  <si>
    <t>61ea9a3ab36e3e6da5a3dc77</t>
  </si>
  <si>
    <t>61ed02fab36e3e6da5a550f1</t>
  </si>
  <si>
    <t>61e01b83b36e3e6da59c0063</t>
  </si>
  <si>
    <t>61a9e772b36e3e708f4c4362</t>
  </si>
  <si>
    <t>62074b1eb36e3e57b9427953</t>
  </si>
  <si>
    <t>61e14d77b36e3e6da59cb62c</t>
  </si>
  <si>
    <t>62075af8b36e3e57b9429b66</t>
  </si>
  <si>
    <t>6208d7a6b36e3e57b9437ec5</t>
  </si>
  <si>
    <t>61fe4cbab36e3e57b93bee95</t>
  </si>
  <si>
    <t>61b491e2b36e3e708f54bb66</t>
  </si>
  <si>
    <t>61dfcb33b36e3e6da59b710c</t>
  </si>
  <si>
    <t>62021623b36e3e57b93e1b61</t>
  </si>
  <si>
    <t>61adfcd8b36e3e708f4f1366</t>
  </si>
  <si>
    <t>61e40e00b36e3e6da59e0b62</t>
  </si>
  <si>
    <t>61d96118b36e3e6da596c130</t>
  </si>
  <si>
    <t>6180d2cfb36e3e1ef7ef6936</t>
  </si>
  <si>
    <t>62148c00b36e3e02daf8545e</t>
  </si>
  <si>
    <t>61f21a52b36e3e6da5a88561</t>
  </si>
  <si>
    <t>62161532b36e3e02daf9f097</t>
  </si>
  <si>
    <t>621c9ed5b36e3e02daff7665</t>
  </si>
  <si>
    <t>6219033db36e3e02dafcac4d</t>
  </si>
  <si>
    <t>621a1ea8b36e3e02dafdb2c4</t>
  </si>
  <si>
    <t>6218cd27b36e3e02dafc8dc5</t>
  </si>
  <si>
    <t>621cc9dab36e3e02da0008d7</t>
  </si>
  <si>
    <t>62134fb5b36e3e02daf74b90</t>
  </si>
  <si>
    <t>61cae3feb36e3e6da58b5c00</t>
  </si>
  <si>
    <t>62247cd3b36e3e02da058acb</t>
  </si>
  <si>
    <t>621905bab36e3e02dafcac59</t>
  </si>
  <si>
    <t>62234d2bb36e3e02da051d28</t>
  </si>
  <si>
    <t>61fa7418b36e3e57b939041e</t>
  </si>
  <si>
    <t>61f523eab36e3e6da5ac66d5</t>
  </si>
  <si>
    <t>6204d32ab36e3e57b940bdf5</t>
  </si>
  <si>
    <t>621c4876b36e3e02dafe69a6</t>
  </si>
  <si>
    <t>62259c20b36e3e02da05fb01</t>
  </si>
  <si>
    <t>623319aab36e3e0add50bae8</t>
  </si>
  <si>
    <t>6214bfd7b36e3e02daf8b559</t>
  </si>
  <si>
    <t>61af3987b36e3e708f501092</t>
  </si>
  <si>
    <t>61d18ad0b36e3e6da59035c4</t>
  </si>
  <si>
    <t>6226ee79b36e3e2afa58b331</t>
  </si>
  <si>
    <t>621f3212b36e3e02da01b754</t>
  </si>
  <si>
    <t>621dbefab36e3e02da008103</t>
  </si>
  <si>
    <t>621ccba3b36e3e02da000d62</t>
  </si>
  <si>
    <t>61d52613b36e3e6da592cbcf</t>
  </si>
  <si>
    <t>622042a3b36e3e02da024b87</t>
  </si>
  <si>
    <t>62230116b36e3e02da049e53</t>
  </si>
  <si>
    <t>6231e85ab36e3e0add4fef51</t>
  </si>
  <si>
    <t>623011aeb36e3e0add4dc10c</t>
  </si>
  <si>
    <t>623958e8b36e3e0add541d78</t>
  </si>
  <si>
    <t>623adafbb36e3e0add55a512</t>
  </si>
  <si>
    <t>6210e65db36e3e02daf639cc</t>
  </si>
  <si>
    <t>621768a0b36e3e02dafb2298</t>
  </si>
  <si>
    <t>62302fb0b36e3e0add4e0656</t>
  </si>
  <si>
    <t>623867f4b36e3e0add53baf5</t>
  </si>
  <si>
    <t>62382b10b36e3e0add533aea</t>
  </si>
  <si>
    <t>6221f833b36e3e02da041b47</t>
  </si>
  <si>
    <t>62277db0b36e3e2afa597eda</t>
  </si>
  <si>
    <t>6232fb4db36e3e0add508763</t>
  </si>
  <si>
    <t>62309e35b36e3e0add4edf77</t>
  </si>
  <si>
    <t>610ce2f2b36e3e5cf6a1afd2</t>
  </si>
  <si>
    <t>62384e79b36e3e0add53852c</t>
  </si>
  <si>
    <t>6231b5a7b36e3e0add4f98bc</t>
  </si>
  <si>
    <t>6241907ab36e3e0add5ac9d0</t>
  </si>
  <si>
    <t>623eed9cb36e3e0add593c43</t>
  </si>
  <si>
    <t>623afcddb36e3e0add55e3fc</t>
  </si>
  <si>
    <t>6238199ab36e3e0add5309b8</t>
  </si>
  <si>
    <t>61f8e9c5b36e3e6da5afd217</t>
  </si>
  <si>
    <t>6188c9f5b36e3e1ef7f2ea1c</t>
  </si>
  <si>
    <t>62346d8bb36e3e0add5140da</t>
  </si>
  <si>
    <t>624c14edb36e3e0add636d37</t>
  </si>
  <si>
    <t>6246df9eb36e3e0add601fb6</t>
  </si>
  <si>
    <t>6246d038b36e3e0add600506</t>
  </si>
  <si>
    <t>623d4f10b36e3e0add578a26</t>
  </si>
  <si>
    <t>623edc9eb36e3e0add591b96</t>
  </si>
  <si>
    <t>62514f01b36e3e0add6798bf</t>
  </si>
  <si>
    <t>625650b2b36e3e0add6ad5b1</t>
  </si>
  <si>
    <t>62556153b36e3e0add6a863d</t>
  </si>
  <si>
    <t>623c6f11b36e3e0add574fb5</t>
  </si>
  <si>
    <t>62480834b36e3e0add60a957</t>
  </si>
  <si>
    <t>623f1345b36e3e0add597a06</t>
  </si>
  <si>
    <t>615ebf81b36e3e14bc3faeb1</t>
  </si>
  <si>
    <t>6253c08cb36e3e0add68adc4</t>
  </si>
  <si>
    <t>622af52bb36e3e2afa5c328c</t>
  </si>
  <si>
    <t>6253dc12b36e3e0add68f80b</t>
  </si>
  <si>
    <t>624546bcb36e3e0add5e1b90</t>
  </si>
  <si>
    <t>623c4231b36e3e0add56f8e2</t>
  </si>
  <si>
    <t>626006ccb36e3e0add729061</t>
  </si>
  <si>
    <t>625e5091b36e3e0add709887</t>
  </si>
  <si>
    <t>6257c3e1b36e3e0add6bf305</t>
  </si>
  <si>
    <t>62665f4cb36e3e0add77094b</t>
  </si>
  <si>
    <t>62600e95b36e3e0add7297f7</t>
  </si>
  <si>
    <t>6267c034b36e3e0add78461a</t>
  </si>
  <si>
    <t>623bfb27b36e3e0add5660d6</t>
  </si>
  <si>
    <t>625e6758b36e3e0add70cff2</t>
  </si>
  <si>
    <t>625160d7b36e3e0add67b6bc</t>
  </si>
  <si>
    <t>62341804b36e3e0add50ff48</t>
  </si>
  <si>
    <t>6246853eb36e3e0add5f8c45</t>
  </si>
  <si>
    <t>62515ed7b36e3e0add67b2db</t>
  </si>
  <si>
    <t>62638ad8b36e3e0add751342</t>
  </si>
  <si>
    <t>626647c3b36e3e0add76d8ef</t>
  </si>
  <si>
    <t>623b0079b36e3e0add55eba4</t>
  </si>
  <si>
    <t>6246b843b36e3e0add5fe425</t>
  </si>
  <si>
    <t>623186e9b36e3e0add4f4126</t>
  </si>
  <si>
    <t>62501ae2b36e3e0add66ba93</t>
  </si>
  <si>
    <t>626a6ea4b36e3e0add7ac40e</t>
  </si>
  <si>
    <t>6250188eb36e3e0add66b663</t>
  </si>
  <si>
    <t>6258f6fdb36e3e0add6caaf7</t>
  </si>
  <si>
    <t>626e2f9eb36e3e0add7e442f</t>
  </si>
  <si>
    <t>6270f589b36e3e0add7fe502</t>
  </si>
  <si>
    <t>626fbacdb36e3e0add7f2807</t>
  </si>
  <si>
    <t>6257f3b0b36e3e0add6c4304</t>
  </si>
  <si>
    <t>626e3b14b36e3e0add7e4ac1</t>
  </si>
  <si>
    <t>6273b92cb36e3e0add823f7d</t>
  </si>
  <si>
    <t>61dd76c2b36e3e6da599bb92</t>
  </si>
  <si>
    <t>WR-V DE</t>
  </si>
  <si>
    <t>62761808b36e3e0add83dd5d</t>
  </si>
  <si>
    <t>626b72f9b36e3e0add7b4f5b</t>
  </si>
  <si>
    <t>625d6ee6b36e3e0add70454a</t>
  </si>
  <si>
    <t>5TH GEN CITY e:HEV</t>
  </si>
  <si>
    <t>6278b83db36e3e0add8537bf</t>
  </si>
  <si>
    <t>WR-V PE</t>
  </si>
  <si>
    <t>62793b8bb36e3e0add86101e</t>
  </si>
  <si>
    <t>627bae31b36e3e0add8937fe</t>
  </si>
  <si>
    <t>623c6b18b36e3e0add574953</t>
  </si>
  <si>
    <t>6279118db36e3e0add85f859</t>
  </si>
  <si>
    <t>627b5d65b36e3e0add87cba7</t>
  </si>
  <si>
    <t>627b475db36e3e0add877055</t>
  </si>
  <si>
    <t>6270db93b36e3e0add7fc554</t>
  </si>
  <si>
    <t>622596f1b36e3e02da05ee0c</t>
  </si>
  <si>
    <t>6283237bb36e3e4ffb56a307</t>
  </si>
  <si>
    <t>6246d029b36e3e0add6004ee</t>
  </si>
  <si>
    <t>62875508b36e3e105268eb11</t>
  </si>
  <si>
    <t>6243e701b36e3e0add5c83c3</t>
  </si>
  <si>
    <t>628a0df2b36e3e10526b2c1c</t>
  </si>
  <si>
    <t>627df615b36e3e4ffb5147d4</t>
  </si>
  <si>
    <t>62612830b36e3e0add735840</t>
  </si>
  <si>
    <t>6280b1dab36e3e4ffb53f3ce</t>
  </si>
  <si>
    <t>627f3cecb36e3e4ffb529f52</t>
  </si>
  <si>
    <t>628a0c70b36e3e10526b2b25</t>
  </si>
  <si>
    <t>6239a657b36e3e0add54b791</t>
  </si>
  <si>
    <t>6272664db36e3e0add812b70</t>
  </si>
  <si>
    <t>6243f010b36e3e0add5c9b42</t>
  </si>
  <si>
    <t>62849260b36e3e105265acf5</t>
  </si>
  <si>
    <t>628c7d7cb36e3e10526d1cfa</t>
  </si>
  <si>
    <t>626babe5b36e3e0add7be2f5</t>
  </si>
  <si>
    <t>627a2ff1b36e3e0add86c3b2</t>
  </si>
  <si>
    <t>6262a242b36e3e0add74c9c3</t>
  </si>
  <si>
    <t>61d53762b36e3e6da592f181</t>
  </si>
  <si>
    <t>Dealer Webpage Lead</t>
  </si>
  <si>
    <t>628df136b36e3e10526e9fd3</t>
  </si>
  <si>
    <t>625ceec6b36e3e0add6f2ae2</t>
  </si>
  <si>
    <t>6278f12ab36e3e0add85adf9</t>
  </si>
  <si>
    <t>62309a7cb36e3e0add4eddca</t>
  </si>
  <si>
    <t>628b6244b36e3e10526c3f39</t>
  </si>
  <si>
    <t>62888b5db36e3e10526a0bf5</t>
  </si>
  <si>
    <t>6285d7d5b36e3e1052670099</t>
  </si>
  <si>
    <t>6294733bb36e3e105273676f</t>
  </si>
  <si>
    <t>6290a62fb36e3e105271075e</t>
  </si>
  <si>
    <t>6219dca7b36e3e02dafd2dda</t>
  </si>
  <si>
    <t>625afc95b36e3e0add6e9a51</t>
  </si>
  <si>
    <t>6295d024b36e3e1052750fbe</t>
  </si>
  <si>
    <t>628618ecb36e3e105267add6</t>
  </si>
  <si>
    <t>6296f1f8b36e3e10527625ff</t>
  </si>
  <si>
    <t>62878594b36e3e1052696dbf</t>
  </si>
  <si>
    <t>62907958b36e3e105270be97</t>
  </si>
  <si>
    <t>628e216db36e3e10526f059e</t>
  </si>
  <si>
    <t>6297167db36e3e105276671e</t>
  </si>
  <si>
    <t>6295d3f8b36e3e1052751b51</t>
  </si>
  <si>
    <t>629704d0b36e3e1052764974</t>
  </si>
  <si>
    <t>629b4aaeb36e3e1052796ebf</t>
  </si>
  <si>
    <t>628c6ae0b36e3e10526ceda2</t>
  </si>
  <si>
    <t>626e4034b36e3e0add7e4d1d</t>
  </si>
  <si>
    <t>626f9ef4b36e3e0add7ef7b6</t>
  </si>
  <si>
    <t>6299c577b36e3e10527846a0</t>
  </si>
  <si>
    <t>62a19f1fb36e3e10527d8eb7</t>
  </si>
  <si>
    <t>62665671b36e3e0add76fb3d</t>
  </si>
  <si>
    <t>629b544bb36e3e1052797c41</t>
  </si>
  <si>
    <t>62949a15b36e3e105273c0c8</t>
  </si>
  <si>
    <t>627e2e76b36e3e4ffb51de5f</t>
  </si>
  <si>
    <t>6291b8b9b36e3e105271a933</t>
  </si>
  <si>
    <t>629de4a4b36e3e10527ac6b2</t>
  </si>
  <si>
    <t>62a6c10bb36e3e105280af8a</t>
  </si>
  <si>
    <t>625faac0b36e3e0add71d624</t>
  </si>
  <si>
    <t>629c82e9b36e3e105279cf84</t>
  </si>
  <si>
    <t>62ad7433b36e3e1052868593</t>
  </si>
  <si>
    <t>627f2a90b36e3e4ffb527d8f</t>
  </si>
  <si>
    <t>6278c4f6b36e3e0add855428</t>
  </si>
  <si>
    <t>629de43ab36e3e10527ac581</t>
  </si>
  <si>
    <t>62a432b0b36e3e10527f7147</t>
  </si>
  <si>
    <t>62728fe4b36e3e0add815b97</t>
  </si>
  <si>
    <t>629c87b5b36e3e105279d297</t>
  </si>
  <si>
    <t>6289eb86b36e3e10526b149b</t>
  </si>
  <si>
    <t>629dadf1b36e3e10527a6281</t>
  </si>
  <si>
    <t>629e05fdb36e3e10527b02c4</t>
  </si>
  <si>
    <t>62b4237eb36e3e10528b41b9</t>
  </si>
  <si>
    <t>628e00a6b36e3e10526ec0f9</t>
  </si>
  <si>
    <t>6268eab0b36e3e0add791c07</t>
  </si>
  <si>
    <t>62ac2bbcb36e3e1052859519</t>
  </si>
  <si>
    <t>6288f10cb36e3e10526ad94f</t>
  </si>
  <si>
    <t>62b43d5bb36e3e10528b6cf6</t>
  </si>
  <si>
    <t>62bd8891b36e3e105292c710</t>
  </si>
  <si>
    <t>I-BAP Self</t>
  </si>
  <si>
    <t>628c99beb36e3e10526d5adf</t>
  </si>
  <si>
    <t>62baa9f0b36e3e10528fa823</t>
  </si>
  <si>
    <t>62bbe61ab36e3e1052909e9f</t>
  </si>
  <si>
    <t>62c5396ab36e3e105297a6d7</t>
  </si>
  <si>
    <t>62cbda14b36e3e10529bf60d</t>
  </si>
  <si>
    <t>62998895b36e3e105277e88c</t>
  </si>
  <si>
    <t>62bec535b36e3e105293a7a1</t>
  </si>
  <si>
    <t>62bae2d2b36e3e1052901abb</t>
  </si>
  <si>
    <t>62b3f8bbb36e3e10528ae25c</t>
  </si>
  <si>
    <t>62ac74cdb36e3e105286196a</t>
  </si>
  <si>
    <t>629db0abb36e3e10527a6726</t>
  </si>
  <si>
    <t>62b70d73b36e3e10528db373</t>
  </si>
  <si>
    <t>629b58a0b36e3e105279817c</t>
  </si>
  <si>
    <t>62cba444b36e3e10529b80f4</t>
  </si>
  <si>
    <t>62cbba4db36e3e10529bac4a</t>
  </si>
  <si>
    <t>62d2ac88b36e3e1052a13fd3</t>
  </si>
  <si>
    <t>625fd226b36e3e0add7222c4</t>
  </si>
  <si>
    <t>62b691c5b36e3e10528ce36b</t>
  </si>
  <si>
    <t>62ad8054b36e3e1052869de1</t>
  </si>
  <si>
    <t>62b6e061b36e3e10528d6c35</t>
  </si>
  <si>
    <t>62c96f18b36e3e10529aed64</t>
  </si>
  <si>
    <t>62db8e61b36e3e1052a79287</t>
  </si>
  <si>
    <t>62db9ef9b36e3e1052a7b82f</t>
  </si>
  <si>
    <t>626bae06b36e3e0add7be88c</t>
  </si>
  <si>
    <t>61eb7176b36e3e6da5a4240d</t>
  </si>
  <si>
    <t>62d684deb36e3e1052a399f6</t>
  </si>
  <si>
    <t>62e51338b36e3e1052af09de</t>
  </si>
  <si>
    <t>I-BAP Referral</t>
  </si>
  <si>
    <t>62c6b682b36e3e105298e450</t>
  </si>
  <si>
    <t>62e52143b36e3e1052af2bcb</t>
  </si>
  <si>
    <t>62ac1545b36e3e10528562e0</t>
  </si>
  <si>
    <t>62e61097b36e3e1052af78ad</t>
  </si>
  <si>
    <t>62e608ceb36e3e1052af738b</t>
  </si>
  <si>
    <t>62e52e83b36e3e1052af4706</t>
  </si>
  <si>
    <t>62e51080b36e3e1052af025f</t>
  </si>
  <si>
    <t>62e66bbab36e3e1052aff7bc</t>
  </si>
  <si>
    <t>62e61627b36e3e1052af7e27</t>
  </si>
  <si>
    <t>62b7ebadb36e3e10528dc950</t>
  </si>
  <si>
    <t>62ecbdbfb36e3e1052b43c66</t>
  </si>
  <si>
    <t>62c9379eb36e3e10529a9bae</t>
  </si>
  <si>
    <t>622c64d3b36e3e2afa5d7a93</t>
  </si>
  <si>
    <t>62ea78bfb36e3e1052b2eca4</t>
  </si>
  <si>
    <t>5f293cbab36e3e137cf617dc</t>
  </si>
  <si>
    <t>62f38f3bb36e3e1052b8db96</t>
  </si>
  <si>
    <t>62e3f923b36e3e1052ae01bd</t>
  </si>
  <si>
    <t>62ecb5b1b36e3e1052b42c40</t>
  </si>
  <si>
    <t>62d3b721b36e3e1052a17d56</t>
  </si>
  <si>
    <t>62e77b76b36e3e1052b070a9</t>
  </si>
  <si>
    <t>629465fcb36e3e1052734428</t>
  </si>
  <si>
    <t>62d2b216b36e3e1052a147b2</t>
  </si>
  <si>
    <t>62e76fb6b36e3e1052b05cb7</t>
  </si>
  <si>
    <t>62f4d999b36e3e1052b99219</t>
  </si>
  <si>
    <t>62fc882db36e3e1052bd6ef8</t>
  </si>
  <si>
    <t>62dfa6aab36e3e1052aa532a</t>
  </si>
  <si>
    <t>6300be2cb36e3e2e3dbcd3ee</t>
  </si>
  <si>
    <t>62ee3763b36e3e1052b55ce0</t>
  </si>
  <si>
    <t>629f19ffb36e3e10527bb0f2</t>
  </si>
  <si>
    <t>62dfb59eb36e3e1052aa69ea</t>
  </si>
  <si>
    <t>62f235fdb36e3e1052b7becd</t>
  </si>
  <si>
    <t>630344eab36e3e2e3dbe10a1</t>
  </si>
  <si>
    <t>62e52bbbb36e3e1052af423b</t>
  </si>
  <si>
    <t>62d94712b36e3e1052a618a5</t>
  </si>
  <si>
    <t>625d6cecb36e3e0add704487</t>
  </si>
  <si>
    <t>62c57a11b36e3e1052980f01</t>
  </si>
  <si>
    <t>62ee5e4ab36e3e1052b59aba</t>
  </si>
  <si>
    <t>62f48e8bb36e3e1052b9357d</t>
  </si>
  <si>
    <t>62f65422b36e3e1052ba8a60</t>
  </si>
  <si>
    <t>630a0d77b36e3e2e3dc3bf40</t>
  </si>
  <si>
    <t>630a38adb36e3e2e3dc3daea</t>
  </si>
  <si>
    <t>630cad98b36e3e2e3dc5318f</t>
  </si>
  <si>
    <t>630a0a8bb36e3e2e3dc3ba19</t>
  </si>
  <si>
    <t>62dd3772b36e3e1052a899c2</t>
  </si>
  <si>
    <t>630a0944b36e3e2e3dc3b7c3</t>
  </si>
  <si>
    <t>630dfc9fb36e3e2e3dc65a3c</t>
  </si>
  <si>
    <t>62d92d85b36e3e1052a5e1e6</t>
  </si>
  <si>
    <t>630f0c35b36e3e2e3dc6fe34</t>
  </si>
  <si>
    <t>630f0e8bb36e3e2e3dc70517</t>
  </si>
  <si>
    <t>630f0a91b36e3e2e3dc6f989</t>
  </si>
  <si>
    <t>62e4dad6b36e3e1052ae8858</t>
  </si>
  <si>
    <t>630f507db36e3e2e3dc79095</t>
  </si>
  <si>
    <t>630a074eb36e3e2e3dc3b3ff</t>
  </si>
  <si>
    <t>630f47c0b36e3e2e3dc7822c</t>
  </si>
  <si>
    <t>630cbb01b36e3e2e3dc54838</t>
  </si>
  <si>
    <t>630f455cb36e3e2e3dc77da6</t>
  </si>
  <si>
    <t>630a0d87b36e3e2e3dc3bf61</t>
  </si>
  <si>
    <t>630a0dd5b36e3e2e3dc3c01d</t>
  </si>
  <si>
    <t>630f4b47b36e3e2e3dc788a2</t>
  </si>
  <si>
    <t>6309b49ab36e3e2e3dc31b1e</t>
  </si>
  <si>
    <t>63108f5eb36e3e2e3dc89132</t>
  </si>
  <si>
    <t>63071b0ab36e3e2e3dc127e5</t>
  </si>
  <si>
    <t>630aeaa1b36e3e2e3dc3e38a</t>
  </si>
  <si>
    <t>63131400b36e3e2e3dca0f5a</t>
  </si>
  <si>
    <t>63075d12b36e3e2e3dc1b068</t>
  </si>
  <si>
    <t>62ec9b62b36e3e1052b3fec4</t>
  </si>
  <si>
    <t>631188d3b36e3e2e3dc8de4e</t>
  </si>
  <si>
    <t>628dec16b36e3e10526e9570</t>
  </si>
  <si>
    <t>62f39f48b36e3e1052b8fc2f</t>
  </si>
  <si>
    <t>63135732b36e3e2e3dca6c4d</t>
  </si>
  <si>
    <t>6312f933b36e3e2e3dc9ea7b</t>
  </si>
  <si>
    <t>6316d768b36e3e2e3dcbf007</t>
  </si>
  <si>
    <t>63186233b36e3e2e3dcd2af5</t>
  </si>
  <si>
    <t>630489d7b36e3e2e3dbf1f41</t>
  </si>
  <si>
    <t>631595dcb36e3e2e3dcb1743</t>
  </si>
  <si>
    <t>6315da00b36e3e2e3dcb8c66</t>
  </si>
  <si>
    <t>62e277d6b36e3e1052acb614</t>
  </si>
  <si>
    <t>63283e3fb36e3e2e3dd780b3</t>
  </si>
  <si>
    <t>63204c64b36e3e2e3dd24a90</t>
  </si>
  <si>
    <t>630f9a13b36e3e2e3dc7e1c2</t>
  </si>
  <si>
    <t>632013beb36e3e2e3dd1e759</t>
  </si>
  <si>
    <t>6314a674b36e3e2e3dcaccfe</t>
  </si>
  <si>
    <t>63231893b36e3e2e3dd48b3d</t>
  </si>
  <si>
    <t>62b5a27fb36e3e10528c9621</t>
  </si>
  <si>
    <t>63257b03b36e3e2e3dd5fce3</t>
  </si>
  <si>
    <t>631184f8b36e3e2e3dc8d9d7</t>
  </si>
  <si>
    <t>631035f3b36e3e2e3dc8040b</t>
  </si>
  <si>
    <t>63036c5ab36e3e2e3dbe6231</t>
  </si>
  <si>
    <t>63132384b36e3e2e3dca22f5</t>
  </si>
  <si>
    <t>632aec56b36e3e2e3dd98af3</t>
  </si>
  <si>
    <t>625bd8d6b36e3e0add6ed3b9</t>
  </si>
  <si>
    <t>Online Booking</t>
  </si>
  <si>
    <t>632bf243b36e3e2e3dd9fbcb</t>
  </si>
  <si>
    <t>6332e7cfb36e3e2e3ddeb1da</t>
  </si>
  <si>
    <t>632556c6b36e3e2e3dd5c395</t>
  </si>
  <si>
    <t>632c5286b36e3e2e3dda9fbb</t>
  </si>
  <si>
    <t>63286359b36e3e2e3dd7c61d</t>
  </si>
  <si>
    <t>6321def9b36e3e2e3dd39d0e</t>
  </si>
  <si>
    <t>63330320b36e3e2e3dded5e8</t>
  </si>
  <si>
    <t>63142d0fb36e3e2e3dca78a9</t>
  </si>
  <si>
    <t>63318613b36e3e2e3ddd8833</t>
  </si>
  <si>
    <t>63030bf1b36e3e2e3dbd8f6b</t>
  </si>
  <si>
    <t>62e56e46b36e3e1052af61d4</t>
  </si>
  <si>
    <t>625cf801b36e3e0add6f4180</t>
  </si>
  <si>
    <t>6337dbeab36e3e4a288335ef</t>
  </si>
  <si>
    <t>63142cc6b36e3e2e3dca788b</t>
  </si>
  <si>
    <t>631f1323b36e3e2e3dd176a8</t>
  </si>
  <si>
    <t>633821cab36e3e4a28838f0b</t>
  </si>
  <si>
    <t>6336e5e6b36e3e4a2882abeb</t>
  </si>
  <si>
    <t>63294b9ab36e3e2e3dd8047c</t>
  </si>
  <si>
    <t>62ee7c1ab36e3e1052b5b058</t>
  </si>
  <si>
    <t>633fb4b9b36e3e4a28871fa5</t>
  </si>
  <si>
    <t>633bda72b36e3e4a288519b4</t>
  </si>
  <si>
    <t>63414bb0b36e3e4a28887749</t>
  </si>
  <si>
    <t>6347d69cb36e3e4a288ca662</t>
  </si>
  <si>
    <t>633d1122b36e3e4a28859bf8</t>
  </si>
  <si>
    <t>6343cbc1b36e3e4a2889a093</t>
  </si>
  <si>
    <t>6332dfceb36e3e2e3ddea04f</t>
  </si>
  <si>
    <t>634525cfb36e3e4a288ac88f</t>
  </si>
  <si>
    <t>633e5d1cb36e3e4a28862705</t>
  </si>
  <si>
    <t>6348fbf3b36e3e4a288d3b84</t>
  </si>
  <si>
    <t>63495feeb36e3e4a288ddcba</t>
  </si>
  <si>
    <t>633d6c8bb36e3e4a2885f497</t>
  </si>
  <si>
    <t>634fb963b36e3e4a2891d9ba</t>
  </si>
  <si>
    <t>632ef0e6b36e3e2e3ddc5568</t>
  </si>
  <si>
    <t>634a8bb7b36e3e4a288e82fc</t>
  </si>
  <si>
    <t>631f2f49b36e3e2e3dd1aaf5</t>
  </si>
  <si>
    <t>63106f09b36e3e2e3dc85fed</t>
  </si>
  <si>
    <t>634a5b82b36e3e4a288e3c0e</t>
  </si>
  <si>
    <t>635690e1b36e3e4a28953a42</t>
  </si>
  <si>
    <t>632558b1b36e3e2e3dd5c62a</t>
  </si>
  <si>
    <t>634947bcb36e3e4a288db77b</t>
  </si>
  <si>
    <t>635a28f5b36e3e4a2896a3ad</t>
  </si>
  <si>
    <t>635287b9b36e3e4a2893f466</t>
  </si>
  <si>
    <t>6358e232b36e3e4a2895fc10</t>
  </si>
  <si>
    <t>6342b281b36e3e4a28891c94</t>
  </si>
  <si>
    <t>6353d5e4b36e3e4a2894a3c0</t>
  </si>
  <si>
    <t>635b6cc8b36e3e4a28977756</t>
  </si>
  <si>
    <t>6300e2f5b36e3e2e3dbd0763</t>
  </si>
  <si>
    <t>63045d04b36e3e2e3dbebab0</t>
  </si>
  <si>
    <t>635fa007b36e3e4a289ac5ad</t>
  </si>
  <si>
    <t>635bc4e6b36e3e4a2898051b</t>
  </si>
  <si>
    <t>6305f460b36e3e2e3dc06494</t>
  </si>
  <si>
    <t>6368854fb36e3e4a289ffa0b</t>
  </si>
  <si>
    <t>63452803b36e3e4a288acb0c</t>
  </si>
  <si>
    <t>63566616b36e3e4a289530fa</t>
  </si>
  <si>
    <t>636761d6b36e3e4a289fb2c9</t>
  </si>
  <si>
    <t>6358dd8eb36e3e4a2895f63b</t>
  </si>
  <si>
    <t>6368e9d4b36e3e4a28a0a493</t>
  </si>
  <si>
    <t>636a1516b36e3e4a28a14b64</t>
  </si>
  <si>
    <t>63410308b36e3e4a28880108</t>
  </si>
  <si>
    <t>630e1fedb36e3e2e3dc68606</t>
  </si>
  <si>
    <t>635bd56bb36e3e4a289829fc</t>
  </si>
  <si>
    <t>6360bbc7b36e3e4a289bcb1a</t>
  </si>
  <si>
    <t>635c9e6bb36e3e4a28984697</t>
  </si>
  <si>
    <t>63491020b36e3e4a288d6151</t>
  </si>
  <si>
    <t>635e0b63b36e3e4a28994e56</t>
  </si>
  <si>
    <t>63132f22b36e3e2e3dca34da</t>
  </si>
  <si>
    <t>636cea4fb36e3e4a28a35538</t>
  </si>
  <si>
    <t>636ca5feb36e3e4a28a2f593</t>
  </si>
  <si>
    <t>637b9908b36e3e4a28ac0fe2</t>
  </si>
  <si>
    <t>633543e5b36e3e7198a8084c</t>
  </si>
  <si>
    <t>6378994db36e3e4a28aa6add</t>
  </si>
  <si>
    <t>633d941db36e3e4a2886096f</t>
  </si>
  <si>
    <t>6364f977b36e3e4a289ea869</t>
  </si>
  <si>
    <t>637cadf3b36e3e4a28acde66</t>
  </si>
  <si>
    <t>637cbd2fb36e3e4a28acfc13</t>
  </si>
  <si>
    <t>636b59c4b36e3e4a28a219c9</t>
  </si>
  <si>
    <t>6371e552b36e3e4a28a5c6c7</t>
  </si>
  <si>
    <t>63859d96b36e3e4a28b265c8</t>
  </si>
  <si>
    <t>6374cd16b36e3e4a28a819e2</t>
  </si>
  <si>
    <t>63807518b36e3e4a28af53f8</t>
  </si>
  <si>
    <t>637dc449b36e3e4a28ad7646</t>
  </si>
  <si>
    <t>62f24950b36e3e1052b7e396</t>
  </si>
  <si>
    <t>6385dc42b36e3e4a28b2eeee</t>
  </si>
  <si>
    <t>63844471b36e3e4a28b13b74</t>
  </si>
  <si>
    <t>6385d08eb36e3e4a28b2d637</t>
  </si>
  <si>
    <t>638f2c60b36e3e4a28bad10b</t>
  </si>
  <si>
    <t>637e0b74b36e3e4a28addc3a</t>
  </si>
  <si>
    <t>638d911bb36e3e4a28b8ffd6</t>
  </si>
  <si>
    <t>639301deb36e3e4a28bdfe28</t>
  </si>
  <si>
    <t>61d99365b36e3e6da5970f2d</t>
  </si>
  <si>
    <t>638b2c9ab36e3e4a28b807f6</t>
  </si>
  <si>
    <t>639304c1b36e3e4a28be031d</t>
  </si>
  <si>
    <t>63625528b36e3e4a289cf6d5</t>
  </si>
  <si>
    <t>638edaecb36e3e4a28ba1771</t>
  </si>
  <si>
    <t>63981a18b36e3e4a28c19285</t>
  </si>
  <si>
    <t>63934097b36e3e4a28be6ec4</t>
  </si>
  <si>
    <t>6363aa11b36e3e4a289dd992</t>
  </si>
  <si>
    <t>636bbfe8b36e3e4a28a29824</t>
  </si>
  <si>
    <t>6391c968b36e3e4a28bd08b4</t>
  </si>
  <si>
    <t>63883352b36e3e4a28b585c7</t>
  </si>
  <si>
    <t>6399bdfab36e3e4a28c37a16</t>
  </si>
  <si>
    <t>639d8215b36e3e4a28c6e7cb</t>
  </si>
  <si>
    <t>639d693cb36e3e4a28c6b5b5</t>
  </si>
  <si>
    <t>63807abdb36e3e4a28af5ec5</t>
  </si>
  <si>
    <t>63986a02b36e3e4a28c2421f</t>
  </si>
  <si>
    <t>6398160ab36e3e4a28c17b5d</t>
  </si>
  <si>
    <t>63285bd0b36e3e2e3dd7b569</t>
  </si>
  <si>
    <t>637f4eb3b36e3e4a28aeaf30</t>
  </si>
  <si>
    <t>63970f92b36e3e4a28c0d0c7</t>
  </si>
  <si>
    <t>63a2dfa8b36e3e4a28cbc12a</t>
  </si>
  <si>
    <t>63a1558db36e3e4a28c9da51</t>
  </si>
  <si>
    <t>63958e07b36e3e4a28bfa872</t>
  </si>
  <si>
    <t>63a19e4bb36e3e4a28caa0a0</t>
  </si>
  <si>
    <t>6391b3b1b36e3e4a28bcd59a</t>
  </si>
  <si>
    <t>63999a3ab36e3e4a28c32f97</t>
  </si>
  <si>
    <t>63a2ff1ab36e3e4a28cc0f1d</t>
  </si>
  <si>
    <t>62385c8db36e3e0add53a382</t>
  </si>
  <si>
    <t>639efdc7b36e3e4a28c7cfc7</t>
  </si>
  <si>
    <t>63885e4bb36e3e4a28b5ce51</t>
  </si>
  <si>
    <t>63a01d99b36e3e4a28c88a2f</t>
  </si>
  <si>
    <t>6389e070b36e3e4a28b72062</t>
  </si>
  <si>
    <t>639b3666b36e3e4a28c4f504</t>
  </si>
  <si>
    <t>63a1287fb36e3e4a28c97733</t>
  </si>
  <si>
    <t>6392ee03b36e3e4a28bddb88</t>
  </si>
  <si>
    <t>631b2138b36e3e2e3dcf20e0</t>
  </si>
  <si>
    <t>63aa9d93b36e3e4a28d284aa</t>
  </si>
  <si>
    <t>639c5ac4b36e3e4a28c603be</t>
  </si>
  <si>
    <t>6398070bb36e3e4a28c140c2</t>
  </si>
  <si>
    <t>638ee1fcb36e3e4a28ba2951</t>
  </si>
  <si>
    <t>6396ef9cb36e3e4a28c09691</t>
  </si>
  <si>
    <t>63a6a403b36e3e4a28cf3f25</t>
  </si>
  <si>
    <t>63b04584b36e3e6b0e5af376</t>
  </si>
  <si>
    <t>63b02edab36e3e6b0e5ad371</t>
  </si>
  <si>
    <t>63aaa787b36e3e4a28d299d1</t>
  </si>
  <si>
    <t>63b92acbb36e3e6b0e6082c2</t>
  </si>
  <si>
    <t>63b6b3fbb36e3e6b0e5ec099</t>
  </si>
  <si>
    <t>AMAZE-PE</t>
  </si>
  <si>
    <t>63bd22d5b36e3e6b0e630694</t>
  </si>
  <si>
    <t>63c50ff6b36e3e6b0e6885de</t>
  </si>
  <si>
    <t>63b69d1ab36e3e6b0e5e966e</t>
  </si>
  <si>
    <t>63be6525b36e3e6b0e640992</t>
  </si>
  <si>
    <t>63440b95b36e3e4a288a24bc</t>
  </si>
  <si>
    <t>63c545efb36e3e6b0e68e803</t>
  </si>
  <si>
    <t>63c927a2b36e3e6b0e6c2967</t>
  </si>
  <si>
    <t>63cb8e76b36e3e6b0e6df2d3</t>
  </si>
  <si>
    <t>63c22c21b36e3e6b0e66e1e1</t>
  </si>
  <si>
    <t>63cf59ddb36e3e6b0e702dcf</t>
  </si>
  <si>
    <t>63d20f5ab36e3e6b0e72476c</t>
  </si>
  <si>
    <t>63d27e0db36e3e6b0e728837</t>
  </si>
  <si>
    <t>63c950dab36e3e6b0e6c6278</t>
  </si>
  <si>
    <t>63bd5845b36e3e6b0e636a2b</t>
  </si>
  <si>
    <t>63ce7605b36e3e6b0e6fe8a1</t>
  </si>
  <si>
    <t>63d4ba4cb36e3e6b0e740653</t>
  </si>
  <si>
    <t>639324e2b36e3e4a28be3fe7</t>
  </si>
  <si>
    <t>63d90b26b36e3e6b0e786874</t>
  </si>
  <si>
    <t>UIO Re-purchase</t>
  </si>
  <si>
    <t>63d90d76b36e3e6b0e786f64</t>
  </si>
  <si>
    <t>63cf6468b36e3e6b0e703f16</t>
  </si>
  <si>
    <t>63db6ca2b36e3e038f754c3d</t>
  </si>
  <si>
    <t>63da1e68b36e3e6b0e793937</t>
  </si>
  <si>
    <t>63ca7accb36e3e6b0e6d5ebb</t>
  </si>
  <si>
    <t>63da0a74b36e3e6b0e79114a</t>
  </si>
  <si>
    <t>63294e0ab36e3e2e3dd8098f</t>
  </si>
  <si>
    <t>63db592eb36e3e038f750d42</t>
  </si>
  <si>
    <t>63e4b8bfb36e3e038f7b8622</t>
  </si>
  <si>
    <t>63e3807fb36e3e038f7ab6fa</t>
  </si>
  <si>
    <t>63d9f8d3b36e3e6b0e78f5b1</t>
  </si>
  <si>
    <t>633eb0b4b36e3e4a2886b3d4</t>
  </si>
  <si>
    <t>63e0a40cb36e3e038f787989</t>
  </si>
  <si>
    <t>63e31deeb36e3e038f7a1cc2</t>
  </si>
  <si>
    <t>63e7242eb36e3e038f7d2dba</t>
  </si>
  <si>
    <t>63eb5725b36e3e038f7fd112</t>
  </si>
  <si>
    <t>63db47f8b36e3e038f74e186</t>
  </si>
  <si>
    <t>63ca990eb36e3e6b0e6d8f7f</t>
  </si>
  <si>
    <t>63da1441b36e3e6b0e7925a8</t>
  </si>
  <si>
    <t>63e351b8b36e3e038f7a72b4</t>
  </si>
  <si>
    <t>63e49b0fb36e3e038f7b54aa</t>
  </si>
  <si>
    <t>63f1d6bcb36e3e038f83c005</t>
  </si>
  <si>
    <t>63e31ed0b36e3e038f7a1d85</t>
  </si>
  <si>
    <t>63ecc8e0b36e3e038f80f751</t>
  </si>
  <si>
    <t>63ea14dab36e3e038f7ef7a2</t>
  </si>
  <si>
    <t>63f61a14b36e3e038f86befb</t>
  </si>
  <si>
    <t>63c93930b36e3e6b0e6c4d45</t>
  </si>
  <si>
    <t>63f31c97b36e3e038f84546e</t>
  </si>
  <si>
    <t>63e34905b36e3e038f7a6167</t>
  </si>
  <si>
    <t>63fdcf58b36e3e7d1ee717f6</t>
  </si>
  <si>
    <t>63f4bd93b36e3e038f85ca66</t>
  </si>
  <si>
    <t>6401cedfb36e3e7d1ee9c6cd</t>
  </si>
  <si>
    <t>640029dab36e3e7d1ee8791f</t>
  </si>
  <si>
    <t>64041f6eb36e3e7d1eeac450</t>
  </si>
  <si>
    <t>64097e3ab36e3e7d1eed3102</t>
  </si>
  <si>
    <t>63f75cb9b36e3e7d1ee2c8d6</t>
  </si>
  <si>
    <t>64041ca0b36e3e7d1eeac377</t>
  </si>
  <si>
    <t>63cfcb88b36e3e6b0e711ba6</t>
  </si>
  <si>
    <t>63ddf708b36e3e038f771481</t>
  </si>
  <si>
    <t>6415748fb36e3e0ca9c1d4ef</t>
  </si>
  <si>
    <t>6412b267b36e3e03a2148eaa</t>
  </si>
  <si>
    <t>63f87d6eb36e3e7d1ee3602f</t>
  </si>
  <si>
    <t>63bd545eb36e3e6b0e63635c</t>
  </si>
  <si>
    <t>63f0a79db36e3e038f836027</t>
  </si>
  <si>
    <t>64118ec2b36e3e0397fb32a1</t>
  </si>
  <si>
    <t>63b53939b36e3e6b0e5d7527</t>
  </si>
  <si>
    <t>640c2ebcb36e3e7d1eeefd3d</t>
  </si>
  <si>
    <t>640ef000b36e3e0397f8e04c</t>
  </si>
  <si>
    <t>641ae3ffb36e3e0ca9c53010</t>
  </si>
  <si>
    <t>6419b39bb36e3e0ca9c48ada</t>
  </si>
  <si>
    <t>641aeae6b36e3e0ca9c536f1</t>
  </si>
  <si>
    <t>64212dc3b36e3e0ca9c8cf5c</t>
  </si>
  <si>
    <t>641efb91b36e3e0ca9c81537</t>
  </si>
  <si>
    <t>6419cd21b36e3e0ca9c492e5</t>
  </si>
  <si>
    <t>63eb3e7ab36e3e038f7fb09c</t>
  </si>
  <si>
    <t>63be7e9ab36e3e6b0e6434df</t>
  </si>
  <si>
    <t>607fe42ab36e3e538e390df4</t>
  </si>
  <si>
    <t>64130d48b36e3e03a2153388</t>
  </si>
  <si>
    <t>63f74a5cb36e3e7d1ee2abc9</t>
  </si>
  <si>
    <t>641c548fb36e3e0ca9c64b58</t>
  </si>
  <si>
    <t>6428223eb36e3e0ca9ce7687</t>
  </si>
  <si>
    <t>642c1f3fb36e3e0ca9d0ba60</t>
  </si>
  <si>
    <t>64352a60b36e3e0ca9d61ba4</t>
  </si>
  <si>
    <t>643378bfb36e3e0ca9d4ad5b</t>
  </si>
  <si>
    <t>643515bdb36e3e0ca9d601ce</t>
  </si>
  <si>
    <t>642e8179b36e3e0ca9d21b79</t>
  </si>
  <si>
    <t>643fc453b36e3e0ca9dc1a78</t>
  </si>
  <si>
    <t>64365782b36e3e0ca9d6c572</t>
  </si>
  <si>
    <t>643e2139b36e3e0ca9dab98b</t>
  </si>
  <si>
    <t>6422769db36e3e0ca9c9b615</t>
  </si>
  <si>
    <t>643f7b6cb36e3e0ca9dba14b</t>
  </si>
  <si>
    <t>643542a7b36e3e0ca9d6414e</t>
  </si>
  <si>
    <t>64291457b36e3e0ca9ce9b81</t>
  </si>
  <si>
    <t>643e38ffb36e3e0ca9dadd8a</t>
  </si>
  <si>
    <t>64392d8bb36e3e0ca9d871c4</t>
  </si>
  <si>
    <t>643a8466b36e3e0ca9d9213c</t>
  </si>
  <si>
    <t>64427875b36e3e0ca9dde281</t>
  </si>
  <si>
    <t>63febc2db36e3e7d1ee7c76b</t>
  </si>
  <si>
    <t>64393e01b36e3e0ca9d886f6</t>
  </si>
  <si>
    <t>643fd9cfb36e3e0ca9dc3721</t>
  </si>
  <si>
    <t>64379d61b36e3e0ca9d77356</t>
  </si>
  <si>
    <t>644106f6b36e3e0ca9dce721</t>
  </si>
  <si>
    <t>64410ba0b36e3e0ca9dceeda</t>
  </si>
  <si>
    <t>63f8b9aab36e3e7d1ee3b946</t>
  </si>
  <si>
    <t>644610b8b36e3e0ca9df2177</t>
  </si>
  <si>
    <t>64523914b36e3e0413c4d7ed</t>
  </si>
  <si>
    <t>645b25cbb36e3e5523ad5d8c</t>
  </si>
  <si>
    <t>6459e0a2b36e3e5523ac9692</t>
  </si>
  <si>
    <t>6458e126b36e3e5523ac2f68</t>
  </si>
  <si>
    <t>6460866bb36e3e5523b0d2b2</t>
  </si>
  <si>
    <t>645dc2a8b36e3e5523aee9e9</t>
  </si>
  <si>
    <t>645f6fb3b36e3e5523b08268</t>
  </si>
  <si>
    <t>646898e8b36e3e7c8166b49a</t>
  </si>
  <si>
    <t>6465cd8cb36e3e5523b45eae</t>
  </si>
  <si>
    <t>64685a20b36e3e7c81664a0c</t>
  </si>
  <si>
    <t>646b0ff5b36e3e7c8167c0cc</t>
  </si>
  <si>
    <t>645e1a78b36e3e5523af8c79</t>
  </si>
  <si>
    <t>71MIyXGnVuRFYMipRYgo99po</t>
  </si>
  <si>
    <t>6469c0c3b36e3e7c81672584</t>
  </si>
  <si>
    <t>64620428b36e3e5523b1c4b0</t>
  </si>
  <si>
    <t>64609b53b36e3e5523b0e221</t>
  </si>
  <si>
    <t>6451faa9b36e3e0413c48aef</t>
  </si>
  <si>
    <t>6401d8c4b36e3e7d1ee9d33a</t>
  </si>
  <si>
    <t>646df61db36e3e7c816a6fd1</t>
  </si>
  <si>
    <t>646dfdc0b36e3e7c816a7c20</t>
  </si>
  <si>
    <t>64217da9b36e3e0ca9c957d2</t>
  </si>
  <si>
    <t>645a390eb36e3e5523ad214c</t>
  </si>
  <si>
    <t>646ca4c0b36e3e7c81695c78</t>
  </si>
  <si>
    <t>64560817b36e3e5523aaa3ec</t>
  </si>
  <si>
    <t>6470cf16b36e3e7c816c9f6b</t>
  </si>
  <si>
    <t>6455eeb7b36e3e5523aa77ae</t>
  </si>
  <si>
    <t>646c7229b36e3e7c816904e6</t>
  </si>
  <si>
    <t>645a151eb36e3e5523aceabd</t>
  </si>
  <si>
    <t>646cabe0b36e3e7c81696865</t>
  </si>
  <si>
    <t>6475e46cb36e3e7c817052da</t>
  </si>
  <si>
    <t>646de652b36e3e7c816a57c8</t>
  </si>
  <si>
    <t>64589f36b36e3e5523abc09c</t>
  </si>
  <si>
    <t>6479b0cdb36e3e7c81738085</t>
  </si>
  <si>
    <t>647738bdb36e3e7c8171d9a4</t>
  </si>
  <si>
    <t>647f4babb36e3e7c8176f0f3</t>
  </si>
  <si>
    <t>647718bcb36e3e7c81718289</t>
  </si>
  <si>
    <t>647f24afb36e3e7c8176cd0e</t>
  </si>
  <si>
    <t>647c8291b36e3e7c8174fd7f</t>
  </si>
  <si>
    <t>6481bdfbb36e3e7c8178bbb0</t>
  </si>
  <si>
    <t>6482d7a9b36e3e7c81795277</t>
  </si>
  <si>
    <t>6488482ab36e3e7c817cf027</t>
  </si>
  <si>
    <t>648c5a63b36e3e7c81800d90</t>
  </si>
  <si>
    <t>648310a7b36e3e7c8179b16d</t>
  </si>
  <si>
    <t>64946fc8b36e3e7c81851a23</t>
  </si>
  <si>
    <t>649155d9b36e3e7c8182bf02</t>
  </si>
  <si>
    <t>6481705bb36e3e7c81782c68</t>
  </si>
  <si>
    <t>6491c810b36e3e7c81833ef6</t>
  </si>
  <si>
    <t>648ff0eeb36e3e7c81819a43</t>
  </si>
  <si>
    <t>64994a9eb36e3e7c8187aebb</t>
  </si>
  <si>
    <t>6491b303b36e3e7c81833bac</t>
  </si>
  <si>
    <t>64942bc9b36e3e7c8184e3d4</t>
  </si>
  <si>
    <t>6499b3dab36e3e7c81882e8f</t>
  </si>
  <si>
    <t>649ec384b36e3e7c818c20a5</t>
  </si>
  <si>
    <t>638d8fbbb36e3e4a28b8fd09</t>
  </si>
  <si>
    <t>6458f709b36e3e5523ac4e7f</t>
  </si>
  <si>
    <t>649aa8d9b36e3e7c8188b678</t>
  </si>
  <si>
    <t>647ebd3eb36e3e7c81761eb9</t>
  </si>
  <si>
    <t>64464471b36e3e0ca9df7da3</t>
  </si>
  <si>
    <t>64a05432b36e3e7c818d26ae</t>
  </si>
  <si>
    <t>646eef08b36e3e7c816ac85e</t>
  </si>
  <si>
    <t>6496d566b36e3e7c8186a773</t>
  </si>
  <si>
    <t>649153ecb36e3e7c8182bc2d</t>
  </si>
  <si>
    <t>64994477b36e3e7c8187a4d9</t>
  </si>
  <si>
    <t>64a25df4b36e3e7c818dab69</t>
  </si>
  <si>
    <t>64ad0b4fb36e3e7c81964414</t>
  </si>
  <si>
    <t>64ae4792b36e3e7c81972093</t>
  </si>
  <si>
    <t>64ae8326b36e3e7c81978dfa</t>
  </si>
  <si>
    <t>64b8ed1eb36e3e7c819ee82d</t>
  </si>
  <si>
    <t>64b0e01bb36e3e7c81991be4</t>
  </si>
  <si>
    <t>64b7be62b36e3e7c819e256d</t>
  </si>
  <si>
    <t>64b64b7bb36e3e7c819ce26a</t>
  </si>
  <si>
    <t>64b95855b36e3e5e660895b6</t>
  </si>
  <si>
    <t>6496c56fb36e3e7c8186909c</t>
  </si>
  <si>
    <t>6467708cb36e3e5523b5de35</t>
  </si>
  <si>
    <t>64b7d3c0b36e3e7c819e49d7</t>
  </si>
  <si>
    <t>64ae3952b36e3e7c81970146</t>
  </si>
  <si>
    <t>64b1138fb36e3e7c819978c0</t>
  </si>
  <si>
    <t>64b78bddb36e3e7c819dc9a1</t>
  </si>
  <si>
    <t>64bf9f0fb36e3e5e660c9ff4</t>
  </si>
  <si>
    <t>64b28fd7b36e3e7c819aaf9e</t>
  </si>
  <si>
    <t>64b22890b36e3e7c8199fc1c</t>
  </si>
  <si>
    <t>64ae7ba9b36e3e7c81977e3a</t>
  </si>
  <si>
    <t>64a64b58b36e3e7c81916a1b</t>
  </si>
  <si>
    <t>64c2737db36e3e5e660f0289</t>
  </si>
  <si>
    <t>64c222c4b36e3e5e660e7eea</t>
  </si>
  <si>
    <t>64c4a960b36e3e5e66103b46</t>
  </si>
  <si>
    <t>649c1ddcb36e3e7c8189d825</t>
  </si>
  <si>
    <t>64bea7beb36e3e5e660bf872</t>
  </si>
  <si>
    <t>6481d300b36e3e7c8178df2d</t>
  </si>
  <si>
    <t>64a7a90db36e3e7c81929654</t>
  </si>
  <si>
    <t>64c8d502b36e3e5e6613f8e2</t>
  </si>
  <si>
    <t>63fdfef8b36e3e7d1ee789ff</t>
  </si>
  <si>
    <t>64ce399fb36e3e5e6617f1e3</t>
  </si>
  <si>
    <t>64c4e37fb36e3e5e6610b4c3</t>
  </si>
  <si>
    <t>64d35902b36e3e5e661b37d7</t>
  </si>
  <si>
    <t>64cc8860b36e3e5e661672af</t>
  </si>
  <si>
    <t>64b7d83fb36e3e7c819e5109</t>
  </si>
  <si>
    <t>64cdebbfb36e3e5e661779ab</t>
  </si>
  <si>
    <t>64baaa3bb36e3e5e66099372</t>
  </si>
  <si>
    <t>644d0055b36e3e0ca9e45df2</t>
  </si>
  <si>
    <t>64d0a650b36e3e5e661914e3</t>
  </si>
  <si>
    <t>64ce13b2b36e3e5e6617ba7c</t>
  </si>
  <si>
    <t>64d4d2c7b36e3e5e661c7b0b</t>
  </si>
  <si>
    <t>64c100f9b36e3e5e660dc800</t>
  </si>
  <si>
    <t>64abbe40b36e3e7c8195311a</t>
  </si>
  <si>
    <t>64d5b719b36e3e5e661cb339</t>
  </si>
  <si>
    <t>64d5e263b36e3e5e661d058a</t>
  </si>
  <si>
    <t>64d241ecb36e3e5e661a9f56</t>
  </si>
  <si>
    <t>64e06a11b36e3e5e6623951b</t>
  </si>
  <si>
    <t>64dc4ba1b36e3e5e6620336c</t>
  </si>
  <si>
    <t>64d63f3cb36e3e5e661d90b9</t>
  </si>
  <si>
    <t>64c9e577b36e3e5e66146e7c</t>
  </si>
  <si>
    <t>64d0755ab36e3e5e6618aede</t>
  </si>
  <si>
    <t>647ec7a3b36e3e7c817631c3</t>
  </si>
  <si>
    <t>64de0eb7b36e3e5e66221ddb</t>
  </si>
  <si>
    <t>64d4b99eb36e3e5e661c5081</t>
  </si>
  <si>
    <t>64ccae6eb36e3e5e6616ba48</t>
  </si>
  <si>
    <t>64e06b23b36e3e5e662396f5</t>
  </si>
  <si>
    <t>64df3147b36e3e5e6622c95e</t>
  </si>
  <si>
    <t>64b28dbbb36e3e7c819aace9</t>
  </si>
  <si>
    <t>64e5bdc6b36e3e5e6627a232</t>
  </si>
  <si>
    <t>64d0e843b36e3e5e6619852c</t>
  </si>
  <si>
    <t>64ad45f5b36e3e7c8196a9e8</t>
  </si>
  <si>
    <t>64d5de41b36e3e5e661cfdc6</t>
  </si>
  <si>
    <t>64e3072cb36e3e5e66250ed4</t>
  </si>
  <si>
    <t>64c891beb36e3e5e661391a4</t>
  </si>
  <si>
    <t>64c39ac5b36e3e5e660fb8ec</t>
  </si>
  <si>
    <t>64ed835ab36e3e6a6c5b49fd</t>
  </si>
  <si>
    <t>64c3905eb36e3e5e660fa765</t>
  </si>
  <si>
    <t>64c5f89cb36e3e5e66112f28</t>
  </si>
  <si>
    <t>64f71963b36e3e6a6c637d22</t>
  </si>
  <si>
    <t>ELEVATE</t>
  </si>
  <si>
    <t>64f1791fb36e3e6a6c5f6dfc</t>
  </si>
  <si>
    <t>6482f210b36e3e7c81797a7a</t>
  </si>
  <si>
    <t>64f6c187b36e3e6a6c62c0db</t>
  </si>
  <si>
    <t>64f7036cb36e3e6a6c634658</t>
  </si>
  <si>
    <t>64f1db0db36e3e6a6c601fe0</t>
  </si>
  <si>
    <t>64818e7cb36e3e7c817869e0</t>
  </si>
  <si>
    <t>64fc4555b36e3e6a6c68e40b</t>
  </si>
  <si>
    <t>Walk-in Event</t>
  </si>
  <si>
    <t>64d7a7c3b36e3e5e661e60f0</t>
  </si>
  <si>
    <t>64a382edb36e3e7c818f1073</t>
  </si>
  <si>
    <t>64fc604db36e3e6a6c691d9b</t>
  </si>
  <si>
    <t>65014ac1b36e3e6a6c6e0027</t>
  </si>
  <si>
    <t>65002cc7b36e3e6a6c6cd40b</t>
  </si>
  <si>
    <t>6504432ab36e3e0946c43e15</t>
  </si>
  <si>
    <t>64fb1d0ab36e3e6a6c67f2d0</t>
  </si>
  <si>
    <t>6502ff00b36e3e6a6c71067b</t>
  </si>
  <si>
    <t>64c5296fb36e3e5e661112bf</t>
  </si>
  <si>
    <t>6464bad8b36e3e5523b3cbbc</t>
  </si>
  <si>
    <t>64a2b98cb36e3e7c818eb234</t>
  </si>
  <si>
    <t>6458c57cb36e3e5523abfdaf</t>
  </si>
  <si>
    <t>6455ebe0b36e3e5523aa72d4</t>
  </si>
  <si>
    <t>649bc2d8b36e3e7c81893f9a</t>
  </si>
  <si>
    <t>64f6d967b36e3e6a6c62f572</t>
  </si>
  <si>
    <t>64fc666eb36e3e6a6c692daa</t>
  </si>
  <si>
    <t>64eef5c3b36e3e6a6c5cb4a8</t>
  </si>
  <si>
    <t>645cbc1eb36e3e5523ae8670</t>
  </si>
  <si>
    <t>649962ccb36e3e7c8187d532</t>
  </si>
  <si>
    <t>64816e04b36e3e7c8178274a</t>
  </si>
  <si>
    <t>64f6fee6b36e3e6a6c6339c3</t>
  </si>
  <si>
    <t>6423b815b36e3e0ca9ca8cfa</t>
  </si>
  <si>
    <t>64b126fcb36e3e7c819999e6</t>
  </si>
  <si>
    <t>64fef318b36e3e6a6c6b4e02</t>
  </si>
  <si>
    <t>65003bd6b36e3e6a6c6cfe7c</t>
  </si>
  <si>
    <t>65058c2fb36e3e5eb8441440</t>
  </si>
  <si>
    <t>6465ef6bb36e3e5523b493c7</t>
  </si>
  <si>
    <t>650c1d9fb36e3e5eb84a44ac</t>
  </si>
  <si>
    <t>64faee6ab36e3e6a6c6769c0</t>
  </si>
  <si>
    <t>64885fb5b36e3e7c817d1a19</t>
  </si>
  <si>
    <t>648c47c6b36e3e7c817ff27e</t>
  </si>
  <si>
    <t>6501553bb36e3e6a6c6e2021</t>
  </si>
  <si>
    <t>6502d332b36e3e6a6c7073e3</t>
  </si>
  <si>
    <t>65096f3ab36e3e5eb8472f0d</t>
  </si>
  <si>
    <t>64b27a3fb36e3e7c819a8cad</t>
  </si>
  <si>
    <t>650d856bb36e3e5eb84c22f2</t>
  </si>
  <si>
    <t>6512dbfcb36e3e5eb85153f8</t>
  </si>
  <si>
    <t>64ae8d1fb36e3e7c8197a060</t>
  </si>
  <si>
    <t>64f5c916b36e3e6a6c62560a</t>
  </si>
  <si>
    <t>65082a16b36e3e5eb845f583</t>
  </si>
  <si>
    <t>650a8844b36e3e5eb84819ef</t>
  </si>
  <si>
    <t>64fc7b64b36e3e6a6c695543</t>
  </si>
  <si>
    <t>6501804db36e3e6a6c6e9d89</t>
  </si>
  <si>
    <t>65142b4eb36e3e5eb852b942</t>
  </si>
  <si>
    <t>65110852b36e3e5eb84e42fe</t>
  </si>
  <si>
    <t>645b7148b36e3e5523adca53</t>
  </si>
  <si>
    <t>6513fe67b36e3e5eb85252d5</t>
  </si>
  <si>
    <t>64b6252cb36e3e7c819c8f92</t>
  </si>
  <si>
    <t>64a3fa8ab36e3e7c818fcd63</t>
  </si>
  <si>
    <t>651d5a5fb36e3e5eb85bdc84</t>
  </si>
  <si>
    <t>651f893cb36e3e5eb85da54a</t>
  </si>
  <si>
    <t>651975a2b36e3e5eb8586540</t>
  </si>
  <si>
    <t>64be5707b36e3e5e660baf89</t>
  </si>
  <si>
    <t>SFMC</t>
  </si>
  <si>
    <t>64f5b3dab36e3e6a6c6237de</t>
  </si>
  <si>
    <t>65292d85b36e3e5eb866ca38</t>
  </si>
  <si>
    <t>64c4b1b8b36e3e5e66105313</t>
  </si>
  <si>
    <t>64c8d6ceb36e3e5e6613fc61</t>
  </si>
  <si>
    <t>64fc6c75b36e3e6a6c693d48</t>
  </si>
  <si>
    <t>651eac20b36e3e5eb85d57b0</t>
  </si>
  <si>
    <t>651a8b55b36e3e5eb858d611</t>
  </si>
  <si>
    <t>652a6ef5b36e3e5eb867d283</t>
  </si>
  <si>
    <t>6521516db36e3e5eb85fde14</t>
  </si>
  <si>
    <t>648191aab36e3e7c81786ec2</t>
  </si>
  <si>
    <t>6453969cb36e3e0413c5be72</t>
  </si>
  <si>
    <t>651d4263b36e3e5eb85b99dc</t>
  </si>
  <si>
    <t>651c5d46b36e3e5eb85aaf52</t>
  </si>
  <si>
    <t>64c74417b36e3e5e6611eb0d</t>
  </si>
  <si>
    <t>65326ad1b36e3e5eb870112e</t>
  </si>
  <si>
    <t>65311eb6b36e3e5eb86ea90c</t>
  </si>
  <si>
    <t>653f8ae6b36e3e5eb87c07ab</t>
  </si>
  <si>
    <t>653b47b7b36e3e5eb8776be9</t>
  </si>
  <si>
    <t>653655f3b36e3e5eb872e481</t>
  </si>
  <si>
    <t>653a6667b36e3e5eb87700c4</t>
  </si>
  <si>
    <t>653cb5bbb36e3e5eb8794b28</t>
  </si>
  <si>
    <t>6540be14b36e3e5eb87dbb6c</t>
  </si>
  <si>
    <t>653f751ab36e3e5eb87bbf00</t>
  </si>
  <si>
    <t>654396c0b36e3e5eb88184e8</t>
  </si>
  <si>
    <t>6544d3ccb36e3e5eb88298ee</t>
  </si>
  <si>
    <t>65463831b36e3e5eb8840c40</t>
  </si>
  <si>
    <t>653fa515b36e3e5eb87c5754</t>
  </si>
  <si>
    <t>6544b63eb36e3e5eb88253c4</t>
  </si>
  <si>
    <t>653cf8a1b36e3e5eb879e04d</t>
  </si>
  <si>
    <t>64f70e07b36e3e6a6c636021</t>
  </si>
  <si>
    <t>651eade0b36e3e5eb85d5ef9</t>
  </si>
  <si>
    <t>646b5847b36e3e7c81684f68</t>
  </si>
  <si>
    <t>6545eabdb36e3e5eb8835f6d</t>
  </si>
  <si>
    <t>6544f499b36e3e5eb882ec41</t>
  </si>
  <si>
    <t>6539fcdcb36e3e5eb875d298</t>
  </si>
  <si>
    <t>6537bd54b36e3e5eb873dda8</t>
  </si>
  <si>
    <t>654b7c0bb36e3e5eb889833e</t>
  </si>
  <si>
    <t>64ae908fb36e3e7c8197a78f</t>
  </si>
  <si>
    <t>652687efb36e3e5eb8643479</t>
  </si>
  <si>
    <t>6517f116b36e3e5eb856fcda</t>
  </si>
  <si>
    <t>653a4666b36e3e5eb8769dfd</t>
  </si>
  <si>
    <t>64eedf54b36e3e6a6c5c7d6d</t>
  </si>
  <si>
    <t>6555fe6cb36e3e328ea42dc4</t>
  </si>
  <si>
    <t>655f45beb36e3e328eace766</t>
  </si>
  <si>
    <t>654a4575b36e3e5eb88838da</t>
  </si>
  <si>
    <t>6549fc50b36e3e5eb8877617</t>
  </si>
  <si>
    <t>655737a6b36e3e328ea54be7</t>
  </si>
  <si>
    <t>654dd0f6b36e3e328e9e84b6</t>
  </si>
  <si>
    <t>651fbb11b36e3e5eb85e1086</t>
  </si>
  <si>
    <t>6552fc17b36e3e328ea1240c</t>
  </si>
  <si>
    <t>65585ae6b36e3e328ea62518</t>
  </si>
  <si>
    <t>654b6bf4b36e3e5eb8895852</t>
  </si>
  <si>
    <t>64928049b36e3e7c81835894</t>
  </si>
  <si>
    <t>6550a050b36e3e328ea05e5b</t>
  </si>
  <si>
    <t>64940719b36e3e7c8184a63b</t>
  </si>
  <si>
    <t>65577968b36e3e328ea5c623</t>
  </si>
  <si>
    <t>65017b37b36e3e6a6c6e8dc9</t>
  </si>
  <si>
    <t>65643ce8b36e3e328eb0ea5b</t>
  </si>
  <si>
    <t>655703c7b36e3e328ea4cf89</t>
  </si>
  <si>
    <t>64b39ce8b36e3e7c819af739</t>
  </si>
  <si>
    <t>656471e1b36e3e328eb15139</t>
  </si>
  <si>
    <t>64675925b36e3e5523b5b7c0</t>
  </si>
  <si>
    <t>6552f4a3b36e3e328ea11a7b</t>
  </si>
  <si>
    <t>64e0b714b36e3e5e66240fdc</t>
  </si>
  <si>
    <t>6555d64fb36e3e328ea3cab6</t>
  </si>
  <si>
    <t>Event</t>
  </si>
  <si>
    <t>65689677b36e3e328eb817b8</t>
  </si>
  <si>
    <t>65657395b36e3e328eb22dbd</t>
  </si>
  <si>
    <t>64b64852b36e3e7c819cdda0</t>
  </si>
  <si>
    <t>6557aaa5b36e3e328ea5cd7c</t>
  </si>
  <si>
    <t>654f39bbb36e3e328e9fd13c</t>
  </si>
  <si>
    <t>6570102eb36e3e328ebf097d</t>
  </si>
  <si>
    <t>64c9df29b36e3e5e661465f5</t>
  </si>
  <si>
    <t>65433caeb36e3e5eb880a066</t>
  </si>
  <si>
    <t>65630c61b36e3e328eb03e64</t>
  </si>
  <si>
    <t>651c0a7db36e3e5eb85a6ee1</t>
  </si>
  <si>
    <t>6569722bb36e3e328eb8ae35</t>
  </si>
  <si>
    <t>656f0011b36e3e328ebe1565</t>
  </si>
  <si>
    <t>657983ecb36e3e328eca31b3</t>
  </si>
  <si>
    <t>65769f39b36e3e328ec5aa4f</t>
  </si>
  <si>
    <t>657432d4b36e3e328ec3d322</t>
  </si>
  <si>
    <t>6571bb29b36e3e328ec16112</t>
  </si>
  <si>
    <t>65379431b36e3e5eb873ac07</t>
  </si>
  <si>
    <t>6574638ab36e3e328ec44958</t>
  </si>
  <si>
    <t>65782e44b36e3e328ec87ed4</t>
  </si>
  <si>
    <t>65046689b36e3e5eb8430646</t>
  </si>
  <si>
    <t>6538be25b36e3e5eb874721b</t>
  </si>
  <si>
    <t>6571aef3b36e3e328ec13715</t>
  </si>
  <si>
    <t>64f02e59b36e3e6a6c5dbd5f</t>
  </si>
  <si>
    <t>6568bd76b36e3e328eb84ae5</t>
  </si>
  <si>
    <t>652a7be0b36e3e5eb867ee81</t>
  </si>
  <si>
    <t>657d3586b36e3e328ece3e9a</t>
  </si>
  <si>
    <t>65770c87b36e3e328ec723f9</t>
  </si>
  <si>
    <t>65085e58b36e3e5eb8465515</t>
  </si>
  <si>
    <t>657af932b36e3e328ecc1e31</t>
  </si>
  <si>
    <t>6571b2bfb36e3e328ec1470f</t>
  </si>
  <si>
    <t>65796932b36e3e328ec9f1a7</t>
  </si>
  <si>
    <t>657bf407b36e3e328ecccc96</t>
  </si>
  <si>
    <t>658013edb36e3e328ed1875d</t>
  </si>
  <si>
    <t>65716995b36e3e328ec09792</t>
  </si>
  <si>
    <t>6571c8bfb36e3e328ec1804d</t>
  </si>
  <si>
    <t>6555eb1bb36e3e328ea3fe4d</t>
  </si>
  <si>
    <t>6569bc21b36e3e328eb94f92</t>
  </si>
  <si>
    <t>657d947db36e3e328ecf4600</t>
  </si>
  <si>
    <t>657f1ba9b36e3e328ed049f4</t>
  </si>
  <si>
    <t>657d513fb36e3e328ece9cc3</t>
  </si>
  <si>
    <t>65730b07b36e3e328ec2cc2d</t>
  </si>
  <si>
    <t>64e43dd6b36e3e5e66261361</t>
  </si>
  <si>
    <t>64a545eeb36e3e7c8190d6b7</t>
  </si>
  <si>
    <t>652d306eb36e3e5eb86a3f5a</t>
  </si>
  <si>
    <t>65799464b36e3e328eca623f</t>
  </si>
  <si>
    <t>657da445b36e3e328ecf6b34</t>
  </si>
  <si>
    <t>657ad4d6b36e3e328ecbb6c8</t>
  </si>
  <si>
    <t>657453e1b36e3e328ec41e2f</t>
  </si>
  <si>
    <t>654f6188b36e3e328ea00e04</t>
  </si>
  <si>
    <t>6586f09cb36e3e328edb2832</t>
  </si>
  <si>
    <t>656eece9b36e3e328ebde459</t>
  </si>
  <si>
    <t>64bbc015b36e3e5e660a595f</t>
  </si>
  <si>
    <t>658a756bb36e3e328eddcfb5</t>
  </si>
  <si>
    <t>65829c06b36e3e328ed52226</t>
  </si>
  <si>
    <t>65795c33b36e3e328ec9cdf1</t>
  </si>
  <si>
    <t>65857ed3b36e3e328ed97142</t>
  </si>
  <si>
    <t>6502c5e8b36e3e6a6c7054dc</t>
  </si>
  <si>
    <t>657a8205b36e3e328ecaeebe</t>
  </si>
  <si>
    <t>65265c6cb36e3e5eb863cefa</t>
  </si>
  <si>
    <t>65239397b36e3e5eb860d91b</t>
  </si>
  <si>
    <t>658bfec4b36e3e328ee085e7</t>
  </si>
  <si>
    <t>658bd7aab36e3e328ee01316</t>
  </si>
  <si>
    <t>656c3a80b36e3e328ebb3121</t>
  </si>
  <si>
    <t>65376e19b36e3e5eb8737393</t>
  </si>
  <si>
    <t>65813e0fb36e3e328ed2fb24</t>
  </si>
  <si>
    <t>65841504b36e3e328ed770f6</t>
  </si>
  <si>
    <t>657bbecab36e3e328ecc680e</t>
  </si>
  <si>
    <t>655f295bb36e3e328eac9393</t>
  </si>
  <si>
    <t>658d1821b36e3e328ee1afe0</t>
  </si>
  <si>
    <t>654a1c8eb36e3e5eb887cf02</t>
  </si>
  <si>
    <t>658ff2c9b36e3e328ee51ede</t>
  </si>
  <si>
    <t>65903403b36e3e328ee59c03</t>
  </si>
  <si>
    <t>658ad8e3b36e3e328edf2bcf</t>
  </si>
  <si>
    <t>65856453b36e3e328ed92206</t>
  </si>
  <si>
    <t>659d5bfdb36e3e328ef12b89</t>
  </si>
  <si>
    <t>655dbb62b36e3e328eaabebd</t>
  </si>
  <si>
    <t>6582c8d7b36e3e328ed5a614</t>
  </si>
  <si>
    <t>64afe85db36e3e7c8198c51f</t>
  </si>
  <si>
    <t>64f9bc32b36e3e6a6c6641ac</t>
  </si>
  <si>
    <t>657d703ab36e3e328eceeafe</t>
  </si>
  <si>
    <t>659664beb36e3e328eea5cc3</t>
  </si>
  <si>
    <t>65994997b36e3e328eed75b4</t>
  </si>
  <si>
    <t>658d68f3b36e3e328ee286d2</t>
  </si>
  <si>
    <t>6596a281b36e3e328eeaeaed</t>
  </si>
  <si>
    <t>65a0f1eeb36e3e328ef56be0</t>
  </si>
  <si>
    <t>65a7a513b36e3e328efc0785</t>
  </si>
  <si>
    <t>659e5ae8b36e3e328ef21a8b</t>
  </si>
  <si>
    <t>65424cabb36e3e5eb8802d6b</t>
  </si>
  <si>
    <t>6542535cb36e3e5eb8803766</t>
  </si>
  <si>
    <t>6582e490b36e3e328ed6097f</t>
  </si>
  <si>
    <t>6558c6dfb36e3e328ea6e145</t>
  </si>
  <si>
    <t>65057b5fb36e3e5eb843e6f4</t>
  </si>
  <si>
    <t>652d5ac4b36e3e5eb86a6a16</t>
  </si>
  <si>
    <t>64ae53e1b36e3e7c81973b17</t>
  </si>
  <si>
    <t>65956b56b36e3e328ee9b88b</t>
  </si>
  <si>
    <t>65966df3b36e3e328eea6f8f</t>
  </si>
  <si>
    <t>65a28ce4b36e3e328ef76c35</t>
  </si>
  <si>
    <t>64ec4b66b36e3e5e662c9e28</t>
  </si>
  <si>
    <t>65ae05f8b36e3e328e02b0c0</t>
  </si>
  <si>
    <t>65a9412ab36e3e328efe70ee</t>
  </si>
  <si>
    <t>6516b325b36e3e5eb85560b2</t>
  </si>
  <si>
    <t>6596b506b36e3e328eeb10cc</t>
  </si>
  <si>
    <t>652d2581b36e3e5eb86a1d8f</t>
  </si>
  <si>
    <t>64a3c65cb36e3e7c818f6c15</t>
  </si>
  <si>
    <t>65b24d1ab36e3e328e0916b9</t>
  </si>
  <si>
    <t>657a8c89b36e3e328ecb03f9</t>
  </si>
  <si>
    <t>65a7c226b36e3e328efc687b</t>
  </si>
  <si>
    <t>657d0195b36e3e328ece02ca</t>
  </si>
  <si>
    <t>65b092c1b36e3e328e0606e7</t>
  </si>
  <si>
    <t>65b8d47fb36e3e328e0fb770</t>
  </si>
  <si>
    <t>650ab05db36e3e5eb84882da</t>
  </si>
  <si>
    <t>65b4ebc3b36e3e328e0b41b3</t>
  </si>
  <si>
    <t>65a4b1adb36e3e328ef82958</t>
  </si>
  <si>
    <t>65bcae76b36e3e328e14d289</t>
  </si>
  <si>
    <t>65b2369eb36e3e328e08d8a1</t>
  </si>
  <si>
    <t>65c47673b36e3e328e1be14a</t>
  </si>
  <si>
    <t>65a752b5b36e3e328efb25fa</t>
  </si>
  <si>
    <t>65bb26e2b36e3e328e1304bc</t>
  </si>
  <si>
    <t>65c99afcb36e3e328e2244fe</t>
  </si>
  <si>
    <t>65c4bff8b36e3e328e1cef81</t>
  </si>
  <si>
    <t>64b13e3cb36e3e7c8199bef8</t>
  </si>
  <si>
    <t>65bb2138b36e3e328e12f980</t>
  </si>
  <si>
    <t>6492f5aab36e3e7c81841490</t>
  </si>
  <si>
    <t>65bc912cb36e3e328e14887e</t>
  </si>
  <si>
    <t>65b5154db36e3e328e0b96f9</t>
  </si>
  <si>
    <t>65c1f9efb36e3e328e1987e4</t>
  </si>
  <si>
    <t>659663f5b36e3e328eea5a9c</t>
  </si>
  <si>
    <t>65ca20bcb36e3e328e23bd3b</t>
  </si>
  <si>
    <t>65c4921ab36e3e328e1c1890</t>
  </si>
  <si>
    <t>64dda5d7b36e3e5e66216396</t>
  </si>
  <si>
    <t>65cef920b36e3e328e28df6d</t>
  </si>
  <si>
    <t>65391379b36e3e5eb8755afd</t>
  </si>
  <si>
    <t>65d05fe3b36e3e328e2a9195</t>
  </si>
  <si>
    <t>65ce1235b36e3e328e28787e</t>
  </si>
  <si>
    <t>65ceffd7b36e3e328e28f39d</t>
  </si>
  <si>
    <t>659540e5b36e3e328ee95a8a</t>
  </si>
  <si>
    <t>65df1320b36e3e7e1aa73578</t>
  </si>
  <si>
    <t>65436509b36e3e5eb8810644</t>
  </si>
  <si>
    <t>65376d3ab36e3e5eb87371f2</t>
  </si>
  <si>
    <t>65d5dbc4b36e3e328e3049ea</t>
  </si>
  <si>
    <t>65cf402eb36e3e328e2984ef</t>
  </si>
  <si>
    <t>65afaa8db36e3e328e05644a</t>
  </si>
  <si>
    <t>65ab8ffbb36e3e328e011596</t>
  </si>
  <si>
    <t>65e08626b36e3e2fdb94f4d5</t>
  </si>
  <si>
    <t>65b0e570b36e3e328e073f6a</t>
  </si>
  <si>
    <t>659fdaecb36e3e328ef46e01</t>
  </si>
  <si>
    <t>65db0a8db36e3e7e1aa1eedc</t>
  </si>
  <si>
    <t>65e2a828b36e3e2fdb96c6be</t>
  </si>
  <si>
    <t>65dd7e55b36e3e7e1aa43b1d</t>
  </si>
  <si>
    <t>59veR2RkWUbS4gXzDtrLGWB5</t>
  </si>
  <si>
    <t>6561dba7b36e3e328eafa77e</t>
  </si>
  <si>
    <t>65e99877b36e3e2fdb9ea425</t>
  </si>
  <si>
    <t>65ec3aafb36e3e2fdba13a5f</t>
  </si>
  <si>
    <t>64fea561b36e3e6a6c6a5382</t>
  </si>
  <si>
    <t>65f1a238b36e3e0c25026bda</t>
  </si>
  <si>
    <t>65a7c3e2b36e3e328efc6fdd</t>
  </si>
  <si>
    <t>65e571a4b36e3e2fdb990ca1</t>
  </si>
  <si>
    <t>654f544cb36e3e328e9ffdd5</t>
  </si>
  <si>
    <t>65da0596b36e3e7e1aa191d8</t>
  </si>
  <si>
    <t>65ed5dcab36e3e2fdba1e3aa</t>
  </si>
  <si>
    <t>65f527d2b36e3e0c250603d5</t>
  </si>
  <si>
    <t>65f83a3db36e3e0c2509538f</t>
  </si>
  <si>
    <t>65e023c3b36e3e7e1aa87284</t>
  </si>
  <si>
    <t>65f43929b36e3e0c250596b8</t>
  </si>
  <si>
    <t>65dd780fb36e3e7e1aa4233f</t>
  </si>
  <si>
    <t>65d33305b36e3e328e2cee5e</t>
  </si>
  <si>
    <t>65e2de2db36e3e2fdb973e98</t>
  </si>
  <si>
    <t>65f8190ab36e3e0c2508ebef</t>
  </si>
  <si>
    <t>65783c1fb36e3e328ec8a4ba</t>
  </si>
  <si>
    <t>65f13818b36e3e0c2500f670</t>
  </si>
  <si>
    <t>65fd690ab36e3e0c250fb854</t>
  </si>
  <si>
    <t>65d82e9ab36e3e7e1a9ea206</t>
  </si>
  <si>
    <t>65ef0177b36e3e2fdba6ffcc</t>
  </si>
  <si>
    <t>65f97046b36e3e0c250abaa8</t>
  </si>
  <si>
    <t>65f51b9ab36e3e0c2505ee10</t>
  </si>
  <si>
    <t>65cf2803b36e3e328e294b91</t>
  </si>
  <si>
    <t>65fa712eb36e3e0c250b66da</t>
  </si>
  <si>
    <t>66029bcfb36e3e0c25138ad3</t>
  </si>
  <si>
    <t>659d5df2b36e3e328ef13005</t>
  </si>
  <si>
    <t>65fd6eefb36e3e0c250fc5b7</t>
  </si>
  <si>
    <t>65b9f3b5b36e3e328e111d2a</t>
  </si>
  <si>
    <t>65febc7ab36e3e0c25110f02</t>
  </si>
  <si>
    <t>65dc6f0ab36e3e7e1aa348ee</t>
  </si>
  <si>
    <t>6603d4e4b36e3e0c2514e2b9</t>
  </si>
  <si>
    <t>65cf5151b36e3e328e29b028</t>
  </si>
  <si>
    <t>6602a649b36e3e0c2513a70f</t>
  </si>
  <si>
    <t>Web_SEM</t>
  </si>
  <si>
    <t>646c899ab36e3e7c81692b9a</t>
  </si>
  <si>
    <t>66027c7cb36e3e0c25133d54</t>
  </si>
  <si>
    <t>65d459a9b36e3e328e2e0991</t>
  </si>
  <si>
    <t>66053f90b36e3e0c2516c2ae</t>
  </si>
  <si>
    <t>65d30c69b36e3e328e2c8a24</t>
  </si>
  <si>
    <t>65effa64b36e3e0c25ff75b5</t>
  </si>
  <si>
    <t>65f568fbb36e3e0c2506adf8</t>
  </si>
  <si>
    <t>660a9620b36e3e0c251d1fda</t>
  </si>
  <si>
    <t>65b718b8b36e3e328e0c8479</t>
  </si>
  <si>
    <t>65c37340b36e3e328e1b5acc</t>
  </si>
  <si>
    <t>65f6d4e0b36e3e0c2507ae51</t>
  </si>
  <si>
    <t>660d5f65b36e3e0c251f914b</t>
  </si>
  <si>
    <t>6620c6fab36e3e75b07136bc</t>
  </si>
  <si>
    <t>661cd29eb36e3e75b06dbb76</t>
  </si>
  <si>
    <t>662205cbb36e3e75b0725d62</t>
  </si>
  <si>
    <t>66275d0bb36e3e69831ffd22</t>
  </si>
  <si>
    <t>661fab6db36e3e75b0706443</t>
  </si>
  <si>
    <t>662b369fb36e3e6983232b95</t>
  </si>
  <si>
    <t>6610ee77b36e3e0c2522b925</t>
  </si>
  <si>
    <t>65c0e1aeb36e3e328e18c2c2</t>
  </si>
  <si>
    <t>66123139b36e3e0c2523a1cb</t>
  </si>
  <si>
    <t>6596d615b36e3e328eeb1cf2</t>
  </si>
  <si>
    <t>654ca25bb36e3e328e9d39c9</t>
  </si>
  <si>
    <t>65d8289cb36e3e7e1a9e916c</t>
  </si>
  <si>
    <t>6633597ab36e3e2de19bdb9b</t>
  </si>
  <si>
    <t>6635fcf7b36e3e2de19dd64b</t>
  </si>
  <si>
    <t>65f192a0b36e3e0c250237bd</t>
  </si>
  <si>
    <t>664c5366b36e3e2de1adcd34</t>
  </si>
  <si>
    <t>66337da0b36e3e2de19c20ac</t>
  </si>
  <si>
    <t>66470e49b36e3e2de1aa2971</t>
  </si>
  <si>
    <t>664dc68db36e3e2de1af4717</t>
  </si>
  <si>
    <t>66386b1cb36e3e2de19edd93</t>
  </si>
  <si>
    <t>664c8e04b36e3e2de1ae4f9b</t>
  </si>
  <si>
    <t>6646da03b36e3e2de1a9bc56</t>
  </si>
  <si>
    <t>66307d20b36e3e5967e1709c</t>
  </si>
  <si>
    <t>664a05d4b36e3e2de1ac2cb0</t>
  </si>
  <si>
    <t>664e0cd7b36e3e2de1afa5a4</t>
  </si>
  <si>
    <t>6651c213b36e3e2de1b2a1c0</t>
  </si>
  <si>
    <t>66362250b36e3e2de19e0c44</t>
  </si>
  <si>
    <t>6635fd0db36e3e2de19dd682</t>
  </si>
  <si>
    <t>66570f71b36e3e2de1b66560</t>
  </si>
  <si>
    <t>65d996afb36e3e7e1aa0b590</t>
  </si>
  <si>
    <t>66549c38b36e3e2de1b4814b</t>
  </si>
  <si>
    <t>663a0582b36e3e2de1a060a4</t>
  </si>
  <si>
    <t>664b268fb36e3e2de1acf99d</t>
  </si>
  <si>
    <t>6651b56ab36e3e2de1b291e0</t>
  </si>
  <si>
    <t>66384fb6b36e3e2de19eb2dc</t>
  </si>
  <si>
    <t>65ddc9a8b36e3e7e1aa56ff3</t>
  </si>
  <si>
    <t>664c79bfb36e3e2de1ae11a7</t>
  </si>
  <si>
    <t>66587a5fb36e3e2de1b7e3f5</t>
  </si>
  <si>
    <t>663a160db36e3e2de1a07d2e</t>
  </si>
  <si>
    <t>6659bf0ab36e3e2de1b96476</t>
  </si>
  <si>
    <t>6659bf66b36e3e2de1b96598</t>
  </si>
  <si>
    <t>6659eec0b36e3e2de1b9b6d2</t>
  </si>
  <si>
    <t>6659e5d0b36e3e2de1b9b090</t>
  </si>
  <si>
    <t>6659ed1ab36e3e2de1b9b611</t>
  </si>
  <si>
    <t>6663e786b36e3e2de1bff568</t>
  </si>
  <si>
    <t>665d7ddbb36e3e2de1bb5b8d</t>
  </si>
  <si>
    <t>66541e86b36e3e2de1b396e1</t>
  </si>
  <si>
    <t>665aa3e1b36e3e2de1b9d89f</t>
  </si>
  <si>
    <t>6655c59db36e3e2de1b566fe</t>
  </si>
  <si>
    <t>6661685bb36e3e2de1be43b8</t>
  </si>
  <si>
    <t>66669ef3b36e3e2de1c195ff</t>
  </si>
  <si>
    <t>6666b7d1b36e3e2de1c1cd53</t>
  </si>
  <si>
    <t>6662dab3b36e3e2de1bf7475</t>
  </si>
  <si>
    <t>666c1c5bb36e3e2de1c69ece</t>
  </si>
  <si>
    <t>667425a3b36e3e2de1ccfbe9</t>
  </si>
  <si>
    <t>663f6c17b36e3e2de1a4af74</t>
  </si>
  <si>
    <t>665c8cabb36e3e2de1bad775</t>
  </si>
  <si>
    <t>666d9c05b36e3e2de1c8039c</t>
  </si>
  <si>
    <t>662f21e4b36e3e5967dfdff5</t>
  </si>
  <si>
    <t>6673d57db36e3e2de1cc4c1b</t>
  </si>
  <si>
    <t>66475b79b36e3e2de1aab4cb</t>
  </si>
  <si>
    <t>66716174b36e3e2de1ca4b7d</t>
  </si>
  <si>
    <t>6666e19db36e3e2de1c2262f</t>
  </si>
  <si>
    <t>667107cab36e3e2de1c99cee</t>
  </si>
  <si>
    <t>66555cfcb36e3e2de1b49c92</t>
  </si>
  <si>
    <t>6678ed5eb36e3e2de1cfe507</t>
  </si>
  <si>
    <t>667d6adfb36e3e2de1d4bfb0</t>
  </si>
  <si>
    <t>667ffc79b36e3e2de1d76861</t>
  </si>
  <si>
    <t>66801859b36e3e2de1d7925b</t>
  </si>
  <si>
    <t>666d9678b36e3e2de1c7fe4c</t>
  </si>
  <si>
    <t>665d771fb36e3e2de1bb4fd6</t>
  </si>
  <si>
    <t>662f264eb36e3e5967dfea58</t>
  </si>
  <si>
    <t>6680f4b1b36e3e2de1d7c9de</t>
  </si>
  <si>
    <t>664c9f53b36e3e2de1ae7506</t>
  </si>
  <si>
    <t>665e042bb36e3e2de1bbe55f</t>
  </si>
  <si>
    <t>6690ed01b36e3e2de1e42188</t>
  </si>
  <si>
    <t>66715b6fb36e3e2de1ca3fd1</t>
  </si>
  <si>
    <t>66517388b36e3e2de1b22b40</t>
  </si>
  <si>
    <t>6694c966b36e3e2de1e6a156</t>
  </si>
  <si>
    <t>66572cbbb36e3e2de1b6a2b8</t>
  </si>
  <si>
    <t>66794e12b36e3e2de1d0c0bb</t>
  </si>
  <si>
    <t>6687e8d1b36e3e2de1dd6383</t>
  </si>
  <si>
    <t>66967d41b36e3e2de1e8a54d</t>
  </si>
  <si>
    <t>669371d4b36e3e2de1e5cd58</t>
  </si>
  <si>
    <t>669790fbb36e3e2de1e96ac7</t>
  </si>
  <si>
    <t>669a1667b36e3e2de1ebbc13</t>
  </si>
  <si>
    <t>668bdc5ab36e3e2de1dfefdd</t>
  </si>
  <si>
    <t>669e115eb36e3e2de1ee9cdb</t>
  </si>
  <si>
    <t>6698d8b5b36e3e2de1eaa06e</t>
  </si>
  <si>
    <t>6690c0d1b36e3e2de1e3d119</t>
  </si>
  <si>
    <t>65be3988b36e3e328e16aff7</t>
  </si>
  <si>
    <t>66a0f067b36e3e181e91f00f</t>
  </si>
  <si>
    <t>66a1000ab36e3e181e920da4</t>
  </si>
  <si>
    <t>66a3a851b36e3e181e9499d5</t>
  </si>
  <si>
    <t>669e085db36e3e2de1ee85c6</t>
  </si>
  <si>
    <t>66a3aa1ab36e3e181e949b87</t>
  </si>
  <si>
    <t>66a4c8f1b36e3e181e95677a</t>
  </si>
  <si>
    <t>66a2226db36e3e181e92f6a1</t>
  </si>
  <si>
    <t>66a09c1cb36e3e181e9130b8</t>
  </si>
  <si>
    <t>66191a3ab36e3e75b06ba627</t>
  </si>
  <si>
    <t>66aa2e08b36e3e181e9a06bd</t>
  </si>
  <si>
    <t>66aa41edb36e3e181e9a2e36</t>
  </si>
  <si>
    <t>66aa41d9b36e3e181e9a2e23</t>
  </si>
  <si>
    <t>66aa4142b36e3e181e9a2d96</t>
  </si>
  <si>
    <t>66b31004b36e3e181e9ffcf3</t>
  </si>
  <si>
    <t>66b0ce95b36e3e181e9e7de4</t>
  </si>
  <si>
    <t>66b35a4cb36e3e181ea09a09</t>
  </si>
  <si>
    <t>66b4a76bb36e3e181ea1b185</t>
  </si>
  <si>
    <t>66b5e926b36e3e181ea2c85a</t>
  </si>
  <si>
    <t>66b9b653b36e3e181ea524a4</t>
  </si>
  <si>
    <t>66b30837b36e3e181e9fec0a</t>
  </si>
  <si>
    <t>66b09721b36e3e181e9e045b</t>
  </si>
  <si>
    <t>66c08401b36e3e181eaaa067</t>
  </si>
  <si>
    <t>663882afb36e3e2de19f1a15</t>
  </si>
  <si>
    <t>66c48653b36e3e181ead3508</t>
  </si>
  <si>
    <t>66c9c324b36e3e181eb23b17</t>
  </si>
  <si>
    <t>66c73941b36e3e181eb00f1f</t>
  </si>
  <si>
    <t>66c35873b36e3e181eac1732</t>
  </si>
  <si>
    <t>66c08317b36e3e181eaa9eda</t>
  </si>
  <si>
    <t>66c2dccab36e3e181eab933a</t>
  </si>
  <si>
    <t>66cdc674b36e3e181eb571d5</t>
  </si>
  <si>
    <t>66ceda77b36e3e181eb64667</t>
  </si>
  <si>
    <t>66cc4fc7b36e3e181eb3bea2</t>
  </si>
  <si>
    <t>66c306d4b36e3e181eabcb1e</t>
  </si>
  <si>
    <t>66d17a12b36e3e181eb8b3ef</t>
  </si>
  <si>
    <t>66cc5107b36e3e181eb3c101</t>
  </si>
  <si>
    <t>66c7202cb36e3e181eafb976</t>
  </si>
  <si>
    <t>66d072c6b36e3e181eb80ed6</t>
  </si>
  <si>
    <t>Missed Call</t>
  </si>
  <si>
    <t>66d1da7ab36e3e181eb96fbe</t>
  </si>
  <si>
    <t>66c333c8b36e3e181eac01b5</t>
  </si>
  <si>
    <t>66c83507b36e3e181eb09afb</t>
  </si>
  <si>
    <t>66d2f67eb36e3e181ebaacee</t>
  </si>
  <si>
    <t>66cade69b36e3e181eb2bcf2</t>
  </si>
  <si>
    <t>66c59d76b36e3e181eae02f8</t>
  </si>
  <si>
    <t>66b4a287b36e3e181ea1a9b4</t>
  </si>
  <si>
    <t>66bb3867b36e3e181ea6b5fc</t>
  </si>
  <si>
    <t>66cc49ccb36e3e181eb3b322</t>
  </si>
  <si>
    <t>66ae5f2fb36e3e181e9ced77</t>
  </si>
  <si>
    <t>668d1e34b36e3e2de1e0fced</t>
  </si>
  <si>
    <t>66d328f0b36e3e181ebb16de</t>
  </si>
  <si>
    <t>66c46534b36e3e181eacde42</t>
  </si>
  <si>
    <t>6665a4b9b36e3e2de1c124d5</t>
  </si>
  <si>
    <t>66bed09ab36e3e181ea8a813</t>
  </si>
  <si>
    <t>66d96556b36e3e181ebef5f9</t>
  </si>
  <si>
    <t>66e175adb36e3e181ec57018</t>
  </si>
  <si>
    <t>66e020a5b36e3e181ec40737</t>
  </si>
  <si>
    <t>66d9a7d1b36e3e181ebf669f</t>
  </si>
  <si>
    <t>66bc63fbb36e3e181ea7976a</t>
  </si>
  <si>
    <t>66eeb3d7b36e3e1aad3a2c82</t>
  </si>
  <si>
    <t>66ebf36fb36e3e181ece44d4</t>
  </si>
  <si>
    <t>66bca150b36e3e181ea809f7</t>
  </si>
  <si>
    <t>66ebd06ab36e3e181ece02ce</t>
  </si>
  <si>
    <t>66c0cc14b36e3e181eaaeb4c</t>
  </si>
  <si>
    <t>66f27356b36e3e1aad3d2a3c</t>
  </si>
  <si>
    <t>66d97d09b36e3e181ebf17dc</t>
  </si>
  <si>
    <t>66dc5aceb36e3e181ec16f5c</t>
  </si>
  <si>
    <t>66de9464b36e3e181ec24277</t>
  </si>
  <si>
    <t>663b8342b36e3e2de1a1a6e2</t>
  </si>
  <si>
    <t>66ed4558b36e3e1aad38afcb</t>
  </si>
  <si>
    <t>66ecf231b36e3e1aad3802d0</t>
  </si>
  <si>
    <t>667414b4b36e3e2de1ccd4ad</t>
  </si>
  <si>
    <t>66f92995b36e3e1aad44e7f1</t>
  </si>
  <si>
    <t>66e15f18b36e3e181ec534a7</t>
  </si>
  <si>
    <t>66ea5313b36e3e181ecc53a0</t>
  </si>
  <si>
    <t>66f580bdb36e3e1aad415fa4</t>
  </si>
  <si>
    <t>66ed3fb1b36e3e1aad38a30f</t>
  </si>
  <si>
    <t>66ea5685b36e3e181ecc590c</t>
  </si>
  <si>
    <t>66d5c231b36e3e181ebca5ff</t>
  </si>
  <si>
    <t>66fabe02b36e3e1aad474e2c</t>
  </si>
  <si>
    <t>66fa36b4b36e3e1aad457d8f</t>
  </si>
  <si>
    <t>66fac3ecb36e3e1aad475337</t>
  </si>
  <si>
    <t>66facbaab36e3e1aad475b20</t>
  </si>
  <si>
    <t>66facf0fb36e3e1aad475da2</t>
  </si>
  <si>
    <t>66fad699b36e3e1aad47618d</t>
  </si>
  <si>
    <t>66f27c84b36e3e1aad3d42fd</t>
  </si>
  <si>
    <t>6700c34db36e3e1aad4b9dc0</t>
  </si>
  <si>
    <t>671624b1b36e3e1aad5f1fbe</t>
  </si>
  <si>
    <t>670ca4cab36e3e1aad554f32</t>
  </si>
  <si>
    <t>671619bbb36e3e1aad5f0706</t>
  </si>
  <si>
    <t>66f7f7a6b36e3e1aad443d54</t>
  </si>
  <si>
    <t>66e15dcfb36e3e181ec52f87</t>
  </si>
  <si>
    <t>66e27636b36e3e181ec5f747</t>
  </si>
  <si>
    <t>670cad51b36e3e1aad556729</t>
  </si>
  <si>
    <t>671f4125b36e3e0aa1d233d5</t>
  </si>
  <si>
    <t>6720ab2ab36e3e0aa1d3623d</t>
  </si>
  <si>
    <t>6720abf4b36e3e0aa1d363c3</t>
  </si>
  <si>
    <t>67069b1fb36e3e1aad518207</t>
  </si>
  <si>
    <t>67174043b36e3e3514c79a6e</t>
  </si>
  <si>
    <t>66fbdb51b36e3e1aad483c5d</t>
  </si>
  <si>
    <t>6721f457b36e3e0aa1d44af9</t>
  </si>
  <si>
    <t>6720bf0eb36e3e0aa1d37fbe</t>
  </si>
  <si>
    <t>67038f26b36e3e1aad4df352</t>
  </si>
  <si>
    <t>66ecf83ab36e3e1aad3809c0</t>
  </si>
  <si>
    <t>672364ecb36e3e0aa1d59b42</t>
  </si>
  <si>
    <t>67236e0cb36e3e0aa1d5a493</t>
  </si>
  <si>
    <t>671386fab36e3e1aad5d1f6e</t>
  </si>
  <si>
    <t>6723938ab36e3e0aa1d5bad5</t>
  </si>
  <si>
    <t>6723aab3b36e3e0aa1d5bf68</t>
  </si>
  <si>
    <t>6723ace1b36e3e0aa1d5c023</t>
  </si>
  <si>
    <t>6723a76fb36e3e0aa1d5bea4</t>
  </si>
  <si>
    <t>671682efb36e3e1aad5fc2e9</t>
  </si>
  <si>
    <t>67238146b36e3e0aa1d5b232</t>
  </si>
  <si>
    <t>6719d079b36e3e0aa1cd5501</t>
  </si>
  <si>
    <t>67286267b36e3e0aa1d6f4be</t>
  </si>
  <si>
    <t>6724bde3b36e3e0aa1d60b5d</t>
  </si>
  <si>
    <t>66c9d723b36e3e181eb26c33</t>
  </si>
  <si>
    <t>6728701eb36e3e0aa1d70f67</t>
  </si>
  <si>
    <t>672b0357b36e3e0aa1d90bff</t>
  </si>
  <si>
    <t>671cc985b36e3e0aa1d0bb0e</t>
  </si>
  <si>
    <t>671f36feb36e3e0aa1d21dab</t>
  </si>
  <si>
    <t>6728b485b36e3e0aa1d7998d</t>
  </si>
  <si>
    <t>674006c4b36e3e0aa1eb7f15</t>
  </si>
  <si>
    <t>6741964db36e3e0aa1ed513d</t>
  </si>
  <si>
    <t>67160069b36e3e1aad5ece31</t>
  </si>
  <si>
    <t>673209ecb36e3e0aa1df5951</t>
  </si>
  <si>
    <t>67347524b36e3e0aa1e179d0</t>
  </si>
  <si>
    <t>6746ef5bb36e3e0aa1f1c7a6</t>
  </si>
  <si>
    <t>67416759b36e3e0aa1ece83b</t>
  </si>
  <si>
    <t>6746fce9b36e3e0aa1f1e8fe</t>
  </si>
  <si>
    <t>673432beb36e3e0aa1e0e3c9</t>
  </si>
  <si>
    <t>67484d70b36e3e0aa1f35225</t>
  </si>
  <si>
    <t>67415927b36e3e0aa1eccfce</t>
  </si>
  <si>
    <t>6745457cb36e3e0aa1efe1f4</t>
  </si>
  <si>
    <t>673ec5eab36e3e0aa1ea6c25</t>
  </si>
  <si>
    <t>667e8478b36e3e2de1d5a131</t>
  </si>
  <si>
    <t>67052036b36e3e1aad4ff8d9</t>
  </si>
  <si>
    <t>674aee6fb36e3e0aa1f64fd8</t>
  </si>
  <si>
    <t>674aff2db36e3e0aa1f67e43</t>
  </si>
  <si>
    <t>674af890b36e3e0aa1f66b72</t>
  </si>
  <si>
    <t>674b225bb36e3e0aa1f6c847</t>
  </si>
  <si>
    <t>6718ca81b36e3e0aa1ccafbb</t>
  </si>
  <si>
    <t>67454786b36e3e0aa1efe374</t>
  </si>
  <si>
    <t>6756c99fb36e3e0aa100cef9</t>
  </si>
  <si>
    <t>674ee4efb36e3e0aa1f981ce</t>
  </si>
  <si>
    <t>66274c34b36e3e69831fcbf6</t>
  </si>
  <si>
    <t>675be2c7b36e3e56d79f0f3e</t>
  </si>
  <si>
    <t>6732da31b36e3e0aa1df84aa</t>
  </si>
  <si>
    <t>675808eab36e3e0aa1024c40</t>
  </si>
  <si>
    <t>67442c4db36e3e0aa1ef0409</t>
  </si>
  <si>
    <t>674db868b36e3e0aa1f89175</t>
  </si>
  <si>
    <t>67359cbfb36e3e0aa1e28053</t>
  </si>
  <si>
    <t>6757dba7b36e3e0aa101d61b</t>
  </si>
  <si>
    <t>New Amaze 3G</t>
  </si>
  <si>
    <t>6752eb13b36e3e0aa1fd6566</t>
  </si>
  <si>
    <t>6762bdbdb36e3e56d7a773fa</t>
  </si>
  <si>
    <t>676018d4b36e3e56d7a391f7</t>
  </si>
  <si>
    <t>6763ad2fb36e3e56d7a801ad</t>
  </si>
  <si>
    <t>6760f4e0b36e3e56d7a3f6b5</t>
  </si>
  <si>
    <t>67459c88b36e3e0aa1f09496</t>
  </si>
  <si>
    <t>675a60adb36e3e0aa104e6da</t>
  </si>
  <si>
    <t>6766818eb36e3e74a11829fb</t>
  </si>
  <si>
    <t>6751adaeb36e3e0aa1fc23e7</t>
  </si>
  <si>
    <t>676d0577b36e3e74a11f2cc0</t>
  </si>
  <si>
    <t>676f833bb36e3e74a1226740</t>
  </si>
  <si>
    <t>676015a3b36e3e56d7a386d7</t>
  </si>
  <si>
    <t>676d78d5b36e3e74a1203138</t>
  </si>
  <si>
    <t>676fe13ab36e3e74a1236c0d</t>
  </si>
  <si>
    <t>6707d36db36e3e1aad52c15c</t>
  </si>
  <si>
    <t>67628521b36e3e56d7a6cc6b</t>
  </si>
  <si>
    <t>677401f8b36e3e74a126d31f</t>
  </si>
  <si>
    <t>670cabd8b36e3e1aad55634e</t>
  </si>
  <si>
    <t>676e3fb9b36e3e74a120b75c</t>
  </si>
  <si>
    <t>676e6ecbb36e3e74a1214e58</t>
  </si>
  <si>
    <t>677fb3d4b36e3e74a1301363</t>
  </si>
  <si>
    <t>677f88d8b36e3e74a12fb241</t>
  </si>
  <si>
    <t>676ea2a5b36e3e74a121e9c8</t>
  </si>
  <si>
    <t>675bba4cb36e3e56d79ea011</t>
  </si>
  <si>
    <t>6754148db36e3e0aa1fe6e3d</t>
  </si>
  <si>
    <t>6780a960b36e3e74a130a895</t>
  </si>
  <si>
    <t>676ffaf8b36e3e74a123a5c2</t>
  </si>
  <si>
    <t>678dccb4b36e3e74a13cecb5</t>
  </si>
  <si>
    <t>677d0b3eb36e3e74a12d9349</t>
  </si>
  <si>
    <t>67511726b36e3e0aa1faedfb</t>
  </si>
  <si>
    <t>67906fbdb36e3e74a140c0bf</t>
  </si>
  <si>
    <t>6787311ab36e3e74a136b87e</t>
  </si>
  <si>
    <t>6731846cb36e3e0aa1de1ac2</t>
  </si>
  <si>
    <t>677f5343b36e3e74a12f40a3</t>
  </si>
  <si>
    <t>675a5ef3b36e3e0aa104e4e6</t>
  </si>
  <si>
    <t>67a44d31b36e3e74a1549759</t>
  </si>
  <si>
    <t>679079fcb36e3e74a140d128</t>
  </si>
  <si>
    <t>677d3042b36e3e74a12ddc2a</t>
  </si>
  <si>
    <t>67612c7db36e3e56d7a4cefa</t>
  </si>
  <si>
    <t>679473eab36e3e74a1450645</t>
  </si>
  <si>
    <t>67a60273b36e3e74a156ce99</t>
  </si>
  <si>
    <t>679a1a1bb36e3e74a14b5e62</t>
  </si>
  <si>
    <t>67a6d42ab36e3e74a156f827</t>
  </si>
  <si>
    <t>67a57ea0b36e3e74a155b248</t>
  </si>
  <si>
    <t>6756d08ab36e3e0aa100df96</t>
  </si>
  <si>
    <t>678b8a58b36e3e74a13bbbef</t>
  </si>
  <si>
    <t>67b40ee4b36e3e0de96b2067</t>
  </si>
  <si>
    <t>67a06817b36e3e74a150e5d6</t>
  </si>
  <si>
    <t>679cb8e2b36e3e74a14ea21a</t>
  </si>
  <si>
    <t>679b7258b36e3e74a14cfd9d</t>
  </si>
  <si>
    <t>676f9b8bb36e3e74a122ab4a</t>
  </si>
  <si>
    <t>6785e9b3b36e3e74a135b58b</t>
  </si>
  <si>
    <t>6672ba67b36e3e2de1cb7ad9</t>
  </si>
  <si>
    <t>67bae52bb36e3e0de971042d</t>
  </si>
  <si>
    <t>67bd47bcb36e3e0de972ca56</t>
  </si>
  <si>
    <t>67b2cfb4b36e3e0de969f39e</t>
  </si>
  <si>
    <t>67bc2605b36e3e0de971ec2b</t>
  </si>
  <si>
    <t>67c1e7d3b36e3e0de978a5fe</t>
  </si>
  <si>
    <t>67bdbd89b36e3e0de973c5b2</t>
  </si>
  <si>
    <t>67b04872b36e3e0de96884d6</t>
  </si>
  <si>
    <t>67c6e7e5b36e3e7a646ca4ee</t>
  </si>
  <si>
    <t>678e1418b36e3e74a13ddde2</t>
  </si>
  <si>
    <t>67c4243cb36e3e7a646a8d52</t>
  </si>
  <si>
    <t>67d00bb1b36e3e2c25f34d8a</t>
  </si>
  <si>
    <t>67cd1d7cb36e3e2c25f0fbf8</t>
  </si>
  <si>
    <t>67b5b66bb36e3e0de96cfb68</t>
  </si>
  <si>
    <t>67d17f50b36e3e2c25f49159</t>
  </si>
  <si>
    <t>67d4205fb36e3e2c25f5df4c</t>
  </si>
  <si>
    <t>67bd808eb36e3e0de9734e24</t>
  </si>
  <si>
    <t>67c597e9b36e3e7a646ba28e</t>
  </si>
  <si>
    <t>67c5bffbb36e3e7a646bcfc8</t>
  </si>
  <si>
    <t>67b5826db36e3e0de96c9b17</t>
  </si>
  <si>
    <t>67d25676b36e3e2c25f4b989</t>
  </si>
  <si>
    <t>67dd4acfb36e3e7cdfd718dc</t>
  </si>
  <si>
    <t>67c98924b36e3e7a646ee179</t>
  </si>
  <si>
    <t>67e1b78eb36e3e7cdfda067e</t>
  </si>
  <si>
    <t>67d93a04b36e3e2c25f8effe</t>
  </si>
  <si>
    <t>67e141c8b36e3e7cdfd9bc32</t>
  </si>
  <si>
    <t>67c94204b36e3e7a646e3941</t>
  </si>
  <si>
    <t>67da6b1ab36e3e2c25fa0d65</t>
  </si>
  <si>
    <t>67cd29b0b36e3e2c25f103d2</t>
  </si>
  <si>
    <t>67bda57cb36e3e0de973967d</t>
  </si>
  <si>
    <t>91Wheels</t>
  </si>
  <si>
    <t>6798c212b36e3e74a149b5c8</t>
  </si>
  <si>
    <t>Assumed Avg Ex-Showroom Price (INR)</t>
  </si>
  <si>
    <t>Sub-4m Sedan</t>
  </si>
  <si>
    <t>Petrol</t>
  </si>
  <si>
    <t>Diesel</t>
  </si>
  <si>
    <t>Mid-size Sedan</t>
  </si>
  <si>
    <t>Hybrid</t>
  </si>
  <si>
    <t>Compact SUV</t>
  </si>
  <si>
    <t>Hatchback</t>
  </si>
  <si>
    <t>NOTE: Prices are illustrative averages built from public ex-showroom listings (CarWale/Autocar/CarLelo, 2022-2025 range). Replace with actual dealer invoice values if available for full accuracy.</t>
  </si>
  <si>
    <t>Assumed CAC per Lead (INR) [EDIT ME]</t>
  </si>
  <si>
    <t>Digital - Owned</t>
  </si>
  <si>
    <t>Referral</t>
  </si>
  <si>
    <t>Traditional Advertising</t>
  </si>
  <si>
    <t>Outbound/Database</t>
  </si>
  <si>
    <t>Referral (Insurance/Banking Partner)</t>
  </si>
  <si>
    <t>Digital - Organic</t>
  </si>
  <si>
    <t>Referral (Happy Customer)</t>
  </si>
  <si>
    <t>Digital - Paid Social</t>
  </si>
  <si>
    <t>Digital - Aggregator (Paid)</t>
  </si>
  <si>
    <t>Existing Customer</t>
  </si>
  <si>
    <t>Event/Offline</t>
  </si>
  <si>
    <t>Referral (Partner/Agent)</t>
  </si>
  <si>
    <t>Digital - Marketing Automation</t>
  </si>
  <si>
    <t>Digital - Paid Search</t>
  </si>
  <si>
    <t>NOTE: CAC values are placeholder assumptions for a what-if ROI simulation. Replace column C with real marketing spend / lead volume by channel from dealership records for an accurate ROI model.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</si>
</sst>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"/>
    <numFmt numFmtId="165" formatCode="yyyy\-mm\-dd\ h:mm:ss"/>
  </numFmts>
  <fonts count="4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  <font>
      <b/>
      <sz val="11"/>
      <name val="Cambria"/>
      <charset val="1"/>
    </font>
    <font>
      <i/>
      <sz val="11"/>
      <color rgb="FF808080"/>
      <name val="Cambria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08"/>
  <sheetViews>
    <sheetView zoomScaleNormal="100" workbookViewId="0"/>
  </sheetViews>
  <sheetFormatPr defaultColWidth="8.6640625" defaultRowHeight="14.4" x14ac:dyDescent="0.3"/>
  <cols>
    <col min="1" max="1" width="8" customWidth="1"/>
    <col min="2" max="2" width="18" customWidth="1"/>
    <col min="3" max="3" width="10" customWidth="1"/>
    <col min="4" max="4" width="14" customWidth="1"/>
    <col min="5" max="5" width="8" customWidth="1"/>
    <col min="6" max="6" width="10" customWidth="1"/>
    <col min="7" max="7" width="8" customWidth="1"/>
    <col min="8" max="8" width="10" customWidth="1"/>
    <col min="9" max="9" width="16" customWidth="1"/>
    <col min="10" max="10" width="28" customWidth="1"/>
    <col min="11" max="11" width="26" customWidth="1"/>
    <col min="12" max="12" width="18" customWidth="1"/>
    <col min="13" max="13" width="14" customWidth="1"/>
    <col min="14" max="14" width="10" customWidth="1"/>
    <col min="15" max="16" width="16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f>Raw_Data!A2</f>
        <v>1</v>
      </c>
      <c r="B2" s="2">
        <f>Raw_Data!B2</f>
        <v>44566.576828703699</v>
      </c>
      <c r="C2">
        <f>YEAR(Raw_Data!B2)</f>
        <v>2022</v>
      </c>
      <c r="D2" t="str">
        <f>IF(MONTH(Raw_Data!B2)&gt;=4,YEAR(Raw_Data!B2)&amp;"-"&amp;RIGHT(YEAR(Raw_Data!B2)+1,2),YEAR(Raw_Data!B2)-1&amp;"-"&amp;RIGHT(YEAR(Raw_Data!B2),2))</f>
        <v>2021-22</v>
      </c>
      <c r="E2" t="str">
        <f>"Q"&amp;ROUNDUP(MONTH(Raw_Data!B2)/3,0)</f>
        <v>Q1</v>
      </c>
      <c r="F2" t="str">
        <f>TEXT(Raw_Data!B2,"mmm")</f>
        <v>Jan</v>
      </c>
      <c r="G2" t="str">
        <f>TEXT(Raw_Data!B2,"ddd")</f>
        <v>Wed</v>
      </c>
      <c r="H2" t="str">
        <f>Raw_Data!D2</f>
        <v>Invoiced</v>
      </c>
      <c r="I2" t="str">
        <f>Raw_Data!F2</f>
        <v>Tele-in</v>
      </c>
      <c r="J2" t="str">
        <f>Raw_Data!G2</f>
        <v>Dealer Webpage Tele-In</v>
      </c>
      <c r="K2" t="str">
        <f>IFERROR(VLOOKUP(J2,Source_Assumptions!$A:$C,2,0),"Unmapped")</f>
        <v>Digital - Owned</v>
      </c>
      <c r="L2" t="str">
        <f>Raw_Data!H2</f>
        <v>JAZZ PE</v>
      </c>
      <c r="M2" t="str">
        <f>IFERROR(VLOOKUP(L2,Model_Assumptions!$A:$D,2,0),"Unmapped")</f>
        <v>Hatchback</v>
      </c>
      <c r="N2" t="str">
        <f>IFERROR(VLOOKUP(L2,Model_Assumptions!$A:$D,3,0),"Unmapped")</f>
        <v>Petrol</v>
      </c>
      <c r="O2">
        <f>IFERROR(VLOOKUP(L2,Model_Assumptions!$A:$D,4,0),0)</f>
        <v>800000</v>
      </c>
      <c r="P2">
        <f>IFERROR(VLOOKUP(J2,Source_Assumptions!$A:$C,3,0),0)</f>
        <v>300</v>
      </c>
    </row>
    <row r="3" spans="1:16" x14ac:dyDescent="0.3">
      <c r="A3">
        <f>Raw_Data!A3</f>
        <v>2</v>
      </c>
      <c r="B3" s="2">
        <f>Raw_Data!B3</f>
        <v>44572.411226851902</v>
      </c>
      <c r="C3">
        <f>YEAR(Raw_Data!B3)</f>
        <v>2022</v>
      </c>
      <c r="D3" t="str">
        <f>IF(MONTH(Raw_Data!B3)&gt;=4,YEAR(Raw_Data!B3)&amp;"-"&amp;RIGHT(YEAR(Raw_Data!B3)+1,2),YEAR(Raw_Data!B3)-1&amp;"-"&amp;RIGHT(YEAR(Raw_Data!B3),2))</f>
        <v>2021-22</v>
      </c>
      <c r="E3" t="str">
        <f>"Q"&amp;ROUNDUP(MONTH(Raw_Data!B3)/3,0)</f>
        <v>Q1</v>
      </c>
      <c r="F3" t="str">
        <f>TEXT(Raw_Data!B3,"mmm")</f>
        <v>Jan</v>
      </c>
      <c r="G3" t="str">
        <f>TEXT(Raw_Data!B3,"ddd")</f>
        <v>Tue</v>
      </c>
      <c r="H3" t="str">
        <f>Raw_Data!D3</f>
        <v>Invoiced</v>
      </c>
      <c r="I3" t="str">
        <f>Raw_Data!F3</f>
        <v>SMS/ Tele-Out</v>
      </c>
      <c r="J3" t="str">
        <f>Raw_Data!G3</f>
        <v>Database Activity(Teleout/SMS)</v>
      </c>
      <c r="K3" t="str">
        <f>IFERROR(VLOOKUP(J3,Source_Assumptions!$A:$C,2,0),"Unmapped")</f>
        <v>Outbound/Database</v>
      </c>
      <c r="L3" t="str">
        <f>Raw_Data!H3</f>
        <v>5TH GEN CITY PE</v>
      </c>
      <c r="M3" t="str">
        <f>IFERROR(VLOOKUP(L3,Model_Assumptions!$A:$D,2,0),"Unmapped")</f>
        <v>Mid-size Sedan</v>
      </c>
      <c r="N3" t="str">
        <f>IFERROR(VLOOKUP(L3,Model_Assumptions!$A:$D,3,0),"Unmapped")</f>
        <v>Petrol</v>
      </c>
      <c r="O3">
        <f>IFERROR(VLOOKUP(L3,Model_Assumptions!$A:$D,4,0),0)</f>
        <v>1250000</v>
      </c>
      <c r="P3">
        <f>IFERROR(VLOOKUP(J3,Source_Assumptions!$A:$C,3,0),0)</f>
        <v>250</v>
      </c>
    </row>
    <row r="4" spans="1:16" x14ac:dyDescent="0.3">
      <c r="A4">
        <f>Raw_Data!A4</f>
        <v>3</v>
      </c>
      <c r="B4" s="2">
        <f>Raw_Data!B4</f>
        <v>44575.495625000003</v>
      </c>
      <c r="C4">
        <f>YEAR(Raw_Data!B4)</f>
        <v>2022</v>
      </c>
      <c r="D4" t="str">
        <f>IF(MONTH(Raw_Data!B4)&gt;=4,YEAR(Raw_Data!B4)&amp;"-"&amp;RIGHT(YEAR(Raw_Data!B4)+1,2),YEAR(Raw_Data!B4)-1&amp;"-"&amp;RIGHT(YEAR(Raw_Data!B4),2))</f>
        <v>2021-22</v>
      </c>
      <c r="E4" t="str">
        <f>"Q"&amp;ROUNDUP(MONTH(Raw_Data!B4)/3,0)</f>
        <v>Q1</v>
      </c>
      <c r="F4" t="str">
        <f>TEXT(Raw_Data!B4,"mmm")</f>
        <v>Jan</v>
      </c>
      <c r="G4" t="str">
        <f>TEXT(Raw_Data!B4,"ddd")</f>
        <v>Fri</v>
      </c>
      <c r="H4" t="str">
        <f>Raw_Data!D4</f>
        <v>Invoiced</v>
      </c>
      <c r="I4" t="str">
        <f>Raw_Data!F4</f>
        <v>Tele-in</v>
      </c>
      <c r="J4" t="str">
        <f>Raw_Data!G4</f>
        <v>Referral-CAM</v>
      </c>
      <c r="K4" t="str">
        <f>IFERROR(VLOOKUP(J4,Source_Assumptions!$A:$C,2,0),"Unmapped")</f>
        <v>Referral</v>
      </c>
      <c r="L4" t="str">
        <f>Raw_Data!H4</f>
        <v>AMAZE Petrol</v>
      </c>
      <c r="M4" t="str">
        <f>IFERROR(VLOOKUP(L4,Model_Assumptions!$A:$D,2,0),"Unmapped")</f>
        <v>Sub-4m Sedan</v>
      </c>
      <c r="N4" t="str">
        <f>IFERROR(VLOOKUP(L4,Model_Assumptions!$A:$D,3,0),"Unmapped")</f>
        <v>Petrol</v>
      </c>
      <c r="O4">
        <f>IFERROR(VLOOKUP(L4,Model_Assumptions!$A:$D,4,0),0)</f>
        <v>850000</v>
      </c>
      <c r="P4">
        <f>IFERROR(VLOOKUP(J4,Source_Assumptions!$A:$C,3,0),0)</f>
        <v>150</v>
      </c>
    </row>
    <row r="5" spans="1:16" x14ac:dyDescent="0.3">
      <c r="A5">
        <f>Raw_Data!A5</f>
        <v>4</v>
      </c>
      <c r="B5" s="2">
        <f>Raw_Data!B5</f>
        <v>44576.494791666701</v>
      </c>
      <c r="C5">
        <f>YEAR(Raw_Data!B5)</f>
        <v>2022</v>
      </c>
      <c r="D5" t="str">
        <f>IF(MONTH(Raw_Data!B5)&gt;=4,YEAR(Raw_Data!B5)&amp;"-"&amp;RIGHT(YEAR(Raw_Data!B5)+1,2),YEAR(Raw_Data!B5)-1&amp;"-"&amp;RIGHT(YEAR(Raw_Data!B5),2))</f>
        <v>2021-22</v>
      </c>
      <c r="E5" t="str">
        <f>"Q"&amp;ROUNDUP(MONTH(Raw_Data!B5)/3,0)</f>
        <v>Q1</v>
      </c>
      <c r="F5" t="str">
        <f>TEXT(Raw_Data!B5,"mmm")</f>
        <v>Jan</v>
      </c>
      <c r="G5" t="str">
        <f>TEXT(Raw_Data!B5,"ddd")</f>
        <v>Sat</v>
      </c>
      <c r="H5" t="str">
        <f>Raw_Data!D5</f>
        <v>Invoiced</v>
      </c>
      <c r="I5" t="str">
        <f>Raw_Data!F5</f>
        <v>Walk-in Showroom</v>
      </c>
      <c r="J5" t="str">
        <f>Raw_Data!G5</f>
        <v>Adver. (TVC/Print/Hoarding/FM)</v>
      </c>
      <c r="K5" t="str">
        <f>IFERROR(VLOOKUP(J5,Source_Assumptions!$A:$C,2,0),"Unmapped")</f>
        <v>Traditional Advertising</v>
      </c>
      <c r="L5" t="str">
        <f>Raw_Data!H5</f>
        <v>AMAZE Petrol</v>
      </c>
      <c r="M5" t="str">
        <f>IFERROR(VLOOKUP(L5,Model_Assumptions!$A:$D,2,0),"Unmapped")</f>
        <v>Sub-4m Sedan</v>
      </c>
      <c r="N5" t="str">
        <f>IFERROR(VLOOKUP(L5,Model_Assumptions!$A:$D,3,0),"Unmapped")</f>
        <v>Petrol</v>
      </c>
      <c r="O5">
        <f>IFERROR(VLOOKUP(L5,Model_Assumptions!$A:$D,4,0),0)</f>
        <v>850000</v>
      </c>
      <c r="P5">
        <f>IFERROR(VLOOKUP(J5,Source_Assumptions!$A:$C,3,0),0)</f>
        <v>1200</v>
      </c>
    </row>
    <row r="6" spans="1:16" x14ac:dyDescent="0.3">
      <c r="A6">
        <f>Raw_Data!A6</f>
        <v>5</v>
      </c>
      <c r="B6" s="2">
        <f>Raw_Data!B6</f>
        <v>44576.5773611111</v>
      </c>
      <c r="C6">
        <f>YEAR(Raw_Data!B6)</f>
        <v>2022</v>
      </c>
      <c r="D6" t="str">
        <f>IF(MONTH(Raw_Data!B6)&gt;=4,YEAR(Raw_Data!B6)&amp;"-"&amp;RIGHT(YEAR(Raw_Data!B6)+1,2),YEAR(Raw_Data!B6)-1&amp;"-"&amp;RIGHT(YEAR(Raw_Data!B6),2))</f>
        <v>2021-22</v>
      </c>
      <c r="E6" t="str">
        <f>"Q"&amp;ROUNDUP(MONTH(Raw_Data!B6)/3,0)</f>
        <v>Q1</v>
      </c>
      <c r="F6" t="str">
        <f>TEXT(Raw_Data!B6,"mmm")</f>
        <v>Jan</v>
      </c>
      <c r="G6" t="str">
        <f>TEXT(Raw_Data!B6,"ddd")</f>
        <v>Sat</v>
      </c>
      <c r="H6" t="str">
        <f>Raw_Data!D6</f>
        <v>Invoiced</v>
      </c>
      <c r="I6" t="str">
        <f>Raw_Data!F6</f>
        <v>Walk-in Showroom</v>
      </c>
      <c r="J6" t="str">
        <f>Raw_Data!G6</f>
        <v>Adver. (TVC/Print/Hoarding/FM)</v>
      </c>
      <c r="K6" t="str">
        <f>IFERROR(VLOOKUP(J6,Source_Assumptions!$A:$C,2,0),"Unmapped")</f>
        <v>Traditional Advertising</v>
      </c>
      <c r="L6" t="str">
        <f>Raw_Data!H6</f>
        <v>AMAZE Petrol</v>
      </c>
      <c r="M6" t="str">
        <f>IFERROR(VLOOKUP(L6,Model_Assumptions!$A:$D,2,0),"Unmapped")</f>
        <v>Sub-4m Sedan</v>
      </c>
      <c r="N6" t="str">
        <f>IFERROR(VLOOKUP(L6,Model_Assumptions!$A:$D,3,0),"Unmapped")</f>
        <v>Petrol</v>
      </c>
      <c r="O6">
        <f>IFERROR(VLOOKUP(L6,Model_Assumptions!$A:$D,4,0),0)</f>
        <v>850000</v>
      </c>
      <c r="P6">
        <f>IFERROR(VLOOKUP(J6,Source_Assumptions!$A:$C,3,0),0)</f>
        <v>1200</v>
      </c>
    </row>
    <row r="7" spans="1:16" x14ac:dyDescent="0.3">
      <c r="A7">
        <f>Raw_Data!A7</f>
        <v>6</v>
      </c>
      <c r="B7" s="2">
        <f>Raw_Data!B7</f>
        <v>44576.652233796303</v>
      </c>
      <c r="C7">
        <f>YEAR(Raw_Data!B7)</f>
        <v>2022</v>
      </c>
      <c r="D7" t="str">
        <f>IF(MONTH(Raw_Data!B7)&gt;=4,YEAR(Raw_Data!B7)&amp;"-"&amp;RIGHT(YEAR(Raw_Data!B7)+1,2),YEAR(Raw_Data!B7)-1&amp;"-"&amp;RIGHT(YEAR(Raw_Data!B7),2))</f>
        <v>2021-22</v>
      </c>
      <c r="E7" t="str">
        <f>"Q"&amp;ROUNDUP(MONTH(Raw_Data!B7)/3,0)</f>
        <v>Q1</v>
      </c>
      <c r="F7" t="str">
        <f>TEXT(Raw_Data!B7,"mmm")</f>
        <v>Jan</v>
      </c>
      <c r="G7" t="str">
        <f>TEXT(Raw_Data!B7,"ddd")</f>
        <v>Sat</v>
      </c>
      <c r="H7" t="str">
        <f>Raw_Data!D7</f>
        <v>Invoiced</v>
      </c>
      <c r="I7" t="str">
        <f>Raw_Data!F7</f>
        <v>Walk-in Showroom</v>
      </c>
      <c r="J7" t="str">
        <f>Raw_Data!G7</f>
        <v>Adver. (TVC/Print/Hoarding/FM)</v>
      </c>
      <c r="K7" t="str">
        <f>IFERROR(VLOOKUP(J7,Source_Assumptions!$A:$C,2,0),"Unmapped")</f>
        <v>Traditional Advertising</v>
      </c>
      <c r="L7" t="str">
        <f>Raw_Data!H7</f>
        <v>5TH GEN CITY PE</v>
      </c>
      <c r="M7" t="str">
        <f>IFERROR(VLOOKUP(L7,Model_Assumptions!$A:$D,2,0),"Unmapped")</f>
        <v>Mid-size Sedan</v>
      </c>
      <c r="N7" t="str">
        <f>IFERROR(VLOOKUP(L7,Model_Assumptions!$A:$D,3,0),"Unmapped")</f>
        <v>Petrol</v>
      </c>
      <c r="O7">
        <f>IFERROR(VLOOKUP(L7,Model_Assumptions!$A:$D,4,0),0)</f>
        <v>1250000</v>
      </c>
      <c r="P7">
        <f>IFERROR(VLOOKUP(J7,Source_Assumptions!$A:$C,3,0),0)</f>
        <v>1200</v>
      </c>
    </row>
    <row r="8" spans="1:16" x14ac:dyDescent="0.3">
      <c r="A8">
        <f>Raw_Data!A8</f>
        <v>7</v>
      </c>
      <c r="B8" s="2">
        <f>Raw_Data!B8</f>
        <v>44576.6631597222</v>
      </c>
      <c r="C8">
        <f>YEAR(Raw_Data!B8)</f>
        <v>2022</v>
      </c>
      <c r="D8" t="str">
        <f>IF(MONTH(Raw_Data!B8)&gt;=4,YEAR(Raw_Data!B8)&amp;"-"&amp;RIGHT(YEAR(Raw_Data!B8)+1,2),YEAR(Raw_Data!B8)-1&amp;"-"&amp;RIGHT(YEAR(Raw_Data!B8),2))</f>
        <v>2021-22</v>
      </c>
      <c r="E8" t="str">
        <f>"Q"&amp;ROUNDUP(MONTH(Raw_Data!B8)/3,0)</f>
        <v>Q1</v>
      </c>
      <c r="F8" t="str">
        <f>TEXT(Raw_Data!B8,"mmm")</f>
        <v>Jan</v>
      </c>
      <c r="G8" t="str">
        <f>TEXT(Raw_Data!B8,"ddd")</f>
        <v>Sat</v>
      </c>
      <c r="H8" t="str">
        <f>Raw_Data!D8</f>
        <v>Invoiced</v>
      </c>
      <c r="I8" t="str">
        <f>Raw_Data!F8</f>
        <v>Tele-in</v>
      </c>
      <c r="J8" t="str">
        <f>Raw_Data!G8</f>
        <v>Dealer Webpage Tele-In</v>
      </c>
      <c r="K8" t="str">
        <f>IFERROR(VLOOKUP(J8,Source_Assumptions!$A:$C,2,0),"Unmapped")</f>
        <v>Digital - Owned</v>
      </c>
      <c r="L8" t="str">
        <f>Raw_Data!H8</f>
        <v>AMAZE Petrol</v>
      </c>
      <c r="M8" t="str">
        <f>IFERROR(VLOOKUP(L8,Model_Assumptions!$A:$D,2,0),"Unmapped")</f>
        <v>Sub-4m Sedan</v>
      </c>
      <c r="N8" t="str">
        <f>IFERROR(VLOOKUP(L8,Model_Assumptions!$A:$D,3,0),"Unmapped")</f>
        <v>Petrol</v>
      </c>
      <c r="O8">
        <f>IFERROR(VLOOKUP(L8,Model_Assumptions!$A:$D,4,0),0)</f>
        <v>850000</v>
      </c>
      <c r="P8">
        <f>IFERROR(VLOOKUP(J8,Source_Assumptions!$A:$C,3,0),0)</f>
        <v>300</v>
      </c>
    </row>
    <row r="9" spans="1:16" x14ac:dyDescent="0.3">
      <c r="A9">
        <f>Raw_Data!A9</f>
        <v>8</v>
      </c>
      <c r="B9" s="2">
        <f>Raw_Data!B9</f>
        <v>44578.748252314799</v>
      </c>
      <c r="C9">
        <f>YEAR(Raw_Data!B9)</f>
        <v>2022</v>
      </c>
      <c r="D9" t="str">
        <f>IF(MONTH(Raw_Data!B9)&gt;=4,YEAR(Raw_Data!B9)&amp;"-"&amp;RIGHT(YEAR(Raw_Data!B9)+1,2),YEAR(Raw_Data!B9)-1&amp;"-"&amp;RIGHT(YEAR(Raw_Data!B9),2))</f>
        <v>2021-22</v>
      </c>
      <c r="E9" t="str">
        <f>"Q"&amp;ROUNDUP(MONTH(Raw_Data!B9)/3,0)</f>
        <v>Q1</v>
      </c>
      <c r="F9" t="str">
        <f>TEXT(Raw_Data!B9,"mmm")</f>
        <v>Jan</v>
      </c>
      <c r="G9" t="str">
        <f>TEXT(Raw_Data!B9,"ddd")</f>
        <v>Mon</v>
      </c>
      <c r="H9" t="str">
        <f>Raw_Data!D9</f>
        <v>Invoiced</v>
      </c>
      <c r="I9" t="str">
        <f>Raw_Data!F9</f>
        <v>Tele-in</v>
      </c>
      <c r="J9" t="str">
        <f>Raw_Data!G9</f>
        <v>Dealer Webpage Tele-In</v>
      </c>
      <c r="K9" t="str">
        <f>IFERROR(VLOOKUP(J9,Source_Assumptions!$A:$C,2,0),"Unmapped")</f>
        <v>Digital - Owned</v>
      </c>
      <c r="L9" t="str">
        <f>Raw_Data!H9</f>
        <v>AMAZE Petrol</v>
      </c>
      <c r="M9" t="str">
        <f>IFERROR(VLOOKUP(L9,Model_Assumptions!$A:$D,2,0),"Unmapped")</f>
        <v>Sub-4m Sedan</v>
      </c>
      <c r="N9" t="str">
        <f>IFERROR(VLOOKUP(L9,Model_Assumptions!$A:$D,3,0),"Unmapped")</f>
        <v>Petrol</v>
      </c>
      <c r="O9">
        <f>IFERROR(VLOOKUP(L9,Model_Assumptions!$A:$D,4,0),0)</f>
        <v>850000</v>
      </c>
      <c r="P9">
        <f>IFERROR(VLOOKUP(J9,Source_Assumptions!$A:$C,3,0),0)</f>
        <v>300</v>
      </c>
    </row>
    <row r="10" spans="1:16" x14ac:dyDescent="0.3">
      <c r="A10">
        <f>Raw_Data!A10</f>
        <v>9</v>
      </c>
      <c r="B10" s="2">
        <f>Raw_Data!B10</f>
        <v>44579.6024652778</v>
      </c>
      <c r="C10">
        <f>YEAR(Raw_Data!B10)</f>
        <v>2022</v>
      </c>
      <c r="D10" t="str">
        <f>IF(MONTH(Raw_Data!B10)&gt;=4,YEAR(Raw_Data!B10)&amp;"-"&amp;RIGHT(YEAR(Raw_Data!B10)+1,2),YEAR(Raw_Data!B10)-1&amp;"-"&amp;RIGHT(YEAR(Raw_Data!B10),2))</f>
        <v>2021-22</v>
      </c>
      <c r="E10" t="str">
        <f>"Q"&amp;ROUNDUP(MONTH(Raw_Data!B10)/3,0)</f>
        <v>Q1</v>
      </c>
      <c r="F10" t="str">
        <f>TEXT(Raw_Data!B10,"mmm")</f>
        <v>Jan</v>
      </c>
      <c r="G10" t="str">
        <f>TEXT(Raw_Data!B10,"ddd")</f>
        <v>Tue</v>
      </c>
      <c r="H10" t="str">
        <f>Raw_Data!D10</f>
        <v>Invoiced</v>
      </c>
      <c r="I10" t="str">
        <f>Raw_Data!F10</f>
        <v>Tele-in</v>
      </c>
      <c r="J10" t="str">
        <f>Raw_Data!G10</f>
        <v>Referral-CAM</v>
      </c>
      <c r="K10" t="str">
        <f>IFERROR(VLOOKUP(J10,Source_Assumptions!$A:$C,2,0),"Unmapped")</f>
        <v>Referral</v>
      </c>
      <c r="L10" t="str">
        <f>Raw_Data!H10</f>
        <v>AMAZE Petrol</v>
      </c>
      <c r="M10" t="str">
        <f>IFERROR(VLOOKUP(L10,Model_Assumptions!$A:$D,2,0),"Unmapped")</f>
        <v>Sub-4m Sedan</v>
      </c>
      <c r="N10" t="str">
        <f>IFERROR(VLOOKUP(L10,Model_Assumptions!$A:$D,3,0),"Unmapped")</f>
        <v>Petrol</v>
      </c>
      <c r="O10">
        <f>IFERROR(VLOOKUP(L10,Model_Assumptions!$A:$D,4,0),0)</f>
        <v>850000</v>
      </c>
      <c r="P10">
        <f>IFERROR(VLOOKUP(J10,Source_Assumptions!$A:$C,3,0),0)</f>
        <v>150</v>
      </c>
    </row>
    <row r="11" spans="1:16" x14ac:dyDescent="0.3">
      <c r="A11">
        <f>Raw_Data!A11</f>
        <v>10</v>
      </c>
      <c r="B11" s="2">
        <f>Raw_Data!B11</f>
        <v>44579.608344907399</v>
      </c>
      <c r="C11">
        <f>YEAR(Raw_Data!B11)</f>
        <v>2022</v>
      </c>
      <c r="D11" t="str">
        <f>IF(MONTH(Raw_Data!B11)&gt;=4,YEAR(Raw_Data!B11)&amp;"-"&amp;RIGHT(YEAR(Raw_Data!B11)+1,2),YEAR(Raw_Data!B11)-1&amp;"-"&amp;RIGHT(YEAR(Raw_Data!B11),2))</f>
        <v>2021-22</v>
      </c>
      <c r="E11" t="str">
        <f>"Q"&amp;ROUNDUP(MONTH(Raw_Data!B11)/3,0)</f>
        <v>Q1</v>
      </c>
      <c r="F11" t="str">
        <f>TEXT(Raw_Data!B11,"mmm")</f>
        <v>Jan</v>
      </c>
      <c r="G11" t="str">
        <f>TEXT(Raw_Data!B11,"ddd")</f>
        <v>Tue</v>
      </c>
      <c r="H11" t="str">
        <f>Raw_Data!D11</f>
        <v>Invoiced</v>
      </c>
      <c r="I11" t="str">
        <f>Raw_Data!F11</f>
        <v>Web Lead</v>
      </c>
      <c r="J11" t="str">
        <f>Raw_Data!G11</f>
        <v>Web_Facebook</v>
      </c>
      <c r="K11" t="str">
        <f>IFERROR(VLOOKUP(J11,Source_Assumptions!$A:$C,2,0),"Unmapped")</f>
        <v>Digital - Paid Social</v>
      </c>
      <c r="L11" t="str">
        <f>Raw_Data!H11</f>
        <v>5TH GEN CITY PE</v>
      </c>
      <c r="M11" t="str">
        <f>IFERROR(VLOOKUP(L11,Model_Assumptions!$A:$D,2,0),"Unmapped")</f>
        <v>Mid-size Sedan</v>
      </c>
      <c r="N11" t="str">
        <f>IFERROR(VLOOKUP(L11,Model_Assumptions!$A:$D,3,0),"Unmapped")</f>
        <v>Petrol</v>
      </c>
      <c r="O11">
        <f>IFERROR(VLOOKUP(L11,Model_Assumptions!$A:$D,4,0),0)</f>
        <v>1250000</v>
      </c>
      <c r="P11">
        <f>IFERROR(VLOOKUP(J11,Source_Assumptions!$A:$C,3,0),0)</f>
        <v>600</v>
      </c>
    </row>
    <row r="12" spans="1:16" x14ac:dyDescent="0.3">
      <c r="A12">
        <f>Raw_Data!A12</f>
        <v>11</v>
      </c>
      <c r="B12" s="2">
        <f>Raw_Data!B12</f>
        <v>44579.612754629597</v>
      </c>
      <c r="C12">
        <f>YEAR(Raw_Data!B12)</f>
        <v>2022</v>
      </c>
      <c r="D12" t="str">
        <f>IF(MONTH(Raw_Data!B12)&gt;=4,YEAR(Raw_Data!B12)&amp;"-"&amp;RIGHT(YEAR(Raw_Data!B12)+1,2),YEAR(Raw_Data!B12)-1&amp;"-"&amp;RIGHT(YEAR(Raw_Data!B12),2))</f>
        <v>2021-22</v>
      </c>
      <c r="E12" t="str">
        <f>"Q"&amp;ROUNDUP(MONTH(Raw_Data!B12)/3,0)</f>
        <v>Q1</v>
      </c>
      <c r="F12" t="str">
        <f>TEXT(Raw_Data!B12,"mmm")</f>
        <v>Jan</v>
      </c>
      <c r="G12" t="str">
        <f>TEXT(Raw_Data!B12,"ddd")</f>
        <v>Tue</v>
      </c>
      <c r="H12" t="str">
        <f>Raw_Data!D12</f>
        <v>Invoiced</v>
      </c>
      <c r="I12" t="str">
        <f>Raw_Data!F12</f>
        <v>Tele-in</v>
      </c>
      <c r="J12" t="str">
        <f>Raw_Data!G12</f>
        <v>Referral-CAM</v>
      </c>
      <c r="K12" t="str">
        <f>IFERROR(VLOOKUP(J12,Source_Assumptions!$A:$C,2,0),"Unmapped")</f>
        <v>Referral</v>
      </c>
      <c r="L12" t="str">
        <f>Raw_Data!H12</f>
        <v>5TH GEN CITY PE</v>
      </c>
      <c r="M12" t="str">
        <f>IFERROR(VLOOKUP(L12,Model_Assumptions!$A:$D,2,0),"Unmapped")</f>
        <v>Mid-size Sedan</v>
      </c>
      <c r="N12" t="str">
        <f>IFERROR(VLOOKUP(L12,Model_Assumptions!$A:$D,3,0),"Unmapped")</f>
        <v>Petrol</v>
      </c>
      <c r="O12">
        <f>IFERROR(VLOOKUP(L12,Model_Assumptions!$A:$D,4,0),0)</f>
        <v>1250000</v>
      </c>
      <c r="P12">
        <f>IFERROR(VLOOKUP(J12,Source_Assumptions!$A:$C,3,0),0)</f>
        <v>150</v>
      </c>
    </row>
    <row r="13" spans="1:16" x14ac:dyDescent="0.3">
      <c r="A13">
        <f>Raw_Data!A13</f>
        <v>12</v>
      </c>
      <c r="B13" s="2">
        <f>Raw_Data!B13</f>
        <v>44579.642268518503</v>
      </c>
      <c r="C13">
        <f>YEAR(Raw_Data!B13)</f>
        <v>2022</v>
      </c>
      <c r="D13" t="str">
        <f>IF(MONTH(Raw_Data!B13)&gt;=4,YEAR(Raw_Data!B13)&amp;"-"&amp;RIGHT(YEAR(Raw_Data!B13)+1,2),YEAR(Raw_Data!B13)-1&amp;"-"&amp;RIGHT(YEAR(Raw_Data!B13),2))</f>
        <v>2021-22</v>
      </c>
      <c r="E13" t="str">
        <f>"Q"&amp;ROUNDUP(MONTH(Raw_Data!B13)/3,0)</f>
        <v>Q1</v>
      </c>
      <c r="F13" t="str">
        <f>TEXT(Raw_Data!B13,"mmm")</f>
        <v>Jan</v>
      </c>
      <c r="G13" t="str">
        <f>TEXT(Raw_Data!B13,"ddd")</f>
        <v>Tue</v>
      </c>
      <c r="H13" t="str">
        <f>Raw_Data!D13</f>
        <v>Invoiced</v>
      </c>
      <c r="I13" t="str">
        <f>Raw_Data!F13</f>
        <v>Tele-in</v>
      </c>
      <c r="J13" t="str">
        <f>Raw_Data!G13</f>
        <v>Referral-CAM</v>
      </c>
      <c r="K13" t="str">
        <f>IFERROR(VLOOKUP(J13,Source_Assumptions!$A:$C,2,0),"Unmapped")</f>
        <v>Referral</v>
      </c>
      <c r="L13" t="str">
        <f>Raw_Data!H13</f>
        <v>5TH GEN CITY PE</v>
      </c>
      <c r="M13" t="str">
        <f>IFERROR(VLOOKUP(L13,Model_Assumptions!$A:$D,2,0),"Unmapped")</f>
        <v>Mid-size Sedan</v>
      </c>
      <c r="N13" t="str">
        <f>IFERROR(VLOOKUP(L13,Model_Assumptions!$A:$D,3,0),"Unmapped")</f>
        <v>Petrol</v>
      </c>
      <c r="O13">
        <f>IFERROR(VLOOKUP(L13,Model_Assumptions!$A:$D,4,0),0)</f>
        <v>1250000</v>
      </c>
      <c r="P13">
        <f>IFERROR(VLOOKUP(J13,Source_Assumptions!$A:$C,3,0),0)</f>
        <v>150</v>
      </c>
    </row>
    <row r="14" spans="1:16" x14ac:dyDescent="0.3">
      <c r="A14">
        <f>Raw_Data!A14</f>
        <v>13</v>
      </c>
      <c r="B14" s="2">
        <f>Raw_Data!B14</f>
        <v>44579.6463657407</v>
      </c>
      <c r="C14">
        <f>YEAR(Raw_Data!B14)</f>
        <v>2022</v>
      </c>
      <c r="D14" t="str">
        <f>IF(MONTH(Raw_Data!B14)&gt;=4,YEAR(Raw_Data!B14)&amp;"-"&amp;RIGHT(YEAR(Raw_Data!B14)+1,2),YEAR(Raw_Data!B14)-1&amp;"-"&amp;RIGHT(YEAR(Raw_Data!B14),2))</f>
        <v>2021-22</v>
      </c>
      <c r="E14" t="str">
        <f>"Q"&amp;ROUNDUP(MONTH(Raw_Data!B14)/3,0)</f>
        <v>Q1</v>
      </c>
      <c r="F14" t="str">
        <f>TEXT(Raw_Data!B14,"mmm")</f>
        <v>Jan</v>
      </c>
      <c r="G14" t="str">
        <f>TEXT(Raw_Data!B14,"ddd")</f>
        <v>Tue</v>
      </c>
      <c r="H14" t="str">
        <f>Raw_Data!D14</f>
        <v>Invoiced</v>
      </c>
      <c r="I14" t="str">
        <f>Raw_Data!F14</f>
        <v>Tele-in</v>
      </c>
      <c r="J14" t="str">
        <f>Raw_Data!G14</f>
        <v>Dealer Webpage Tele-In</v>
      </c>
      <c r="K14" t="str">
        <f>IFERROR(VLOOKUP(J14,Source_Assumptions!$A:$C,2,0),"Unmapped")</f>
        <v>Digital - Owned</v>
      </c>
      <c r="L14" t="str">
        <f>Raw_Data!H14</f>
        <v>AMAZE Petrol</v>
      </c>
      <c r="M14" t="str">
        <f>IFERROR(VLOOKUP(L14,Model_Assumptions!$A:$D,2,0),"Unmapped")</f>
        <v>Sub-4m Sedan</v>
      </c>
      <c r="N14" t="str">
        <f>IFERROR(VLOOKUP(L14,Model_Assumptions!$A:$D,3,0),"Unmapped")</f>
        <v>Petrol</v>
      </c>
      <c r="O14">
        <f>IFERROR(VLOOKUP(L14,Model_Assumptions!$A:$D,4,0),0)</f>
        <v>850000</v>
      </c>
      <c r="P14">
        <f>IFERROR(VLOOKUP(J14,Source_Assumptions!$A:$C,3,0),0)</f>
        <v>300</v>
      </c>
    </row>
    <row r="15" spans="1:16" x14ac:dyDescent="0.3">
      <c r="A15">
        <f>Raw_Data!A15</f>
        <v>14</v>
      </c>
      <c r="B15" s="2">
        <f>Raw_Data!B15</f>
        <v>44579.732615740701</v>
      </c>
      <c r="C15">
        <f>YEAR(Raw_Data!B15)</f>
        <v>2022</v>
      </c>
      <c r="D15" t="str">
        <f>IF(MONTH(Raw_Data!B15)&gt;=4,YEAR(Raw_Data!B15)&amp;"-"&amp;RIGHT(YEAR(Raw_Data!B15)+1,2),YEAR(Raw_Data!B15)-1&amp;"-"&amp;RIGHT(YEAR(Raw_Data!B15),2))</f>
        <v>2021-22</v>
      </c>
      <c r="E15" t="str">
        <f>"Q"&amp;ROUNDUP(MONTH(Raw_Data!B15)/3,0)</f>
        <v>Q1</v>
      </c>
      <c r="F15" t="str">
        <f>TEXT(Raw_Data!B15,"mmm")</f>
        <v>Jan</v>
      </c>
      <c r="G15" t="str">
        <f>TEXT(Raw_Data!B15,"ddd")</f>
        <v>Tue</v>
      </c>
      <c r="H15" t="str">
        <f>Raw_Data!D15</f>
        <v>Invoiced</v>
      </c>
      <c r="I15" t="str">
        <f>Raw_Data!F15</f>
        <v>Tele-in</v>
      </c>
      <c r="J15" t="str">
        <f>Raw_Data!G15</f>
        <v>Referral-CAM</v>
      </c>
      <c r="K15" t="str">
        <f>IFERROR(VLOOKUP(J15,Source_Assumptions!$A:$C,2,0),"Unmapped")</f>
        <v>Referral</v>
      </c>
      <c r="L15" t="str">
        <f>Raw_Data!H15</f>
        <v>AMAZE Petrol</v>
      </c>
      <c r="M15" t="str">
        <f>IFERROR(VLOOKUP(L15,Model_Assumptions!$A:$D,2,0),"Unmapped")</f>
        <v>Sub-4m Sedan</v>
      </c>
      <c r="N15" t="str">
        <f>IFERROR(VLOOKUP(L15,Model_Assumptions!$A:$D,3,0),"Unmapped")</f>
        <v>Petrol</v>
      </c>
      <c r="O15">
        <f>IFERROR(VLOOKUP(L15,Model_Assumptions!$A:$D,4,0),0)</f>
        <v>850000</v>
      </c>
      <c r="P15">
        <f>IFERROR(VLOOKUP(J15,Source_Assumptions!$A:$C,3,0),0)</f>
        <v>150</v>
      </c>
    </row>
    <row r="16" spans="1:16" x14ac:dyDescent="0.3">
      <c r="A16">
        <f>Raw_Data!A16</f>
        <v>15</v>
      </c>
      <c r="B16" s="2">
        <f>Raw_Data!B16</f>
        <v>44579.737604166701</v>
      </c>
      <c r="C16">
        <f>YEAR(Raw_Data!B16)</f>
        <v>2022</v>
      </c>
      <c r="D16" t="str">
        <f>IF(MONTH(Raw_Data!B16)&gt;=4,YEAR(Raw_Data!B16)&amp;"-"&amp;RIGHT(YEAR(Raw_Data!B16)+1,2),YEAR(Raw_Data!B16)-1&amp;"-"&amp;RIGHT(YEAR(Raw_Data!B16),2))</f>
        <v>2021-22</v>
      </c>
      <c r="E16" t="str">
        <f>"Q"&amp;ROUNDUP(MONTH(Raw_Data!B16)/3,0)</f>
        <v>Q1</v>
      </c>
      <c r="F16" t="str">
        <f>TEXT(Raw_Data!B16,"mmm")</f>
        <v>Jan</v>
      </c>
      <c r="G16" t="str">
        <f>TEXT(Raw_Data!B16,"ddd")</f>
        <v>Tue</v>
      </c>
      <c r="H16" t="str">
        <f>Raw_Data!D16</f>
        <v>Invoiced</v>
      </c>
      <c r="I16" t="str">
        <f>Raw_Data!F16</f>
        <v>SMS/ Tele-Out</v>
      </c>
      <c r="J16" t="str">
        <f>Raw_Data!G16</f>
        <v>Referral-CAM</v>
      </c>
      <c r="K16" t="str">
        <f>IFERROR(VLOOKUP(J16,Source_Assumptions!$A:$C,2,0),"Unmapped")</f>
        <v>Referral</v>
      </c>
      <c r="L16" t="str">
        <f>Raw_Data!H16</f>
        <v>AMAZE Petrol</v>
      </c>
      <c r="M16" t="str">
        <f>IFERROR(VLOOKUP(L16,Model_Assumptions!$A:$D,2,0),"Unmapped")</f>
        <v>Sub-4m Sedan</v>
      </c>
      <c r="N16" t="str">
        <f>IFERROR(VLOOKUP(L16,Model_Assumptions!$A:$D,3,0),"Unmapped")</f>
        <v>Petrol</v>
      </c>
      <c r="O16">
        <f>IFERROR(VLOOKUP(L16,Model_Assumptions!$A:$D,4,0),0)</f>
        <v>850000</v>
      </c>
      <c r="P16">
        <f>IFERROR(VLOOKUP(J16,Source_Assumptions!$A:$C,3,0),0)</f>
        <v>150</v>
      </c>
    </row>
    <row r="17" spans="1:16" x14ac:dyDescent="0.3">
      <c r="A17">
        <f>Raw_Data!A17</f>
        <v>16</v>
      </c>
      <c r="B17" s="2">
        <f>Raw_Data!B17</f>
        <v>44580.4578819444</v>
      </c>
      <c r="C17">
        <f>YEAR(Raw_Data!B17)</f>
        <v>2022</v>
      </c>
      <c r="D17" t="str">
        <f>IF(MONTH(Raw_Data!B17)&gt;=4,YEAR(Raw_Data!B17)&amp;"-"&amp;RIGHT(YEAR(Raw_Data!B17)+1,2),YEAR(Raw_Data!B17)-1&amp;"-"&amp;RIGHT(YEAR(Raw_Data!B17),2))</f>
        <v>2021-22</v>
      </c>
      <c r="E17" t="str">
        <f>"Q"&amp;ROUNDUP(MONTH(Raw_Data!B17)/3,0)</f>
        <v>Q1</v>
      </c>
      <c r="F17" t="str">
        <f>TEXT(Raw_Data!B17,"mmm")</f>
        <v>Jan</v>
      </c>
      <c r="G17" t="str">
        <f>TEXT(Raw_Data!B17,"ddd")</f>
        <v>Wed</v>
      </c>
      <c r="H17" t="str">
        <f>Raw_Data!D17</f>
        <v>Invoiced</v>
      </c>
      <c r="I17" t="str">
        <f>Raw_Data!F17</f>
        <v>Web Lead</v>
      </c>
      <c r="J17" t="str">
        <f>Raw_Data!G17</f>
        <v>Web</v>
      </c>
      <c r="K17" t="str">
        <f>IFERROR(VLOOKUP(J17,Source_Assumptions!$A:$C,2,0),"Unmapped")</f>
        <v>Digital - Owned</v>
      </c>
      <c r="L17" t="str">
        <f>Raw_Data!H17</f>
        <v>AMAZE Petrol</v>
      </c>
      <c r="M17" t="str">
        <f>IFERROR(VLOOKUP(L17,Model_Assumptions!$A:$D,2,0),"Unmapped")</f>
        <v>Sub-4m Sedan</v>
      </c>
      <c r="N17" t="str">
        <f>IFERROR(VLOOKUP(L17,Model_Assumptions!$A:$D,3,0),"Unmapped")</f>
        <v>Petrol</v>
      </c>
      <c r="O17">
        <f>IFERROR(VLOOKUP(L17,Model_Assumptions!$A:$D,4,0),0)</f>
        <v>850000</v>
      </c>
      <c r="P17">
        <f>IFERROR(VLOOKUP(J17,Source_Assumptions!$A:$C,3,0),0)</f>
        <v>300</v>
      </c>
    </row>
    <row r="18" spans="1:16" x14ac:dyDescent="0.3">
      <c r="A18">
        <f>Raw_Data!A18</f>
        <v>17</v>
      </c>
      <c r="B18" s="2">
        <f>Raw_Data!B18</f>
        <v>44580.5441782407</v>
      </c>
      <c r="C18">
        <f>YEAR(Raw_Data!B18)</f>
        <v>2022</v>
      </c>
      <c r="D18" t="str">
        <f>IF(MONTH(Raw_Data!B18)&gt;=4,YEAR(Raw_Data!B18)&amp;"-"&amp;RIGHT(YEAR(Raw_Data!B18)+1,2),YEAR(Raw_Data!B18)-1&amp;"-"&amp;RIGHT(YEAR(Raw_Data!B18),2))</f>
        <v>2021-22</v>
      </c>
      <c r="E18" t="str">
        <f>"Q"&amp;ROUNDUP(MONTH(Raw_Data!B18)/3,0)</f>
        <v>Q1</v>
      </c>
      <c r="F18" t="str">
        <f>TEXT(Raw_Data!B18,"mmm")</f>
        <v>Jan</v>
      </c>
      <c r="G18" t="str">
        <f>TEXT(Raw_Data!B18,"ddd")</f>
        <v>Wed</v>
      </c>
      <c r="H18" t="str">
        <f>Raw_Data!D18</f>
        <v>Invoiced</v>
      </c>
      <c r="I18" t="str">
        <f>Raw_Data!F18</f>
        <v>Tele-in</v>
      </c>
      <c r="J18" t="str">
        <f>Raw_Data!G18</f>
        <v>Referral-CAM</v>
      </c>
      <c r="K18" t="str">
        <f>IFERROR(VLOOKUP(J18,Source_Assumptions!$A:$C,2,0),"Unmapped")</f>
        <v>Referral</v>
      </c>
      <c r="L18" t="str">
        <f>Raw_Data!H18</f>
        <v>5TH GEN CITY PE</v>
      </c>
      <c r="M18" t="str">
        <f>IFERROR(VLOOKUP(L18,Model_Assumptions!$A:$D,2,0),"Unmapped")</f>
        <v>Mid-size Sedan</v>
      </c>
      <c r="N18" t="str">
        <f>IFERROR(VLOOKUP(L18,Model_Assumptions!$A:$D,3,0),"Unmapped")</f>
        <v>Petrol</v>
      </c>
      <c r="O18">
        <f>IFERROR(VLOOKUP(L18,Model_Assumptions!$A:$D,4,0),0)</f>
        <v>1250000</v>
      </c>
      <c r="P18">
        <f>IFERROR(VLOOKUP(J18,Source_Assumptions!$A:$C,3,0),0)</f>
        <v>150</v>
      </c>
    </row>
    <row r="19" spans="1:16" x14ac:dyDescent="0.3">
      <c r="A19">
        <f>Raw_Data!A19</f>
        <v>18</v>
      </c>
      <c r="B19" s="2">
        <f>Raw_Data!B19</f>
        <v>44580.726307870398</v>
      </c>
      <c r="C19">
        <f>YEAR(Raw_Data!B19)</f>
        <v>2022</v>
      </c>
      <c r="D19" t="str">
        <f>IF(MONTH(Raw_Data!B19)&gt;=4,YEAR(Raw_Data!B19)&amp;"-"&amp;RIGHT(YEAR(Raw_Data!B19)+1,2),YEAR(Raw_Data!B19)-1&amp;"-"&amp;RIGHT(YEAR(Raw_Data!B19),2))</f>
        <v>2021-22</v>
      </c>
      <c r="E19" t="str">
        <f>"Q"&amp;ROUNDUP(MONTH(Raw_Data!B19)/3,0)</f>
        <v>Q1</v>
      </c>
      <c r="F19" t="str">
        <f>TEXT(Raw_Data!B19,"mmm")</f>
        <v>Jan</v>
      </c>
      <c r="G19" t="str">
        <f>TEXT(Raw_Data!B19,"ddd")</f>
        <v>Wed</v>
      </c>
      <c r="H19" t="str">
        <f>Raw_Data!D19</f>
        <v>Invoiced</v>
      </c>
      <c r="I19" t="str">
        <f>Raw_Data!F19</f>
        <v>Tele-in</v>
      </c>
      <c r="J19" t="str">
        <f>Raw_Data!G19</f>
        <v>Referral-CAM</v>
      </c>
      <c r="K19" t="str">
        <f>IFERROR(VLOOKUP(J19,Source_Assumptions!$A:$C,2,0),"Unmapped")</f>
        <v>Referral</v>
      </c>
      <c r="L19" t="str">
        <f>Raw_Data!H19</f>
        <v>CITY PE</v>
      </c>
      <c r="M19" t="str">
        <f>IFERROR(VLOOKUP(L19,Model_Assumptions!$A:$D,2,0),"Unmapped")</f>
        <v>Mid-size Sedan</v>
      </c>
      <c r="N19" t="str">
        <f>IFERROR(VLOOKUP(L19,Model_Assumptions!$A:$D,3,0),"Unmapped")</f>
        <v>Petrol</v>
      </c>
      <c r="O19">
        <f>IFERROR(VLOOKUP(L19,Model_Assumptions!$A:$D,4,0),0)</f>
        <v>1100000</v>
      </c>
      <c r="P19">
        <f>IFERROR(VLOOKUP(J19,Source_Assumptions!$A:$C,3,0),0)</f>
        <v>150</v>
      </c>
    </row>
    <row r="20" spans="1:16" x14ac:dyDescent="0.3">
      <c r="A20">
        <f>Raw_Data!A20</f>
        <v>19</v>
      </c>
      <c r="B20" s="2">
        <f>Raw_Data!B20</f>
        <v>44581.583749999998</v>
      </c>
      <c r="C20">
        <f>YEAR(Raw_Data!B20)</f>
        <v>2022</v>
      </c>
      <c r="D20" t="str">
        <f>IF(MONTH(Raw_Data!B20)&gt;=4,YEAR(Raw_Data!B20)&amp;"-"&amp;RIGHT(YEAR(Raw_Data!B20)+1,2),YEAR(Raw_Data!B20)-1&amp;"-"&amp;RIGHT(YEAR(Raw_Data!B20),2))</f>
        <v>2021-22</v>
      </c>
      <c r="E20" t="str">
        <f>"Q"&amp;ROUNDUP(MONTH(Raw_Data!B20)/3,0)</f>
        <v>Q1</v>
      </c>
      <c r="F20" t="str">
        <f>TEXT(Raw_Data!B20,"mmm")</f>
        <v>Jan</v>
      </c>
      <c r="G20" t="str">
        <f>TEXT(Raw_Data!B20,"ddd")</f>
        <v>Thu</v>
      </c>
      <c r="H20" t="str">
        <f>Raw_Data!D20</f>
        <v>Invoiced</v>
      </c>
      <c r="I20" t="str">
        <f>Raw_Data!F20</f>
        <v>Tele-in</v>
      </c>
      <c r="J20" t="str">
        <f>Raw_Data!G20</f>
        <v>Referral-CAM</v>
      </c>
      <c r="K20" t="str">
        <f>IFERROR(VLOOKUP(J20,Source_Assumptions!$A:$C,2,0),"Unmapped")</f>
        <v>Referral</v>
      </c>
      <c r="L20" t="str">
        <f>Raw_Data!H20</f>
        <v>5TH GEN CITY PE</v>
      </c>
      <c r="M20" t="str">
        <f>IFERROR(VLOOKUP(L20,Model_Assumptions!$A:$D,2,0),"Unmapped")</f>
        <v>Mid-size Sedan</v>
      </c>
      <c r="N20" t="str">
        <f>IFERROR(VLOOKUP(L20,Model_Assumptions!$A:$D,3,0),"Unmapped")</f>
        <v>Petrol</v>
      </c>
      <c r="O20">
        <f>IFERROR(VLOOKUP(L20,Model_Assumptions!$A:$D,4,0),0)</f>
        <v>1250000</v>
      </c>
      <c r="P20">
        <f>IFERROR(VLOOKUP(J20,Source_Assumptions!$A:$C,3,0),0)</f>
        <v>150</v>
      </c>
    </row>
    <row r="21" spans="1:16" x14ac:dyDescent="0.3">
      <c r="A21">
        <f>Raw_Data!A21</f>
        <v>20</v>
      </c>
      <c r="B21" s="2">
        <f>Raw_Data!B21</f>
        <v>44582.505081018498</v>
      </c>
      <c r="C21">
        <f>YEAR(Raw_Data!B21)</f>
        <v>2022</v>
      </c>
      <c r="D21" t="str">
        <f>IF(MONTH(Raw_Data!B21)&gt;=4,YEAR(Raw_Data!B21)&amp;"-"&amp;RIGHT(YEAR(Raw_Data!B21)+1,2),YEAR(Raw_Data!B21)-1&amp;"-"&amp;RIGHT(YEAR(Raw_Data!B21),2))</f>
        <v>2021-22</v>
      </c>
      <c r="E21" t="str">
        <f>"Q"&amp;ROUNDUP(MONTH(Raw_Data!B21)/3,0)</f>
        <v>Q1</v>
      </c>
      <c r="F21" t="str">
        <f>TEXT(Raw_Data!B21,"mmm")</f>
        <v>Jan</v>
      </c>
      <c r="G21" t="str">
        <f>TEXT(Raw_Data!B21,"ddd")</f>
        <v>Fri</v>
      </c>
      <c r="H21" t="str">
        <f>Raw_Data!D21</f>
        <v>Invoiced</v>
      </c>
      <c r="I21" t="str">
        <f>Raw_Data!F21</f>
        <v>SMS/ Tele-Out</v>
      </c>
      <c r="J21" t="str">
        <f>Raw_Data!G21</f>
        <v>Database Activity(Teleout/SMS)</v>
      </c>
      <c r="K21" t="str">
        <f>IFERROR(VLOOKUP(J21,Source_Assumptions!$A:$C,2,0),"Unmapped")</f>
        <v>Outbound/Database</v>
      </c>
      <c r="L21" t="str">
        <f>Raw_Data!H21</f>
        <v>5TH GEN CITY PE</v>
      </c>
      <c r="M21" t="str">
        <f>IFERROR(VLOOKUP(L21,Model_Assumptions!$A:$D,2,0),"Unmapped")</f>
        <v>Mid-size Sedan</v>
      </c>
      <c r="N21" t="str">
        <f>IFERROR(VLOOKUP(L21,Model_Assumptions!$A:$D,3,0),"Unmapped")</f>
        <v>Petrol</v>
      </c>
      <c r="O21">
        <f>IFERROR(VLOOKUP(L21,Model_Assumptions!$A:$D,4,0),0)</f>
        <v>1250000</v>
      </c>
      <c r="P21">
        <f>IFERROR(VLOOKUP(J21,Source_Assumptions!$A:$C,3,0),0)</f>
        <v>250</v>
      </c>
    </row>
    <row r="22" spans="1:16" x14ac:dyDescent="0.3">
      <c r="A22">
        <f>Raw_Data!A22</f>
        <v>21</v>
      </c>
      <c r="B22" s="2">
        <f>Raw_Data!B22</f>
        <v>44582.515625</v>
      </c>
      <c r="C22">
        <f>YEAR(Raw_Data!B22)</f>
        <v>2022</v>
      </c>
      <c r="D22" t="str">
        <f>IF(MONTH(Raw_Data!B22)&gt;=4,YEAR(Raw_Data!B22)&amp;"-"&amp;RIGHT(YEAR(Raw_Data!B22)+1,2),YEAR(Raw_Data!B22)-1&amp;"-"&amp;RIGHT(YEAR(Raw_Data!B22),2))</f>
        <v>2021-22</v>
      </c>
      <c r="E22" t="str">
        <f>"Q"&amp;ROUNDUP(MONTH(Raw_Data!B22)/3,0)</f>
        <v>Q1</v>
      </c>
      <c r="F22" t="str">
        <f>TEXT(Raw_Data!B22,"mmm")</f>
        <v>Jan</v>
      </c>
      <c r="G22" t="str">
        <f>TEXT(Raw_Data!B22,"ddd")</f>
        <v>Fri</v>
      </c>
      <c r="H22" t="str">
        <f>Raw_Data!D22</f>
        <v>Invoiced</v>
      </c>
      <c r="I22" t="str">
        <f>Raw_Data!F22</f>
        <v>Tele-in</v>
      </c>
      <c r="J22" t="str">
        <f>Raw_Data!G22</f>
        <v>Referral-CAM</v>
      </c>
      <c r="K22" t="str">
        <f>IFERROR(VLOOKUP(J22,Source_Assumptions!$A:$C,2,0),"Unmapped")</f>
        <v>Referral</v>
      </c>
      <c r="L22" t="str">
        <f>Raw_Data!H22</f>
        <v>AMAZE Petrol</v>
      </c>
      <c r="M22" t="str">
        <f>IFERROR(VLOOKUP(L22,Model_Assumptions!$A:$D,2,0),"Unmapped")</f>
        <v>Sub-4m Sedan</v>
      </c>
      <c r="N22" t="str">
        <f>IFERROR(VLOOKUP(L22,Model_Assumptions!$A:$D,3,0),"Unmapped")</f>
        <v>Petrol</v>
      </c>
      <c r="O22">
        <f>IFERROR(VLOOKUP(L22,Model_Assumptions!$A:$D,4,0),0)</f>
        <v>850000</v>
      </c>
      <c r="P22">
        <f>IFERROR(VLOOKUP(J22,Source_Assumptions!$A:$C,3,0),0)</f>
        <v>150</v>
      </c>
    </row>
    <row r="23" spans="1:16" x14ac:dyDescent="0.3">
      <c r="A23">
        <f>Raw_Data!A23</f>
        <v>22</v>
      </c>
      <c r="B23" s="2">
        <f>Raw_Data!B23</f>
        <v>44582.6777546296</v>
      </c>
      <c r="C23">
        <f>YEAR(Raw_Data!B23)</f>
        <v>2022</v>
      </c>
      <c r="D23" t="str">
        <f>IF(MONTH(Raw_Data!B23)&gt;=4,YEAR(Raw_Data!B23)&amp;"-"&amp;RIGHT(YEAR(Raw_Data!B23)+1,2),YEAR(Raw_Data!B23)-1&amp;"-"&amp;RIGHT(YEAR(Raw_Data!B23),2))</f>
        <v>2021-22</v>
      </c>
      <c r="E23" t="str">
        <f>"Q"&amp;ROUNDUP(MONTH(Raw_Data!B23)/3,0)</f>
        <v>Q1</v>
      </c>
      <c r="F23" t="str">
        <f>TEXT(Raw_Data!B23,"mmm")</f>
        <v>Jan</v>
      </c>
      <c r="G23" t="str">
        <f>TEXT(Raw_Data!B23,"ddd")</f>
        <v>Fri</v>
      </c>
      <c r="H23" t="str">
        <f>Raw_Data!D23</f>
        <v>Invoiced</v>
      </c>
      <c r="I23" t="str">
        <f>Raw_Data!F23</f>
        <v>Tele-in</v>
      </c>
      <c r="J23" t="str">
        <f>Raw_Data!G23</f>
        <v>Dealer Webpage Tele-In</v>
      </c>
      <c r="K23" t="str">
        <f>IFERROR(VLOOKUP(J23,Source_Assumptions!$A:$C,2,0),"Unmapped")</f>
        <v>Digital - Owned</v>
      </c>
      <c r="L23" t="str">
        <f>Raw_Data!H23</f>
        <v>5TH GEN CITY PE</v>
      </c>
      <c r="M23" t="str">
        <f>IFERROR(VLOOKUP(L23,Model_Assumptions!$A:$D,2,0),"Unmapped")</f>
        <v>Mid-size Sedan</v>
      </c>
      <c r="N23" t="str">
        <f>IFERROR(VLOOKUP(L23,Model_Assumptions!$A:$D,3,0),"Unmapped")</f>
        <v>Petrol</v>
      </c>
      <c r="O23">
        <f>IFERROR(VLOOKUP(L23,Model_Assumptions!$A:$D,4,0),0)</f>
        <v>1250000</v>
      </c>
      <c r="P23">
        <f>IFERROR(VLOOKUP(J23,Source_Assumptions!$A:$C,3,0),0)</f>
        <v>300</v>
      </c>
    </row>
    <row r="24" spans="1:16" x14ac:dyDescent="0.3">
      <c r="A24">
        <f>Raw_Data!A24</f>
        <v>23</v>
      </c>
      <c r="B24" s="2">
        <f>Raw_Data!B24</f>
        <v>44582.679745370398</v>
      </c>
      <c r="C24">
        <f>YEAR(Raw_Data!B24)</f>
        <v>2022</v>
      </c>
      <c r="D24" t="str">
        <f>IF(MONTH(Raw_Data!B24)&gt;=4,YEAR(Raw_Data!B24)&amp;"-"&amp;RIGHT(YEAR(Raw_Data!B24)+1,2),YEAR(Raw_Data!B24)-1&amp;"-"&amp;RIGHT(YEAR(Raw_Data!B24),2))</f>
        <v>2021-22</v>
      </c>
      <c r="E24" t="str">
        <f>"Q"&amp;ROUNDUP(MONTH(Raw_Data!B24)/3,0)</f>
        <v>Q1</v>
      </c>
      <c r="F24" t="str">
        <f>TEXT(Raw_Data!B24,"mmm")</f>
        <v>Jan</v>
      </c>
      <c r="G24" t="str">
        <f>TEXT(Raw_Data!B24,"ddd")</f>
        <v>Fri</v>
      </c>
      <c r="H24" t="str">
        <f>Raw_Data!D24</f>
        <v>Invoiced</v>
      </c>
      <c r="I24" t="str">
        <f>Raw_Data!F24</f>
        <v>Tele-in</v>
      </c>
      <c r="J24" t="str">
        <f>Raw_Data!G24</f>
        <v>Referral-CAM</v>
      </c>
      <c r="K24" t="str">
        <f>IFERROR(VLOOKUP(J24,Source_Assumptions!$A:$C,2,0),"Unmapped")</f>
        <v>Referral</v>
      </c>
      <c r="L24" t="str">
        <f>Raw_Data!H24</f>
        <v>AMAZE Petrol</v>
      </c>
      <c r="M24" t="str">
        <f>IFERROR(VLOOKUP(L24,Model_Assumptions!$A:$D,2,0),"Unmapped")</f>
        <v>Sub-4m Sedan</v>
      </c>
      <c r="N24" t="str">
        <f>IFERROR(VLOOKUP(L24,Model_Assumptions!$A:$D,3,0),"Unmapped")</f>
        <v>Petrol</v>
      </c>
      <c r="O24">
        <f>IFERROR(VLOOKUP(L24,Model_Assumptions!$A:$D,4,0),0)</f>
        <v>850000</v>
      </c>
      <c r="P24">
        <f>IFERROR(VLOOKUP(J24,Source_Assumptions!$A:$C,3,0),0)</f>
        <v>150</v>
      </c>
    </row>
    <row r="25" spans="1:16" x14ac:dyDescent="0.3">
      <c r="A25">
        <f>Raw_Data!A25</f>
        <v>24</v>
      </c>
      <c r="B25" s="2">
        <f>Raw_Data!B25</f>
        <v>44582.684004629598</v>
      </c>
      <c r="C25">
        <f>YEAR(Raw_Data!B25)</f>
        <v>2022</v>
      </c>
      <c r="D25" t="str">
        <f>IF(MONTH(Raw_Data!B25)&gt;=4,YEAR(Raw_Data!B25)&amp;"-"&amp;RIGHT(YEAR(Raw_Data!B25)+1,2),YEAR(Raw_Data!B25)-1&amp;"-"&amp;RIGHT(YEAR(Raw_Data!B25),2))</f>
        <v>2021-22</v>
      </c>
      <c r="E25" t="str">
        <f>"Q"&amp;ROUNDUP(MONTH(Raw_Data!B25)/3,0)</f>
        <v>Q1</v>
      </c>
      <c r="F25" t="str">
        <f>TEXT(Raw_Data!B25,"mmm")</f>
        <v>Jan</v>
      </c>
      <c r="G25" t="str">
        <f>TEXT(Raw_Data!B25,"ddd")</f>
        <v>Fri</v>
      </c>
      <c r="H25" t="str">
        <f>Raw_Data!D25</f>
        <v>Invoiced</v>
      </c>
      <c r="I25" t="str">
        <f>Raw_Data!F25</f>
        <v>Web Lead</v>
      </c>
      <c r="J25" t="str">
        <f>Raw_Data!G25</f>
        <v>Web_CarDekho</v>
      </c>
      <c r="K25" t="str">
        <f>IFERROR(VLOOKUP(J25,Source_Assumptions!$A:$C,2,0),"Unmapped")</f>
        <v>Digital - Aggregator (Paid)</v>
      </c>
      <c r="L25" t="str">
        <f>Raw_Data!H25</f>
        <v>AMAZE Petrol</v>
      </c>
      <c r="M25" t="str">
        <f>IFERROR(VLOOKUP(L25,Model_Assumptions!$A:$D,2,0),"Unmapped")</f>
        <v>Sub-4m Sedan</v>
      </c>
      <c r="N25" t="str">
        <f>IFERROR(VLOOKUP(L25,Model_Assumptions!$A:$D,3,0),"Unmapped")</f>
        <v>Petrol</v>
      </c>
      <c r="O25">
        <f>IFERROR(VLOOKUP(L25,Model_Assumptions!$A:$D,4,0),0)</f>
        <v>850000</v>
      </c>
      <c r="P25">
        <f>IFERROR(VLOOKUP(J25,Source_Assumptions!$A:$C,3,0),0)</f>
        <v>900</v>
      </c>
    </row>
    <row r="26" spans="1:16" x14ac:dyDescent="0.3">
      <c r="A26">
        <f>Raw_Data!A26</f>
        <v>25</v>
      </c>
      <c r="B26" s="2">
        <f>Raw_Data!B26</f>
        <v>44583.530092592599</v>
      </c>
      <c r="C26">
        <f>YEAR(Raw_Data!B26)</f>
        <v>2022</v>
      </c>
      <c r="D26" t="str">
        <f>IF(MONTH(Raw_Data!B26)&gt;=4,YEAR(Raw_Data!B26)&amp;"-"&amp;RIGHT(YEAR(Raw_Data!B26)+1,2),YEAR(Raw_Data!B26)-1&amp;"-"&amp;RIGHT(YEAR(Raw_Data!B26),2))</f>
        <v>2021-22</v>
      </c>
      <c r="E26" t="str">
        <f>"Q"&amp;ROUNDUP(MONTH(Raw_Data!B26)/3,0)</f>
        <v>Q1</v>
      </c>
      <c r="F26" t="str">
        <f>TEXT(Raw_Data!B26,"mmm")</f>
        <v>Jan</v>
      </c>
      <c r="G26" t="str">
        <f>TEXT(Raw_Data!B26,"ddd")</f>
        <v>Sat</v>
      </c>
      <c r="H26" t="str">
        <f>Raw_Data!D26</f>
        <v>Invoiced</v>
      </c>
      <c r="I26" t="str">
        <f>Raw_Data!F26</f>
        <v>Tele-in</v>
      </c>
      <c r="J26" t="str">
        <f>Raw_Data!G26</f>
        <v>Referral-CAM</v>
      </c>
      <c r="K26" t="str">
        <f>IFERROR(VLOOKUP(J26,Source_Assumptions!$A:$C,2,0),"Unmapped")</f>
        <v>Referral</v>
      </c>
      <c r="L26" t="str">
        <f>Raw_Data!H26</f>
        <v>CITY PE</v>
      </c>
      <c r="M26" t="str">
        <f>IFERROR(VLOOKUP(L26,Model_Assumptions!$A:$D,2,0),"Unmapped")</f>
        <v>Mid-size Sedan</v>
      </c>
      <c r="N26" t="str">
        <f>IFERROR(VLOOKUP(L26,Model_Assumptions!$A:$D,3,0),"Unmapped")</f>
        <v>Petrol</v>
      </c>
      <c r="O26">
        <f>IFERROR(VLOOKUP(L26,Model_Assumptions!$A:$D,4,0),0)</f>
        <v>1100000</v>
      </c>
      <c r="P26">
        <f>IFERROR(VLOOKUP(J26,Source_Assumptions!$A:$C,3,0),0)</f>
        <v>150</v>
      </c>
    </row>
    <row r="27" spans="1:16" x14ac:dyDescent="0.3">
      <c r="A27">
        <f>Raw_Data!A27</f>
        <v>26</v>
      </c>
      <c r="B27" s="2">
        <f>Raw_Data!B27</f>
        <v>44583.621689814798</v>
      </c>
      <c r="C27">
        <f>YEAR(Raw_Data!B27)</f>
        <v>2022</v>
      </c>
      <c r="D27" t="str">
        <f>IF(MONTH(Raw_Data!B27)&gt;=4,YEAR(Raw_Data!B27)&amp;"-"&amp;RIGHT(YEAR(Raw_Data!B27)+1,2),YEAR(Raw_Data!B27)-1&amp;"-"&amp;RIGHT(YEAR(Raw_Data!B27),2))</f>
        <v>2021-22</v>
      </c>
      <c r="E27" t="str">
        <f>"Q"&amp;ROUNDUP(MONTH(Raw_Data!B27)/3,0)</f>
        <v>Q1</v>
      </c>
      <c r="F27" t="str">
        <f>TEXT(Raw_Data!B27,"mmm")</f>
        <v>Jan</v>
      </c>
      <c r="G27" t="str">
        <f>TEXT(Raw_Data!B27,"ddd")</f>
        <v>Sat</v>
      </c>
      <c r="H27" t="str">
        <f>Raw_Data!D27</f>
        <v>Invoiced</v>
      </c>
      <c r="I27" t="str">
        <f>Raw_Data!F27</f>
        <v>Tele-in</v>
      </c>
      <c r="J27" t="str">
        <f>Raw_Data!G27</f>
        <v>Dealer Webpage Tele-In</v>
      </c>
      <c r="K27" t="str">
        <f>IFERROR(VLOOKUP(J27,Source_Assumptions!$A:$C,2,0),"Unmapped")</f>
        <v>Digital - Owned</v>
      </c>
      <c r="L27" t="str">
        <f>Raw_Data!H27</f>
        <v>5TH GEN CITY PE</v>
      </c>
      <c r="M27" t="str">
        <f>IFERROR(VLOOKUP(L27,Model_Assumptions!$A:$D,2,0),"Unmapped")</f>
        <v>Mid-size Sedan</v>
      </c>
      <c r="N27" t="str">
        <f>IFERROR(VLOOKUP(L27,Model_Assumptions!$A:$D,3,0),"Unmapped")</f>
        <v>Petrol</v>
      </c>
      <c r="O27">
        <f>IFERROR(VLOOKUP(L27,Model_Assumptions!$A:$D,4,0),0)</f>
        <v>1250000</v>
      </c>
      <c r="P27">
        <f>IFERROR(VLOOKUP(J27,Source_Assumptions!$A:$C,3,0),0)</f>
        <v>300</v>
      </c>
    </row>
    <row r="28" spans="1:16" x14ac:dyDescent="0.3">
      <c r="A28">
        <f>Raw_Data!A28</f>
        <v>27</v>
      </c>
      <c r="B28" s="2">
        <f>Raw_Data!B28</f>
        <v>44583.669039351902</v>
      </c>
      <c r="C28">
        <f>YEAR(Raw_Data!B28)</f>
        <v>2022</v>
      </c>
      <c r="D28" t="str">
        <f>IF(MONTH(Raw_Data!B28)&gt;=4,YEAR(Raw_Data!B28)&amp;"-"&amp;RIGHT(YEAR(Raw_Data!B28)+1,2),YEAR(Raw_Data!B28)-1&amp;"-"&amp;RIGHT(YEAR(Raw_Data!B28),2))</f>
        <v>2021-22</v>
      </c>
      <c r="E28" t="str">
        <f>"Q"&amp;ROUNDUP(MONTH(Raw_Data!B28)/3,0)</f>
        <v>Q1</v>
      </c>
      <c r="F28" t="str">
        <f>TEXT(Raw_Data!B28,"mmm")</f>
        <v>Jan</v>
      </c>
      <c r="G28" t="str">
        <f>TEXT(Raw_Data!B28,"ddd")</f>
        <v>Sat</v>
      </c>
      <c r="H28" t="str">
        <f>Raw_Data!D28</f>
        <v>Invoiced</v>
      </c>
      <c r="I28" t="str">
        <f>Raw_Data!F28</f>
        <v>Walk-in Showroom</v>
      </c>
      <c r="J28" t="str">
        <f>Raw_Data!G28</f>
        <v>Adver. (TVC/Print/Hoarding/FM)</v>
      </c>
      <c r="K28" t="str">
        <f>IFERROR(VLOOKUP(J28,Source_Assumptions!$A:$C,2,0),"Unmapped")</f>
        <v>Traditional Advertising</v>
      </c>
      <c r="L28" t="str">
        <f>Raw_Data!H28</f>
        <v>AMAZE Petrol</v>
      </c>
      <c r="M28" t="str">
        <f>IFERROR(VLOOKUP(L28,Model_Assumptions!$A:$D,2,0),"Unmapped")</f>
        <v>Sub-4m Sedan</v>
      </c>
      <c r="N28" t="str">
        <f>IFERROR(VLOOKUP(L28,Model_Assumptions!$A:$D,3,0),"Unmapped")</f>
        <v>Petrol</v>
      </c>
      <c r="O28">
        <f>IFERROR(VLOOKUP(L28,Model_Assumptions!$A:$D,4,0),0)</f>
        <v>850000</v>
      </c>
      <c r="P28">
        <f>IFERROR(VLOOKUP(J28,Source_Assumptions!$A:$C,3,0),0)</f>
        <v>1200</v>
      </c>
    </row>
    <row r="29" spans="1:16" x14ac:dyDescent="0.3">
      <c r="A29">
        <f>Raw_Data!A29</f>
        <v>28</v>
      </c>
      <c r="B29" s="2">
        <f>Raw_Data!B29</f>
        <v>44585.571655092601</v>
      </c>
      <c r="C29">
        <f>YEAR(Raw_Data!B29)</f>
        <v>2022</v>
      </c>
      <c r="D29" t="str">
        <f>IF(MONTH(Raw_Data!B29)&gt;=4,YEAR(Raw_Data!B29)&amp;"-"&amp;RIGHT(YEAR(Raw_Data!B29)+1,2),YEAR(Raw_Data!B29)-1&amp;"-"&amp;RIGHT(YEAR(Raw_Data!B29),2))</f>
        <v>2021-22</v>
      </c>
      <c r="E29" t="str">
        <f>"Q"&amp;ROUNDUP(MONTH(Raw_Data!B29)/3,0)</f>
        <v>Q1</v>
      </c>
      <c r="F29" t="str">
        <f>TEXT(Raw_Data!B29,"mmm")</f>
        <v>Jan</v>
      </c>
      <c r="G29" t="str">
        <f>TEXT(Raw_Data!B29,"ddd")</f>
        <v>Mon</v>
      </c>
      <c r="H29" t="str">
        <f>Raw_Data!D29</f>
        <v>Invoiced</v>
      </c>
      <c r="I29" t="str">
        <f>Raw_Data!F29</f>
        <v>SMS/ Tele-Out</v>
      </c>
      <c r="J29" t="str">
        <f>Raw_Data!G29</f>
        <v>Database Activity(Teleout/SMS)</v>
      </c>
      <c r="K29" t="str">
        <f>IFERROR(VLOOKUP(J29,Source_Assumptions!$A:$C,2,0),"Unmapped")</f>
        <v>Outbound/Database</v>
      </c>
      <c r="L29" t="str">
        <f>Raw_Data!H29</f>
        <v>AMAZE Petrol</v>
      </c>
      <c r="M29" t="str">
        <f>IFERROR(VLOOKUP(L29,Model_Assumptions!$A:$D,2,0),"Unmapped")</f>
        <v>Sub-4m Sedan</v>
      </c>
      <c r="N29" t="str">
        <f>IFERROR(VLOOKUP(L29,Model_Assumptions!$A:$D,3,0),"Unmapped")</f>
        <v>Petrol</v>
      </c>
      <c r="O29">
        <f>IFERROR(VLOOKUP(L29,Model_Assumptions!$A:$D,4,0),0)</f>
        <v>850000</v>
      </c>
      <c r="P29">
        <f>IFERROR(VLOOKUP(J29,Source_Assumptions!$A:$C,3,0),0)</f>
        <v>250</v>
      </c>
    </row>
    <row r="30" spans="1:16" x14ac:dyDescent="0.3">
      <c r="A30">
        <f>Raw_Data!A30</f>
        <v>29</v>
      </c>
      <c r="B30" s="2">
        <f>Raw_Data!B30</f>
        <v>44585.614849537</v>
      </c>
      <c r="C30">
        <f>YEAR(Raw_Data!B30)</f>
        <v>2022</v>
      </c>
      <c r="D30" t="str">
        <f>IF(MONTH(Raw_Data!B30)&gt;=4,YEAR(Raw_Data!B30)&amp;"-"&amp;RIGHT(YEAR(Raw_Data!B30)+1,2),YEAR(Raw_Data!B30)-1&amp;"-"&amp;RIGHT(YEAR(Raw_Data!B30),2))</f>
        <v>2021-22</v>
      </c>
      <c r="E30" t="str">
        <f>"Q"&amp;ROUNDUP(MONTH(Raw_Data!B30)/3,0)</f>
        <v>Q1</v>
      </c>
      <c r="F30" t="str">
        <f>TEXT(Raw_Data!B30,"mmm")</f>
        <v>Jan</v>
      </c>
      <c r="G30" t="str">
        <f>TEXT(Raw_Data!B30,"ddd")</f>
        <v>Mon</v>
      </c>
      <c r="H30" t="str">
        <f>Raw_Data!D30</f>
        <v>Invoiced</v>
      </c>
      <c r="I30" t="str">
        <f>Raw_Data!F30</f>
        <v>Tele-in</v>
      </c>
      <c r="J30" t="str">
        <f>Raw_Data!G30</f>
        <v>Dealer Webpage Tele-In</v>
      </c>
      <c r="K30" t="str">
        <f>IFERROR(VLOOKUP(J30,Source_Assumptions!$A:$C,2,0),"Unmapped")</f>
        <v>Digital - Owned</v>
      </c>
      <c r="L30" t="str">
        <f>Raw_Data!H30</f>
        <v>JAZZ PE</v>
      </c>
      <c r="M30" t="str">
        <f>IFERROR(VLOOKUP(L30,Model_Assumptions!$A:$D,2,0),"Unmapped")</f>
        <v>Hatchback</v>
      </c>
      <c r="N30" t="str">
        <f>IFERROR(VLOOKUP(L30,Model_Assumptions!$A:$D,3,0),"Unmapped")</f>
        <v>Petrol</v>
      </c>
      <c r="O30">
        <f>IFERROR(VLOOKUP(L30,Model_Assumptions!$A:$D,4,0),0)</f>
        <v>800000</v>
      </c>
      <c r="P30">
        <f>IFERROR(VLOOKUP(J30,Source_Assumptions!$A:$C,3,0),0)</f>
        <v>300</v>
      </c>
    </row>
    <row r="31" spans="1:16" x14ac:dyDescent="0.3">
      <c r="A31">
        <f>Raw_Data!A31</f>
        <v>30</v>
      </c>
      <c r="B31" s="2">
        <f>Raw_Data!B31</f>
        <v>44585.620300925897</v>
      </c>
      <c r="C31">
        <f>YEAR(Raw_Data!B31)</f>
        <v>2022</v>
      </c>
      <c r="D31" t="str">
        <f>IF(MONTH(Raw_Data!B31)&gt;=4,YEAR(Raw_Data!B31)&amp;"-"&amp;RIGHT(YEAR(Raw_Data!B31)+1,2),YEAR(Raw_Data!B31)-1&amp;"-"&amp;RIGHT(YEAR(Raw_Data!B31),2))</f>
        <v>2021-22</v>
      </c>
      <c r="E31" t="str">
        <f>"Q"&amp;ROUNDUP(MONTH(Raw_Data!B31)/3,0)</f>
        <v>Q1</v>
      </c>
      <c r="F31" t="str">
        <f>TEXT(Raw_Data!B31,"mmm")</f>
        <v>Jan</v>
      </c>
      <c r="G31" t="str">
        <f>TEXT(Raw_Data!B31,"ddd")</f>
        <v>Mon</v>
      </c>
      <c r="H31" t="str">
        <f>Raw_Data!D31</f>
        <v>Invoiced</v>
      </c>
      <c r="I31" t="str">
        <f>Raw_Data!F31</f>
        <v>Tele-in</v>
      </c>
      <c r="J31" t="str">
        <f>Raw_Data!G31</f>
        <v>Dealer Webpage Tele-In</v>
      </c>
      <c r="K31" t="str">
        <f>IFERROR(VLOOKUP(J31,Source_Assumptions!$A:$C,2,0),"Unmapped")</f>
        <v>Digital - Owned</v>
      </c>
      <c r="L31" t="str">
        <f>Raw_Data!H31</f>
        <v>AMAZE Petrol</v>
      </c>
      <c r="M31" t="str">
        <f>IFERROR(VLOOKUP(L31,Model_Assumptions!$A:$D,2,0),"Unmapped")</f>
        <v>Sub-4m Sedan</v>
      </c>
      <c r="N31" t="str">
        <f>IFERROR(VLOOKUP(L31,Model_Assumptions!$A:$D,3,0),"Unmapped")</f>
        <v>Petrol</v>
      </c>
      <c r="O31">
        <f>IFERROR(VLOOKUP(L31,Model_Assumptions!$A:$D,4,0),0)</f>
        <v>850000</v>
      </c>
      <c r="P31">
        <f>IFERROR(VLOOKUP(J31,Source_Assumptions!$A:$C,3,0),0)</f>
        <v>300</v>
      </c>
    </row>
    <row r="32" spans="1:16" x14ac:dyDescent="0.3">
      <c r="A32">
        <f>Raw_Data!A32</f>
        <v>31</v>
      </c>
      <c r="B32" s="2">
        <f>Raw_Data!B32</f>
        <v>44585.708495370403</v>
      </c>
      <c r="C32">
        <f>YEAR(Raw_Data!B32)</f>
        <v>2022</v>
      </c>
      <c r="D32" t="str">
        <f>IF(MONTH(Raw_Data!B32)&gt;=4,YEAR(Raw_Data!B32)&amp;"-"&amp;RIGHT(YEAR(Raw_Data!B32)+1,2),YEAR(Raw_Data!B32)-1&amp;"-"&amp;RIGHT(YEAR(Raw_Data!B32),2))</f>
        <v>2021-22</v>
      </c>
      <c r="E32" t="str">
        <f>"Q"&amp;ROUNDUP(MONTH(Raw_Data!B32)/3,0)</f>
        <v>Q1</v>
      </c>
      <c r="F32" t="str">
        <f>TEXT(Raw_Data!B32,"mmm")</f>
        <v>Jan</v>
      </c>
      <c r="G32" t="str">
        <f>TEXT(Raw_Data!B32,"ddd")</f>
        <v>Mon</v>
      </c>
      <c r="H32" t="str">
        <f>Raw_Data!D32</f>
        <v>Invoiced</v>
      </c>
      <c r="I32" t="str">
        <f>Raw_Data!F32</f>
        <v>Tele-in</v>
      </c>
      <c r="J32" t="str">
        <f>Raw_Data!G32</f>
        <v>Dealer Webpage Tele-In</v>
      </c>
      <c r="K32" t="str">
        <f>IFERROR(VLOOKUP(J32,Source_Assumptions!$A:$C,2,0),"Unmapped")</f>
        <v>Digital - Owned</v>
      </c>
      <c r="L32" t="str">
        <f>Raw_Data!H32</f>
        <v>5TH GEN CITY DE</v>
      </c>
      <c r="M32" t="str">
        <f>IFERROR(VLOOKUP(L32,Model_Assumptions!$A:$D,2,0),"Unmapped")</f>
        <v>Mid-size Sedan</v>
      </c>
      <c r="N32" t="str">
        <f>IFERROR(VLOOKUP(L32,Model_Assumptions!$A:$D,3,0),"Unmapped")</f>
        <v>Diesel</v>
      </c>
      <c r="O32">
        <f>IFERROR(VLOOKUP(L32,Model_Assumptions!$A:$D,4,0),0)</f>
        <v>1350000</v>
      </c>
      <c r="P32">
        <f>IFERROR(VLOOKUP(J32,Source_Assumptions!$A:$C,3,0),0)</f>
        <v>300</v>
      </c>
    </row>
    <row r="33" spans="1:16" x14ac:dyDescent="0.3">
      <c r="A33">
        <f>Raw_Data!A33</f>
        <v>32</v>
      </c>
      <c r="B33" s="2">
        <f>Raw_Data!B33</f>
        <v>44586.543564814798</v>
      </c>
      <c r="C33">
        <f>YEAR(Raw_Data!B33)</f>
        <v>2022</v>
      </c>
      <c r="D33" t="str">
        <f>IF(MONTH(Raw_Data!B33)&gt;=4,YEAR(Raw_Data!B33)&amp;"-"&amp;RIGHT(YEAR(Raw_Data!B33)+1,2),YEAR(Raw_Data!B33)-1&amp;"-"&amp;RIGHT(YEAR(Raw_Data!B33),2))</f>
        <v>2021-22</v>
      </c>
      <c r="E33" t="str">
        <f>"Q"&amp;ROUNDUP(MONTH(Raw_Data!B33)/3,0)</f>
        <v>Q1</v>
      </c>
      <c r="F33" t="str">
        <f>TEXT(Raw_Data!B33,"mmm")</f>
        <v>Jan</v>
      </c>
      <c r="G33" t="str">
        <f>TEXT(Raw_Data!B33,"ddd")</f>
        <v>Tue</v>
      </c>
      <c r="H33" t="str">
        <f>Raw_Data!D33</f>
        <v>Invoiced</v>
      </c>
      <c r="I33" t="str">
        <f>Raw_Data!F33</f>
        <v>Tele-in</v>
      </c>
      <c r="J33" t="str">
        <f>Raw_Data!G33</f>
        <v>Dealer Webpage Tele-In</v>
      </c>
      <c r="K33" t="str">
        <f>IFERROR(VLOOKUP(J33,Source_Assumptions!$A:$C,2,0),"Unmapped")</f>
        <v>Digital - Owned</v>
      </c>
      <c r="L33" t="str">
        <f>Raw_Data!H33</f>
        <v>5TH GEN CITY PE</v>
      </c>
      <c r="M33" t="str">
        <f>IFERROR(VLOOKUP(L33,Model_Assumptions!$A:$D,2,0),"Unmapped")</f>
        <v>Mid-size Sedan</v>
      </c>
      <c r="N33" t="str">
        <f>IFERROR(VLOOKUP(L33,Model_Assumptions!$A:$D,3,0),"Unmapped")</f>
        <v>Petrol</v>
      </c>
      <c r="O33">
        <f>IFERROR(VLOOKUP(L33,Model_Assumptions!$A:$D,4,0),0)</f>
        <v>1250000</v>
      </c>
      <c r="P33">
        <f>IFERROR(VLOOKUP(J33,Source_Assumptions!$A:$C,3,0),0)</f>
        <v>300</v>
      </c>
    </row>
    <row r="34" spans="1:16" x14ac:dyDescent="0.3">
      <c r="A34">
        <f>Raw_Data!A34</f>
        <v>33</v>
      </c>
      <c r="B34" s="2">
        <f>Raw_Data!B34</f>
        <v>44588.601319444497</v>
      </c>
      <c r="C34">
        <f>YEAR(Raw_Data!B34)</f>
        <v>2022</v>
      </c>
      <c r="D34" t="str">
        <f>IF(MONTH(Raw_Data!B34)&gt;=4,YEAR(Raw_Data!B34)&amp;"-"&amp;RIGHT(YEAR(Raw_Data!B34)+1,2),YEAR(Raw_Data!B34)-1&amp;"-"&amp;RIGHT(YEAR(Raw_Data!B34),2))</f>
        <v>2021-22</v>
      </c>
      <c r="E34" t="str">
        <f>"Q"&amp;ROUNDUP(MONTH(Raw_Data!B34)/3,0)</f>
        <v>Q1</v>
      </c>
      <c r="F34" t="str">
        <f>TEXT(Raw_Data!B34,"mmm")</f>
        <v>Jan</v>
      </c>
      <c r="G34" t="str">
        <f>TEXT(Raw_Data!B34,"ddd")</f>
        <v>Thu</v>
      </c>
      <c r="H34" t="str">
        <f>Raw_Data!D34</f>
        <v>Invoiced</v>
      </c>
      <c r="I34" t="str">
        <f>Raw_Data!F34</f>
        <v>SMS/ Tele-Out</v>
      </c>
      <c r="J34" t="str">
        <f>Raw_Data!G34</f>
        <v>Referral (HC/HBLP)</v>
      </c>
      <c r="K34" t="str">
        <f>IFERROR(VLOOKUP(J34,Source_Assumptions!$A:$C,2,0),"Unmapped")</f>
        <v>Referral (Happy Customer)</v>
      </c>
      <c r="L34" t="str">
        <f>Raw_Data!H34</f>
        <v>AMAZE Petrol</v>
      </c>
      <c r="M34" t="str">
        <f>IFERROR(VLOOKUP(L34,Model_Assumptions!$A:$D,2,0),"Unmapped")</f>
        <v>Sub-4m Sedan</v>
      </c>
      <c r="N34" t="str">
        <f>IFERROR(VLOOKUP(L34,Model_Assumptions!$A:$D,3,0),"Unmapped")</f>
        <v>Petrol</v>
      </c>
      <c r="O34">
        <f>IFERROR(VLOOKUP(L34,Model_Assumptions!$A:$D,4,0),0)</f>
        <v>850000</v>
      </c>
      <c r="P34">
        <f>IFERROR(VLOOKUP(J34,Source_Assumptions!$A:$C,3,0),0)</f>
        <v>100</v>
      </c>
    </row>
    <row r="35" spans="1:16" x14ac:dyDescent="0.3">
      <c r="A35">
        <f>Raw_Data!A35</f>
        <v>34</v>
      </c>
      <c r="B35" s="2">
        <f>Raw_Data!B35</f>
        <v>44589.432280092602</v>
      </c>
      <c r="C35">
        <f>YEAR(Raw_Data!B35)</f>
        <v>2022</v>
      </c>
      <c r="D35" t="str">
        <f>IF(MONTH(Raw_Data!B35)&gt;=4,YEAR(Raw_Data!B35)&amp;"-"&amp;RIGHT(YEAR(Raw_Data!B35)+1,2),YEAR(Raw_Data!B35)-1&amp;"-"&amp;RIGHT(YEAR(Raw_Data!B35),2))</f>
        <v>2021-22</v>
      </c>
      <c r="E35" t="str">
        <f>"Q"&amp;ROUNDUP(MONTH(Raw_Data!B35)/3,0)</f>
        <v>Q1</v>
      </c>
      <c r="F35" t="str">
        <f>TEXT(Raw_Data!B35,"mmm")</f>
        <v>Jan</v>
      </c>
      <c r="G35" t="str">
        <f>TEXT(Raw_Data!B35,"ddd")</f>
        <v>Fri</v>
      </c>
      <c r="H35" t="str">
        <f>Raw_Data!D35</f>
        <v>Invoiced</v>
      </c>
      <c r="I35" t="str">
        <f>Raw_Data!F35</f>
        <v>Tele-in</v>
      </c>
      <c r="J35" t="str">
        <f>Raw_Data!G35</f>
        <v>DSA</v>
      </c>
      <c r="K35" t="str">
        <f>IFERROR(VLOOKUP(J35,Source_Assumptions!$A:$C,2,0),"Unmapped")</f>
        <v>Referral (Partner/Agent)</v>
      </c>
      <c r="L35" t="str">
        <f>Raw_Data!H35</f>
        <v>JAZZ PE</v>
      </c>
      <c r="M35" t="str">
        <f>IFERROR(VLOOKUP(L35,Model_Assumptions!$A:$D,2,0),"Unmapped")</f>
        <v>Hatchback</v>
      </c>
      <c r="N35" t="str">
        <f>IFERROR(VLOOKUP(L35,Model_Assumptions!$A:$D,3,0),"Unmapped")</f>
        <v>Petrol</v>
      </c>
      <c r="O35">
        <f>IFERROR(VLOOKUP(L35,Model_Assumptions!$A:$D,4,0),0)</f>
        <v>800000</v>
      </c>
      <c r="P35">
        <f>IFERROR(VLOOKUP(J35,Source_Assumptions!$A:$C,3,0),0)</f>
        <v>400</v>
      </c>
    </row>
    <row r="36" spans="1:16" x14ac:dyDescent="0.3">
      <c r="A36">
        <f>Raw_Data!A36</f>
        <v>35</v>
      </c>
      <c r="B36" s="2">
        <f>Raw_Data!B36</f>
        <v>44589.631469907399</v>
      </c>
      <c r="C36">
        <f>YEAR(Raw_Data!B36)</f>
        <v>2022</v>
      </c>
      <c r="D36" t="str">
        <f>IF(MONTH(Raw_Data!B36)&gt;=4,YEAR(Raw_Data!B36)&amp;"-"&amp;RIGHT(YEAR(Raw_Data!B36)+1,2),YEAR(Raw_Data!B36)-1&amp;"-"&amp;RIGHT(YEAR(Raw_Data!B36),2))</f>
        <v>2021-22</v>
      </c>
      <c r="E36" t="str">
        <f>"Q"&amp;ROUNDUP(MONTH(Raw_Data!B36)/3,0)</f>
        <v>Q1</v>
      </c>
      <c r="F36" t="str">
        <f>TEXT(Raw_Data!B36,"mmm")</f>
        <v>Jan</v>
      </c>
      <c r="G36" t="str">
        <f>TEXT(Raw_Data!B36,"ddd")</f>
        <v>Fri</v>
      </c>
      <c r="H36" t="str">
        <f>Raw_Data!D36</f>
        <v>Invoiced</v>
      </c>
      <c r="I36" t="str">
        <f>Raw_Data!F36</f>
        <v>Walk-in Showroom</v>
      </c>
      <c r="J36" t="str">
        <f>Raw_Data!G36</f>
        <v>Adver. (TVC/Print/Hoarding/FM)</v>
      </c>
      <c r="K36" t="str">
        <f>IFERROR(VLOOKUP(J36,Source_Assumptions!$A:$C,2,0),"Unmapped")</f>
        <v>Traditional Advertising</v>
      </c>
      <c r="L36" t="str">
        <f>Raw_Data!H36</f>
        <v>AMAZE Petrol</v>
      </c>
      <c r="M36" t="str">
        <f>IFERROR(VLOOKUP(L36,Model_Assumptions!$A:$D,2,0),"Unmapped")</f>
        <v>Sub-4m Sedan</v>
      </c>
      <c r="N36" t="str">
        <f>IFERROR(VLOOKUP(L36,Model_Assumptions!$A:$D,3,0),"Unmapped")</f>
        <v>Petrol</v>
      </c>
      <c r="O36">
        <f>IFERROR(VLOOKUP(L36,Model_Assumptions!$A:$D,4,0),0)</f>
        <v>850000</v>
      </c>
      <c r="P36">
        <f>IFERROR(VLOOKUP(J36,Source_Assumptions!$A:$C,3,0),0)</f>
        <v>1200</v>
      </c>
    </row>
    <row r="37" spans="1:16" x14ac:dyDescent="0.3">
      <c r="A37">
        <f>Raw_Data!A37</f>
        <v>36</v>
      </c>
      <c r="B37" s="2">
        <f>Raw_Data!B37</f>
        <v>44589.738055555601</v>
      </c>
      <c r="C37">
        <f>YEAR(Raw_Data!B37)</f>
        <v>2022</v>
      </c>
      <c r="D37" t="str">
        <f>IF(MONTH(Raw_Data!B37)&gt;=4,YEAR(Raw_Data!B37)&amp;"-"&amp;RIGHT(YEAR(Raw_Data!B37)+1,2),YEAR(Raw_Data!B37)-1&amp;"-"&amp;RIGHT(YEAR(Raw_Data!B37),2))</f>
        <v>2021-22</v>
      </c>
      <c r="E37" t="str">
        <f>"Q"&amp;ROUNDUP(MONTH(Raw_Data!B37)/3,0)</f>
        <v>Q1</v>
      </c>
      <c r="F37" t="str">
        <f>TEXT(Raw_Data!B37,"mmm")</f>
        <v>Jan</v>
      </c>
      <c r="G37" t="str">
        <f>TEXT(Raw_Data!B37,"ddd")</f>
        <v>Fri</v>
      </c>
      <c r="H37" t="str">
        <f>Raw_Data!D37</f>
        <v>Invoiced</v>
      </c>
      <c r="I37" t="str">
        <f>Raw_Data!F37</f>
        <v>SMS/ Tele-Out</v>
      </c>
      <c r="J37" t="str">
        <f>Raw_Data!G37</f>
        <v>Database Activity(Teleout/SMS)</v>
      </c>
      <c r="K37" t="str">
        <f>IFERROR(VLOOKUP(J37,Source_Assumptions!$A:$C,2,0),"Unmapped")</f>
        <v>Outbound/Database</v>
      </c>
      <c r="L37" t="str">
        <f>Raw_Data!H37</f>
        <v>AMAZE Petrol</v>
      </c>
      <c r="M37" t="str">
        <f>IFERROR(VLOOKUP(L37,Model_Assumptions!$A:$D,2,0),"Unmapped")</f>
        <v>Sub-4m Sedan</v>
      </c>
      <c r="N37" t="str">
        <f>IFERROR(VLOOKUP(L37,Model_Assumptions!$A:$D,3,0),"Unmapped")</f>
        <v>Petrol</v>
      </c>
      <c r="O37">
        <f>IFERROR(VLOOKUP(L37,Model_Assumptions!$A:$D,4,0),0)</f>
        <v>850000</v>
      </c>
      <c r="P37">
        <f>IFERROR(VLOOKUP(J37,Source_Assumptions!$A:$C,3,0),0)</f>
        <v>250</v>
      </c>
    </row>
    <row r="38" spans="1:16" x14ac:dyDescent="0.3">
      <c r="A38">
        <f>Raw_Data!A38</f>
        <v>37</v>
      </c>
      <c r="B38" s="2">
        <f>Raw_Data!B38</f>
        <v>44590.4686574074</v>
      </c>
      <c r="C38">
        <f>YEAR(Raw_Data!B38)</f>
        <v>2022</v>
      </c>
      <c r="D38" t="str">
        <f>IF(MONTH(Raw_Data!B38)&gt;=4,YEAR(Raw_Data!B38)&amp;"-"&amp;RIGHT(YEAR(Raw_Data!B38)+1,2),YEAR(Raw_Data!B38)-1&amp;"-"&amp;RIGHT(YEAR(Raw_Data!B38),2))</f>
        <v>2021-22</v>
      </c>
      <c r="E38" t="str">
        <f>"Q"&amp;ROUNDUP(MONTH(Raw_Data!B38)/3,0)</f>
        <v>Q1</v>
      </c>
      <c r="F38" t="str">
        <f>TEXT(Raw_Data!B38,"mmm")</f>
        <v>Jan</v>
      </c>
      <c r="G38" t="str">
        <f>TEXT(Raw_Data!B38,"ddd")</f>
        <v>Sat</v>
      </c>
      <c r="H38" t="str">
        <f>Raw_Data!D38</f>
        <v>Invoiced</v>
      </c>
      <c r="I38" t="str">
        <f>Raw_Data!F38</f>
        <v>Web Lead</v>
      </c>
      <c r="J38" t="str">
        <f>Raw_Data!G38</f>
        <v>Web_Organic</v>
      </c>
      <c r="K38" t="str">
        <f>IFERROR(VLOOKUP(J38,Source_Assumptions!$A:$C,2,0),"Unmapped")</f>
        <v>Digital - Organic</v>
      </c>
      <c r="L38" t="str">
        <f>Raw_Data!H38</f>
        <v>JAZZ PE</v>
      </c>
      <c r="M38" t="str">
        <f>IFERROR(VLOOKUP(L38,Model_Assumptions!$A:$D,2,0),"Unmapped")</f>
        <v>Hatchback</v>
      </c>
      <c r="N38" t="str">
        <f>IFERROR(VLOOKUP(L38,Model_Assumptions!$A:$D,3,0),"Unmapped")</f>
        <v>Petrol</v>
      </c>
      <c r="O38">
        <f>IFERROR(VLOOKUP(L38,Model_Assumptions!$A:$D,4,0),0)</f>
        <v>800000</v>
      </c>
      <c r="P38">
        <f>IFERROR(VLOOKUP(J38,Source_Assumptions!$A:$C,3,0),0)</f>
        <v>100</v>
      </c>
    </row>
    <row r="39" spans="1:16" x14ac:dyDescent="0.3">
      <c r="A39">
        <f>Raw_Data!A39</f>
        <v>38</v>
      </c>
      <c r="B39" s="2">
        <f>Raw_Data!B39</f>
        <v>44590.684594907398</v>
      </c>
      <c r="C39">
        <f>YEAR(Raw_Data!B39)</f>
        <v>2022</v>
      </c>
      <c r="D39" t="str">
        <f>IF(MONTH(Raw_Data!B39)&gt;=4,YEAR(Raw_Data!B39)&amp;"-"&amp;RIGHT(YEAR(Raw_Data!B39)+1,2),YEAR(Raw_Data!B39)-1&amp;"-"&amp;RIGHT(YEAR(Raw_Data!B39),2))</f>
        <v>2021-22</v>
      </c>
      <c r="E39" t="str">
        <f>"Q"&amp;ROUNDUP(MONTH(Raw_Data!B39)/3,0)</f>
        <v>Q1</v>
      </c>
      <c r="F39" t="str">
        <f>TEXT(Raw_Data!B39,"mmm")</f>
        <v>Jan</v>
      </c>
      <c r="G39" t="str">
        <f>TEXT(Raw_Data!B39,"ddd")</f>
        <v>Sat</v>
      </c>
      <c r="H39" t="str">
        <f>Raw_Data!D39</f>
        <v>Invoiced</v>
      </c>
      <c r="I39" t="str">
        <f>Raw_Data!F39</f>
        <v>Tele-in</v>
      </c>
      <c r="J39" t="str">
        <f>Raw_Data!G39</f>
        <v>Referral-CAM</v>
      </c>
      <c r="K39" t="str">
        <f>IFERROR(VLOOKUP(J39,Source_Assumptions!$A:$C,2,0),"Unmapped")</f>
        <v>Referral</v>
      </c>
      <c r="L39" t="str">
        <f>Raw_Data!H39</f>
        <v>5TH GEN CITY PE</v>
      </c>
      <c r="M39" t="str">
        <f>IFERROR(VLOOKUP(L39,Model_Assumptions!$A:$D,2,0),"Unmapped")</f>
        <v>Mid-size Sedan</v>
      </c>
      <c r="N39" t="str">
        <f>IFERROR(VLOOKUP(L39,Model_Assumptions!$A:$D,3,0),"Unmapped")</f>
        <v>Petrol</v>
      </c>
      <c r="O39">
        <f>IFERROR(VLOOKUP(L39,Model_Assumptions!$A:$D,4,0),0)</f>
        <v>1250000</v>
      </c>
      <c r="P39">
        <f>IFERROR(VLOOKUP(J39,Source_Assumptions!$A:$C,3,0),0)</f>
        <v>150</v>
      </c>
    </row>
    <row r="40" spans="1:16" x14ac:dyDescent="0.3">
      <c r="A40">
        <f>Raw_Data!A40</f>
        <v>39</v>
      </c>
      <c r="B40" s="2">
        <f>Raw_Data!B40</f>
        <v>44590.783252314803</v>
      </c>
      <c r="C40">
        <f>YEAR(Raw_Data!B40)</f>
        <v>2022</v>
      </c>
      <c r="D40" t="str">
        <f>IF(MONTH(Raw_Data!B40)&gt;=4,YEAR(Raw_Data!B40)&amp;"-"&amp;RIGHT(YEAR(Raw_Data!B40)+1,2),YEAR(Raw_Data!B40)-1&amp;"-"&amp;RIGHT(YEAR(Raw_Data!B40),2))</f>
        <v>2021-22</v>
      </c>
      <c r="E40" t="str">
        <f>"Q"&amp;ROUNDUP(MONTH(Raw_Data!B40)/3,0)</f>
        <v>Q1</v>
      </c>
      <c r="F40" t="str">
        <f>TEXT(Raw_Data!B40,"mmm")</f>
        <v>Jan</v>
      </c>
      <c r="G40" t="str">
        <f>TEXT(Raw_Data!B40,"ddd")</f>
        <v>Sat</v>
      </c>
      <c r="H40" t="str">
        <f>Raw_Data!D40</f>
        <v>Invoiced</v>
      </c>
      <c r="I40" t="str">
        <f>Raw_Data!F40</f>
        <v>Web Lead</v>
      </c>
      <c r="J40" t="str">
        <f>Raw_Data!G40</f>
        <v>Web</v>
      </c>
      <c r="K40" t="str">
        <f>IFERROR(VLOOKUP(J40,Source_Assumptions!$A:$C,2,0),"Unmapped")</f>
        <v>Digital - Owned</v>
      </c>
      <c r="L40" t="str">
        <f>Raw_Data!H40</f>
        <v>AMAZE Petrol</v>
      </c>
      <c r="M40" t="str">
        <f>IFERROR(VLOOKUP(L40,Model_Assumptions!$A:$D,2,0),"Unmapped")</f>
        <v>Sub-4m Sedan</v>
      </c>
      <c r="N40" t="str">
        <f>IFERROR(VLOOKUP(L40,Model_Assumptions!$A:$D,3,0),"Unmapped")</f>
        <v>Petrol</v>
      </c>
      <c r="O40">
        <f>IFERROR(VLOOKUP(L40,Model_Assumptions!$A:$D,4,0),0)</f>
        <v>850000</v>
      </c>
      <c r="P40">
        <f>IFERROR(VLOOKUP(J40,Source_Assumptions!$A:$C,3,0),0)</f>
        <v>300</v>
      </c>
    </row>
    <row r="41" spans="1:16" x14ac:dyDescent="0.3">
      <c r="A41">
        <f>Raw_Data!A41</f>
        <v>40</v>
      </c>
      <c r="B41" s="2">
        <f>Raw_Data!B41</f>
        <v>44592.511701388903</v>
      </c>
      <c r="C41">
        <f>YEAR(Raw_Data!B41)</f>
        <v>2022</v>
      </c>
      <c r="D41" t="str">
        <f>IF(MONTH(Raw_Data!B41)&gt;=4,YEAR(Raw_Data!B41)&amp;"-"&amp;RIGHT(YEAR(Raw_Data!B41)+1,2),YEAR(Raw_Data!B41)-1&amp;"-"&amp;RIGHT(YEAR(Raw_Data!B41),2))</f>
        <v>2021-22</v>
      </c>
      <c r="E41" t="str">
        <f>"Q"&amp;ROUNDUP(MONTH(Raw_Data!B41)/3,0)</f>
        <v>Q1</v>
      </c>
      <c r="F41" t="str">
        <f>TEXT(Raw_Data!B41,"mmm")</f>
        <v>Jan</v>
      </c>
      <c r="G41" t="str">
        <f>TEXT(Raw_Data!B41,"ddd")</f>
        <v>Mon</v>
      </c>
      <c r="H41" t="str">
        <f>Raw_Data!D41</f>
        <v>Invoiced</v>
      </c>
      <c r="I41" t="str">
        <f>Raw_Data!F41</f>
        <v>Tele-in</v>
      </c>
      <c r="J41" t="str">
        <f>Raw_Data!G41</f>
        <v>Dealer Webpage Tele-In</v>
      </c>
      <c r="K41" t="str">
        <f>IFERROR(VLOOKUP(J41,Source_Assumptions!$A:$C,2,0),"Unmapped")</f>
        <v>Digital - Owned</v>
      </c>
      <c r="L41" t="str">
        <f>Raw_Data!H41</f>
        <v>5TH GEN CITY PE</v>
      </c>
      <c r="M41" t="str">
        <f>IFERROR(VLOOKUP(L41,Model_Assumptions!$A:$D,2,0),"Unmapped")</f>
        <v>Mid-size Sedan</v>
      </c>
      <c r="N41" t="str">
        <f>IFERROR(VLOOKUP(L41,Model_Assumptions!$A:$D,3,0),"Unmapped")</f>
        <v>Petrol</v>
      </c>
      <c r="O41">
        <f>IFERROR(VLOOKUP(L41,Model_Assumptions!$A:$D,4,0),0)</f>
        <v>1250000</v>
      </c>
      <c r="P41">
        <f>IFERROR(VLOOKUP(J41,Source_Assumptions!$A:$C,3,0),0)</f>
        <v>300</v>
      </c>
    </row>
    <row r="42" spans="1:16" x14ac:dyDescent="0.3">
      <c r="A42">
        <f>Raw_Data!A42</f>
        <v>41</v>
      </c>
      <c r="B42" s="2">
        <f>Raw_Data!B42</f>
        <v>44592.517407407402</v>
      </c>
      <c r="C42">
        <f>YEAR(Raw_Data!B42)</f>
        <v>2022</v>
      </c>
      <c r="D42" t="str">
        <f>IF(MONTH(Raw_Data!B42)&gt;=4,YEAR(Raw_Data!B42)&amp;"-"&amp;RIGHT(YEAR(Raw_Data!B42)+1,2),YEAR(Raw_Data!B42)-1&amp;"-"&amp;RIGHT(YEAR(Raw_Data!B42),2))</f>
        <v>2021-22</v>
      </c>
      <c r="E42" t="str">
        <f>"Q"&amp;ROUNDUP(MONTH(Raw_Data!B42)/3,0)</f>
        <v>Q1</v>
      </c>
      <c r="F42" t="str">
        <f>TEXT(Raw_Data!B42,"mmm")</f>
        <v>Jan</v>
      </c>
      <c r="G42" t="str">
        <f>TEXT(Raw_Data!B42,"ddd")</f>
        <v>Mon</v>
      </c>
      <c r="H42" t="str">
        <f>Raw_Data!D42</f>
        <v>Invoiced</v>
      </c>
      <c r="I42" t="str">
        <f>Raw_Data!F42</f>
        <v>SMS/ Tele-Out</v>
      </c>
      <c r="J42" t="str">
        <f>Raw_Data!G42</f>
        <v>Database Activity(Teleout/SMS)</v>
      </c>
      <c r="K42" t="str">
        <f>IFERROR(VLOOKUP(J42,Source_Assumptions!$A:$C,2,0),"Unmapped")</f>
        <v>Outbound/Database</v>
      </c>
      <c r="L42" t="str">
        <f>Raw_Data!H42</f>
        <v>AMAZE Petrol</v>
      </c>
      <c r="M42" t="str">
        <f>IFERROR(VLOOKUP(L42,Model_Assumptions!$A:$D,2,0),"Unmapped")</f>
        <v>Sub-4m Sedan</v>
      </c>
      <c r="N42" t="str">
        <f>IFERROR(VLOOKUP(L42,Model_Assumptions!$A:$D,3,0),"Unmapped")</f>
        <v>Petrol</v>
      </c>
      <c r="O42">
        <f>IFERROR(VLOOKUP(L42,Model_Assumptions!$A:$D,4,0),0)</f>
        <v>850000</v>
      </c>
      <c r="P42">
        <f>IFERROR(VLOOKUP(J42,Source_Assumptions!$A:$C,3,0),0)</f>
        <v>250</v>
      </c>
    </row>
    <row r="43" spans="1:16" x14ac:dyDescent="0.3">
      <c r="A43">
        <f>Raw_Data!A43</f>
        <v>42</v>
      </c>
      <c r="B43" s="2">
        <f>Raw_Data!B43</f>
        <v>44592.560335648202</v>
      </c>
      <c r="C43">
        <f>YEAR(Raw_Data!B43)</f>
        <v>2022</v>
      </c>
      <c r="D43" t="str">
        <f>IF(MONTH(Raw_Data!B43)&gt;=4,YEAR(Raw_Data!B43)&amp;"-"&amp;RIGHT(YEAR(Raw_Data!B43)+1,2),YEAR(Raw_Data!B43)-1&amp;"-"&amp;RIGHT(YEAR(Raw_Data!B43),2))</f>
        <v>2021-22</v>
      </c>
      <c r="E43" t="str">
        <f>"Q"&amp;ROUNDUP(MONTH(Raw_Data!B43)/3,0)</f>
        <v>Q1</v>
      </c>
      <c r="F43" t="str">
        <f>TEXT(Raw_Data!B43,"mmm")</f>
        <v>Jan</v>
      </c>
      <c r="G43" t="str">
        <f>TEXT(Raw_Data!B43,"ddd")</f>
        <v>Mon</v>
      </c>
      <c r="H43" t="str">
        <f>Raw_Data!D43</f>
        <v>Invoiced</v>
      </c>
      <c r="I43" t="str">
        <f>Raw_Data!F43</f>
        <v>Tele-in</v>
      </c>
      <c r="J43" t="str">
        <f>Raw_Data!G43</f>
        <v>Referral-CAM</v>
      </c>
      <c r="K43" t="str">
        <f>IFERROR(VLOOKUP(J43,Source_Assumptions!$A:$C,2,0),"Unmapped")</f>
        <v>Referral</v>
      </c>
      <c r="L43" t="str">
        <f>Raw_Data!H43</f>
        <v>AMAZE Petrol</v>
      </c>
      <c r="M43" t="str">
        <f>IFERROR(VLOOKUP(L43,Model_Assumptions!$A:$D,2,0),"Unmapped")</f>
        <v>Sub-4m Sedan</v>
      </c>
      <c r="N43" t="str">
        <f>IFERROR(VLOOKUP(L43,Model_Assumptions!$A:$D,3,0),"Unmapped")</f>
        <v>Petrol</v>
      </c>
      <c r="O43">
        <f>IFERROR(VLOOKUP(L43,Model_Assumptions!$A:$D,4,0),0)</f>
        <v>850000</v>
      </c>
      <c r="P43">
        <f>IFERROR(VLOOKUP(J43,Source_Assumptions!$A:$C,3,0),0)</f>
        <v>150</v>
      </c>
    </row>
    <row r="44" spans="1:16" x14ac:dyDescent="0.3">
      <c r="A44">
        <f>Raw_Data!A44</f>
        <v>43</v>
      </c>
      <c r="B44" s="2">
        <f>Raw_Data!B44</f>
        <v>44592.577615740702</v>
      </c>
      <c r="C44">
        <f>YEAR(Raw_Data!B44)</f>
        <v>2022</v>
      </c>
      <c r="D44" t="str">
        <f>IF(MONTH(Raw_Data!B44)&gt;=4,YEAR(Raw_Data!B44)&amp;"-"&amp;RIGHT(YEAR(Raw_Data!B44)+1,2),YEAR(Raw_Data!B44)-1&amp;"-"&amp;RIGHT(YEAR(Raw_Data!B44),2))</f>
        <v>2021-22</v>
      </c>
      <c r="E44" t="str">
        <f>"Q"&amp;ROUNDUP(MONTH(Raw_Data!B44)/3,0)</f>
        <v>Q1</v>
      </c>
      <c r="F44" t="str">
        <f>TEXT(Raw_Data!B44,"mmm")</f>
        <v>Jan</v>
      </c>
      <c r="G44" t="str">
        <f>TEXT(Raw_Data!B44,"ddd")</f>
        <v>Mon</v>
      </c>
      <c r="H44" t="str">
        <f>Raw_Data!D44</f>
        <v>Invoiced</v>
      </c>
      <c r="I44" t="str">
        <f>Raw_Data!F44</f>
        <v>Web Lead</v>
      </c>
      <c r="J44" t="str">
        <f>Raw_Data!G44</f>
        <v>Web_CarDekho</v>
      </c>
      <c r="K44" t="str">
        <f>IFERROR(VLOOKUP(J44,Source_Assumptions!$A:$C,2,0),"Unmapped")</f>
        <v>Digital - Aggregator (Paid)</v>
      </c>
      <c r="L44" t="str">
        <f>Raw_Data!H44</f>
        <v>5TH GEN CITY PE</v>
      </c>
      <c r="M44" t="str">
        <f>IFERROR(VLOOKUP(L44,Model_Assumptions!$A:$D,2,0),"Unmapped")</f>
        <v>Mid-size Sedan</v>
      </c>
      <c r="N44" t="str">
        <f>IFERROR(VLOOKUP(L44,Model_Assumptions!$A:$D,3,0),"Unmapped")</f>
        <v>Petrol</v>
      </c>
      <c r="O44">
        <f>IFERROR(VLOOKUP(L44,Model_Assumptions!$A:$D,4,0),0)</f>
        <v>1250000</v>
      </c>
      <c r="P44">
        <f>IFERROR(VLOOKUP(J44,Source_Assumptions!$A:$C,3,0),0)</f>
        <v>900</v>
      </c>
    </row>
    <row r="45" spans="1:16" x14ac:dyDescent="0.3">
      <c r="A45">
        <f>Raw_Data!A45</f>
        <v>44</v>
      </c>
      <c r="B45" s="2">
        <f>Raw_Data!B45</f>
        <v>44592.605844907397</v>
      </c>
      <c r="C45">
        <f>YEAR(Raw_Data!B45)</f>
        <v>2022</v>
      </c>
      <c r="D45" t="str">
        <f>IF(MONTH(Raw_Data!B45)&gt;=4,YEAR(Raw_Data!B45)&amp;"-"&amp;RIGHT(YEAR(Raw_Data!B45)+1,2),YEAR(Raw_Data!B45)-1&amp;"-"&amp;RIGHT(YEAR(Raw_Data!B45),2))</f>
        <v>2021-22</v>
      </c>
      <c r="E45" t="str">
        <f>"Q"&amp;ROUNDUP(MONTH(Raw_Data!B45)/3,0)</f>
        <v>Q1</v>
      </c>
      <c r="F45" t="str">
        <f>TEXT(Raw_Data!B45,"mmm")</f>
        <v>Jan</v>
      </c>
      <c r="G45" t="str">
        <f>TEXT(Raw_Data!B45,"ddd")</f>
        <v>Mon</v>
      </c>
      <c r="H45" t="str">
        <f>Raw_Data!D45</f>
        <v>Invoiced</v>
      </c>
      <c r="I45" t="str">
        <f>Raw_Data!F45</f>
        <v>Tele-in</v>
      </c>
      <c r="J45" t="str">
        <f>Raw_Data!G45</f>
        <v>Referral-CAM</v>
      </c>
      <c r="K45" t="str">
        <f>IFERROR(VLOOKUP(J45,Source_Assumptions!$A:$C,2,0),"Unmapped")</f>
        <v>Referral</v>
      </c>
      <c r="L45" t="str">
        <f>Raw_Data!H45</f>
        <v>CITY PE</v>
      </c>
      <c r="M45" t="str">
        <f>IFERROR(VLOOKUP(L45,Model_Assumptions!$A:$D,2,0),"Unmapped")</f>
        <v>Mid-size Sedan</v>
      </c>
      <c r="N45" t="str">
        <f>IFERROR(VLOOKUP(L45,Model_Assumptions!$A:$D,3,0),"Unmapped")</f>
        <v>Petrol</v>
      </c>
      <c r="O45">
        <f>IFERROR(VLOOKUP(L45,Model_Assumptions!$A:$D,4,0),0)</f>
        <v>1100000</v>
      </c>
      <c r="P45">
        <f>IFERROR(VLOOKUP(J45,Source_Assumptions!$A:$C,3,0),0)</f>
        <v>150</v>
      </c>
    </row>
    <row r="46" spans="1:16" x14ac:dyDescent="0.3">
      <c r="A46">
        <f>Raw_Data!A46</f>
        <v>45</v>
      </c>
      <c r="B46" s="2">
        <f>Raw_Data!B46</f>
        <v>44592.743414351899</v>
      </c>
      <c r="C46">
        <f>YEAR(Raw_Data!B46)</f>
        <v>2022</v>
      </c>
      <c r="D46" t="str">
        <f>IF(MONTH(Raw_Data!B46)&gt;=4,YEAR(Raw_Data!B46)&amp;"-"&amp;RIGHT(YEAR(Raw_Data!B46)+1,2),YEAR(Raw_Data!B46)-1&amp;"-"&amp;RIGHT(YEAR(Raw_Data!B46),2))</f>
        <v>2021-22</v>
      </c>
      <c r="E46" t="str">
        <f>"Q"&amp;ROUNDUP(MONTH(Raw_Data!B46)/3,0)</f>
        <v>Q1</v>
      </c>
      <c r="F46" t="str">
        <f>TEXT(Raw_Data!B46,"mmm")</f>
        <v>Jan</v>
      </c>
      <c r="G46" t="str">
        <f>TEXT(Raw_Data!B46,"ddd")</f>
        <v>Mon</v>
      </c>
      <c r="H46" t="str">
        <f>Raw_Data!D46</f>
        <v>Invoiced</v>
      </c>
      <c r="I46" t="str">
        <f>Raw_Data!F46</f>
        <v>Tele-in</v>
      </c>
      <c r="J46" t="str">
        <f>Raw_Data!G46</f>
        <v>Dealer Webpage Tele-In</v>
      </c>
      <c r="K46" t="str">
        <f>IFERROR(VLOOKUP(J46,Source_Assumptions!$A:$C,2,0),"Unmapped")</f>
        <v>Digital - Owned</v>
      </c>
      <c r="L46" t="str">
        <f>Raw_Data!H46</f>
        <v>5TH GEN CITY PE</v>
      </c>
      <c r="M46" t="str">
        <f>IFERROR(VLOOKUP(L46,Model_Assumptions!$A:$D,2,0),"Unmapped")</f>
        <v>Mid-size Sedan</v>
      </c>
      <c r="N46" t="str">
        <f>IFERROR(VLOOKUP(L46,Model_Assumptions!$A:$D,3,0),"Unmapped")</f>
        <v>Petrol</v>
      </c>
      <c r="O46">
        <f>IFERROR(VLOOKUP(L46,Model_Assumptions!$A:$D,4,0),0)</f>
        <v>1250000</v>
      </c>
      <c r="P46">
        <f>IFERROR(VLOOKUP(J46,Source_Assumptions!$A:$C,3,0),0)</f>
        <v>300</v>
      </c>
    </row>
    <row r="47" spans="1:16" x14ac:dyDescent="0.3">
      <c r="A47">
        <f>Raw_Data!A47</f>
        <v>46</v>
      </c>
      <c r="B47" s="2">
        <f>Raw_Data!B47</f>
        <v>44592.825706018499</v>
      </c>
      <c r="C47">
        <f>YEAR(Raw_Data!B47)</f>
        <v>2022</v>
      </c>
      <c r="D47" t="str">
        <f>IF(MONTH(Raw_Data!B47)&gt;=4,YEAR(Raw_Data!B47)&amp;"-"&amp;RIGHT(YEAR(Raw_Data!B47)+1,2),YEAR(Raw_Data!B47)-1&amp;"-"&amp;RIGHT(YEAR(Raw_Data!B47),2))</f>
        <v>2021-22</v>
      </c>
      <c r="E47" t="str">
        <f>"Q"&amp;ROUNDUP(MONTH(Raw_Data!B47)/3,0)</f>
        <v>Q1</v>
      </c>
      <c r="F47" t="str">
        <f>TEXT(Raw_Data!B47,"mmm")</f>
        <v>Jan</v>
      </c>
      <c r="G47" t="str">
        <f>TEXT(Raw_Data!B47,"ddd")</f>
        <v>Mon</v>
      </c>
      <c r="H47" t="str">
        <f>Raw_Data!D47</f>
        <v>Invoiced</v>
      </c>
      <c r="I47" t="str">
        <f>Raw_Data!F47</f>
        <v>Tele-in</v>
      </c>
      <c r="J47" t="str">
        <f>Raw_Data!G47</f>
        <v>Dealer Webpage Tele-In</v>
      </c>
      <c r="K47" t="str">
        <f>IFERROR(VLOOKUP(J47,Source_Assumptions!$A:$C,2,0),"Unmapped")</f>
        <v>Digital - Owned</v>
      </c>
      <c r="L47" t="str">
        <f>Raw_Data!H47</f>
        <v>5TH GEN CITY PE</v>
      </c>
      <c r="M47" t="str">
        <f>IFERROR(VLOOKUP(L47,Model_Assumptions!$A:$D,2,0),"Unmapped")</f>
        <v>Mid-size Sedan</v>
      </c>
      <c r="N47" t="str">
        <f>IFERROR(VLOOKUP(L47,Model_Assumptions!$A:$D,3,0),"Unmapped")</f>
        <v>Petrol</v>
      </c>
      <c r="O47">
        <f>IFERROR(VLOOKUP(L47,Model_Assumptions!$A:$D,4,0),0)</f>
        <v>1250000</v>
      </c>
      <c r="P47">
        <f>IFERROR(VLOOKUP(J47,Source_Assumptions!$A:$C,3,0),0)</f>
        <v>300</v>
      </c>
    </row>
    <row r="48" spans="1:16" x14ac:dyDescent="0.3">
      <c r="A48">
        <f>Raw_Data!A48</f>
        <v>47</v>
      </c>
      <c r="B48" s="2">
        <f>Raw_Data!B48</f>
        <v>44592.827349537001</v>
      </c>
      <c r="C48">
        <f>YEAR(Raw_Data!B48)</f>
        <v>2022</v>
      </c>
      <c r="D48" t="str">
        <f>IF(MONTH(Raw_Data!B48)&gt;=4,YEAR(Raw_Data!B48)&amp;"-"&amp;RIGHT(YEAR(Raw_Data!B48)+1,2),YEAR(Raw_Data!B48)-1&amp;"-"&amp;RIGHT(YEAR(Raw_Data!B48),2))</f>
        <v>2021-22</v>
      </c>
      <c r="E48" t="str">
        <f>"Q"&amp;ROUNDUP(MONTH(Raw_Data!B48)/3,0)</f>
        <v>Q1</v>
      </c>
      <c r="F48" t="str">
        <f>TEXT(Raw_Data!B48,"mmm")</f>
        <v>Jan</v>
      </c>
      <c r="G48" t="str">
        <f>TEXT(Raw_Data!B48,"ddd")</f>
        <v>Mon</v>
      </c>
      <c r="H48" t="str">
        <f>Raw_Data!D48</f>
        <v>Invoiced</v>
      </c>
      <c r="I48" t="str">
        <f>Raw_Data!F48</f>
        <v>SMS/ Tele-Out</v>
      </c>
      <c r="J48" t="str">
        <f>Raw_Data!G48</f>
        <v>Database Activity(Teleout/SMS)</v>
      </c>
      <c r="K48" t="str">
        <f>IFERROR(VLOOKUP(J48,Source_Assumptions!$A:$C,2,0),"Unmapped")</f>
        <v>Outbound/Database</v>
      </c>
      <c r="L48" t="str">
        <f>Raw_Data!H48</f>
        <v>AMAZE Diesel</v>
      </c>
      <c r="M48" t="str">
        <f>IFERROR(VLOOKUP(L48,Model_Assumptions!$A:$D,2,0),"Unmapped")</f>
        <v>Sub-4m Sedan</v>
      </c>
      <c r="N48" t="str">
        <f>IFERROR(VLOOKUP(L48,Model_Assumptions!$A:$D,3,0),"Unmapped")</f>
        <v>Diesel</v>
      </c>
      <c r="O48">
        <f>IFERROR(VLOOKUP(L48,Model_Assumptions!$A:$D,4,0),0)</f>
        <v>950000</v>
      </c>
      <c r="P48">
        <f>IFERROR(VLOOKUP(J48,Source_Assumptions!$A:$C,3,0),0)</f>
        <v>250</v>
      </c>
    </row>
    <row r="49" spans="1:16" x14ac:dyDescent="0.3">
      <c r="A49">
        <f>Raw_Data!A49</f>
        <v>48</v>
      </c>
      <c r="B49" s="2">
        <f>Raw_Data!B49</f>
        <v>44592.8294328704</v>
      </c>
      <c r="C49">
        <f>YEAR(Raw_Data!B49)</f>
        <v>2022</v>
      </c>
      <c r="D49" t="str">
        <f>IF(MONTH(Raw_Data!B49)&gt;=4,YEAR(Raw_Data!B49)&amp;"-"&amp;RIGHT(YEAR(Raw_Data!B49)+1,2),YEAR(Raw_Data!B49)-1&amp;"-"&amp;RIGHT(YEAR(Raw_Data!B49),2))</f>
        <v>2021-22</v>
      </c>
      <c r="E49" t="str">
        <f>"Q"&amp;ROUNDUP(MONTH(Raw_Data!B49)/3,0)</f>
        <v>Q1</v>
      </c>
      <c r="F49" t="str">
        <f>TEXT(Raw_Data!B49,"mmm")</f>
        <v>Jan</v>
      </c>
      <c r="G49" t="str">
        <f>TEXT(Raw_Data!B49,"ddd")</f>
        <v>Mon</v>
      </c>
      <c r="H49" t="str">
        <f>Raw_Data!D49</f>
        <v>Invoiced</v>
      </c>
      <c r="I49" t="str">
        <f>Raw_Data!F49</f>
        <v>Tele-in</v>
      </c>
      <c r="J49" t="str">
        <f>Raw_Data!G49</f>
        <v>Referral-CAM</v>
      </c>
      <c r="K49" t="str">
        <f>IFERROR(VLOOKUP(J49,Source_Assumptions!$A:$C,2,0),"Unmapped")</f>
        <v>Referral</v>
      </c>
      <c r="L49" t="str">
        <f>Raw_Data!H49</f>
        <v>AMAZE Petrol</v>
      </c>
      <c r="M49" t="str">
        <f>IFERROR(VLOOKUP(L49,Model_Assumptions!$A:$D,2,0),"Unmapped")</f>
        <v>Sub-4m Sedan</v>
      </c>
      <c r="N49" t="str">
        <f>IFERROR(VLOOKUP(L49,Model_Assumptions!$A:$D,3,0),"Unmapped")</f>
        <v>Petrol</v>
      </c>
      <c r="O49">
        <f>IFERROR(VLOOKUP(L49,Model_Assumptions!$A:$D,4,0),0)</f>
        <v>850000</v>
      </c>
      <c r="P49">
        <f>IFERROR(VLOOKUP(J49,Source_Assumptions!$A:$C,3,0),0)</f>
        <v>150</v>
      </c>
    </row>
    <row r="50" spans="1:16" x14ac:dyDescent="0.3">
      <c r="A50">
        <f>Raw_Data!A50</f>
        <v>49</v>
      </c>
      <c r="B50" s="2">
        <f>Raw_Data!B50</f>
        <v>44592.830729166701</v>
      </c>
      <c r="C50">
        <f>YEAR(Raw_Data!B50)</f>
        <v>2022</v>
      </c>
      <c r="D50" t="str">
        <f>IF(MONTH(Raw_Data!B50)&gt;=4,YEAR(Raw_Data!B50)&amp;"-"&amp;RIGHT(YEAR(Raw_Data!B50)+1,2),YEAR(Raw_Data!B50)-1&amp;"-"&amp;RIGHT(YEAR(Raw_Data!B50),2))</f>
        <v>2021-22</v>
      </c>
      <c r="E50" t="str">
        <f>"Q"&amp;ROUNDUP(MONTH(Raw_Data!B50)/3,0)</f>
        <v>Q1</v>
      </c>
      <c r="F50" t="str">
        <f>TEXT(Raw_Data!B50,"mmm")</f>
        <v>Jan</v>
      </c>
      <c r="G50" t="str">
        <f>TEXT(Raw_Data!B50,"ddd")</f>
        <v>Mon</v>
      </c>
      <c r="H50" t="str">
        <f>Raw_Data!D50</f>
        <v>Invoiced</v>
      </c>
      <c r="I50" t="str">
        <f>Raw_Data!F50</f>
        <v>Tele-in</v>
      </c>
      <c r="J50" t="str">
        <f>Raw_Data!G50</f>
        <v>Referral-CAM</v>
      </c>
      <c r="K50" t="str">
        <f>IFERROR(VLOOKUP(J50,Source_Assumptions!$A:$C,2,0),"Unmapped")</f>
        <v>Referral</v>
      </c>
      <c r="L50" t="str">
        <f>Raw_Data!H50</f>
        <v>5TH GEN CITY PE</v>
      </c>
      <c r="M50" t="str">
        <f>IFERROR(VLOOKUP(L50,Model_Assumptions!$A:$D,2,0),"Unmapped")</f>
        <v>Mid-size Sedan</v>
      </c>
      <c r="N50" t="str">
        <f>IFERROR(VLOOKUP(L50,Model_Assumptions!$A:$D,3,0),"Unmapped")</f>
        <v>Petrol</v>
      </c>
      <c r="O50">
        <f>IFERROR(VLOOKUP(L50,Model_Assumptions!$A:$D,4,0),0)</f>
        <v>1250000</v>
      </c>
      <c r="P50">
        <f>IFERROR(VLOOKUP(J50,Source_Assumptions!$A:$C,3,0),0)</f>
        <v>150</v>
      </c>
    </row>
    <row r="51" spans="1:16" x14ac:dyDescent="0.3">
      <c r="A51">
        <f>Raw_Data!A51</f>
        <v>50</v>
      </c>
      <c r="B51" s="2">
        <f>Raw_Data!B51</f>
        <v>44592.831898148201</v>
      </c>
      <c r="C51">
        <f>YEAR(Raw_Data!B51)</f>
        <v>2022</v>
      </c>
      <c r="D51" t="str">
        <f>IF(MONTH(Raw_Data!B51)&gt;=4,YEAR(Raw_Data!B51)&amp;"-"&amp;RIGHT(YEAR(Raw_Data!B51)+1,2),YEAR(Raw_Data!B51)-1&amp;"-"&amp;RIGHT(YEAR(Raw_Data!B51),2))</f>
        <v>2021-22</v>
      </c>
      <c r="E51" t="str">
        <f>"Q"&amp;ROUNDUP(MONTH(Raw_Data!B51)/3,0)</f>
        <v>Q1</v>
      </c>
      <c r="F51" t="str">
        <f>TEXT(Raw_Data!B51,"mmm")</f>
        <v>Jan</v>
      </c>
      <c r="G51" t="str">
        <f>TEXT(Raw_Data!B51,"ddd")</f>
        <v>Mon</v>
      </c>
      <c r="H51" t="str">
        <f>Raw_Data!D51</f>
        <v>Invoiced</v>
      </c>
      <c r="I51" t="str">
        <f>Raw_Data!F51</f>
        <v>Tele-in</v>
      </c>
      <c r="J51" t="str">
        <f>Raw_Data!G51</f>
        <v>Referral-CAM</v>
      </c>
      <c r="K51" t="str">
        <f>IFERROR(VLOOKUP(J51,Source_Assumptions!$A:$C,2,0),"Unmapped")</f>
        <v>Referral</v>
      </c>
      <c r="L51" t="str">
        <f>Raw_Data!H51</f>
        <v>5TH GEN CITY PE</v>
      </c>
      <c r="M51" t="str">
        <f>IFERROR(VLOOKUP(L51,Model_Assumptions!$A:$D,2,0),"Unmapped")</f>
        <v>Mid-size Sedan</v>
      </c>
      <c r="N51" t="str">
        <f>IFERROR(VLOOKUP(L51,Model_Assumptions!$A:$D,3,0),"Unmapped")</f>
        <v>Petrol</v>
      </c>
      <c r="O51">
        <f>IFERROR(VLOOKUP(L51,Model_Assumptions!$A:$D,4,0),0)</f>
        <v>1250000</v>
      </c>
      <c r="P51">
        <f>IFERROR(VLOOKUP(J51,Source_Assumptions!$A:$C,3,0),0)</f>
        <v>150</v>
      </c>
    </row>
    <row r="52" spans="1:16" x14ac:dyDescent="0.3">
      <c r="A52">
        <f>Raw_Data!A52</f>
        <v>51</v>
      </c>
      <c r="B52" s="2">
        <f>Raw_Data!B52</f>
        <v>44592.833275463003</v>
      </c>
      <c r="C52">
        <f>YEAR(Raw_Data!B52)</f>
        <v>2022</v>
      </c>
      <c r="D52" t="str">
        <f>IF(MONTH(Raw_Data!B52)&gt;=4,YEAR(Raw_Data!B52)&amp;"-"&amp;RIGHT(YEAR(Raw_Data!B52)+1,2),YEAR(Raw_Data!B52)-1&amp;"-"&amp;RIGHT(YEAR(Raw_Data!B52),2))</f>
        <v>2021-22</v>
      </c>
      <c r="E52" t="str">
        <f>"Q"&amp;ROUNDUP(MONTH(Raw_Data!B52)/3,0)</f>
        <v>Q1</v>
      </c>
      <c r="F52" t="str">
        <f>TEXT(Raw_Data!B52,"mmm")</f>
        <v>Jan</v>
      </c>
      <c r="G52" t="str">
        <f>TEXT(Raw_Data!B52,"ddd")</f>
        <v>Mon</v>
      </c>
      <c r="H52" t="str">
        <f>Raw_Data!D52</f>
        <v>Invoiced</v>
      </c>
      <c r="I52" t="str">
        <f>Raw_Data!F52</f>
        <v>Walk-in Showroom</v>
      </c>
      <c r="J52" t="str">
        <f>Raw_Data!G52</f>
        <v>Adver. (TVC/Print/Hoarding/FM)</v>
      </c>
      <c r="K52" t="str">
        <f>IFERROR(VLOOKUP(J52,Source_Assumptions!$A:$C,2,0),"Unmapped")</f>
        <v>Traditional Advertising</v>
      </c>
      <c r="L52" t="str">
        <f>Raw_Data!H52</f>
        <v>5TH GEN CITY PE</v>
      </c>
      <c r="M52" t="str">
        <f>IFERROR(VLOOKUP(L52,Model_Assumptions!$A:$D,2,0),"Unmapped")</f>
        <v>Mid-size Sedan</v>
      </c>
      <c r="N52" t="str">
        <f>IFERROR(VLOOKUP(L52,Model_Assumptions!$A:$D,3,0),"Unmapped")</f>
        <v>Petrol</v>
      </c>
      <c r="O52">
        <f>IFERROR(VLOOKUP(L52,Model_Assumptions!$A:$D,4,0),0)</f>
        <v>1250000</v>
      </c>
      <c r="P52">
        <f>IFERROR(VLOOKUP(J52,Source_Assumptions!$A:$C,3,0),0)</f>
        <v>1200</v>
      </c>
    </row>
    <row r="53" spans="1:16" x14ac:dyDescent="0.3">
      <c r="A53">
        <f>Raw_Data!A53</f>
        <v>52</v>
      </c>
      <c r="B53" s="2">
        <f>Raw_Data!B53</f>
        <v>44592.855381944399</v>
      </c>
      <c r="C53">
        <f>YEAR(Raw_Data!B53)</f>
        <v>2022</v>
      </c>
      <c r="D53" t="str">
        <f>IF(MONTH(Raw_Data!B53)&gt;=4,YEAR(Raw_Data!B53)&amp;"-"&amp;RIGHT(YEAR(Raw_Data!B53)+1,2),YEAR(Raw_Data!B53)-1&amp;"-"&amp;RIGHT(YEAR(Raw_Data!B53),2))</f>
        <v>2021-22</v>
      </c>
      <c r="E53" t="str">
        <f>"Q"&amp;ROUNDUP(MONTH(Raw_Data!B53)/3,0)</f>
        <v>Q1</v>
      </c>
      <c r="F53" t="str">
        <f>TEXT(Raw_Data!B53,"mmm")</f>
        <v>Jan</v>
      </c>
      <c r="G53" t="str">
        <f>TEXT(Raw_Data!B53,"ddd")</f>
        <v>Mon</v>
      </c>
      <c r="H53" t="str">
        <f>Raw_Data!D53</f>
        <v>Invoiced</v>
      </c>
      <c r="I53" t="str">
        <f>Raw_Data!F53</f>
        <v>Tele-in</v>
      </c>
      <c r="J53" t="str">
        <f>Raw_Data!G53</f>
        <v>Dealer Webpage Tele-In</v>
      </c>
      <c r="K53" t="str">
        <f>IFERROR(VLOOKUP(J53,Source_Assumptions!$A:$C,2,0),"Unmapped")</f>
        <v>Digital - Owned</v>
      </c>
      <c r="L53" t="str">
        <f>Raw_Data!H53</f>
        <v>5TH GEN CITY PE</v>
      </c>
      <c r="M53" t="str">
        <f>IFERROR(VLOOKUP(L53,Model_Assumptions!$A:$D,2,0),"Unmapped")</f>
        <v>Mid-size Sedan</v>
      </c>
      <c r="N53" t="str">
        <f>IFERROR(VLOOKUP(L53,Model_Assumptions!$A:$D,3,0),"Unmapped")</f>
        <v>Petrol</v>
      </c>
      <c r="O53">
        <f>IFERROR(VLOOKUP(L53,Model_Assumptions!$A:$D,4,0),0)</f>
        <v>1250000</v>
      </c>
      <c r="P53">
        <f>IFERROR(VLOOKUP(J53,Source_Assumptions!$A:$C,3,0),0)</f>
        <v>300</v>
      </c>
    </row>
    <row r="54" spans="1:16" x14ac:dyDescent="0.3">
      <c r="A54">
        <f>Raw_Data!A54</f>
        <v>53</v>
      </c>
      <c r="B54" s="2">
        <f>Raw_Data!B54</f>
        <v>44596.6275231482</v>
      </c>
      <c r="C54">
        <f>YEAR(Raw_Data!B54)</f>
        <v>2022</v>
      </c>
      <c r="D54" t="str">
        <f>IF(MONTH(Raw_Data!B54)&gt;=4,YEAR(Raw_Data!B54)&amp;"-"&amp;RIGHT(YEAR(Raw_Data!B54)+1,2),YEAR(Raw_Data!B54)-1&amp;"-"&amp;RIGHT(YEAR(Raw_Data!B54),2))</f>
        <v>2021-22</v>
      </c>
      <c r="E54" t="str">
        <f>"Q"&amp;ROUNDUP(MONTH(Raw_Data!B54)/3,0)</f>
        <v>Q1</v>
      </c>
      <c r="F54" t="str">
        <f>TEXT(Raw_Data!B54,"mmm")</f>
        <v>Feb</v>
      </c>
      <c r="G54" t="str">
        <f>TEXT(Raw_Data!B54,"ddd")</f>
        <v>Fri</v>
      </c>
      <c r="H54" t="str">
        <f>Raw_Data!D54</f>
        <v>Invoiced</v>
      </c>
      <c r="I54" t="str">
        <f>Raw_Data!F54</f>
        <v>Tele-in</v>
      </c>
      <c r="J54" t="str">
        <f>Raw_Data!G54</f>
        <v>Dealer Webpage Tele-In</v>
      </c>
      <c r="K54" t="str">
        <f>IFERROR(VLOOKUP(J54,Source_Assumptions!$A:$C,2,0),"Unmapped")</f>
        <v>Digital - Owned</v>
      </c>
      <c r="L54" t="str">
        <f>Raw_Data!H54</f>
        <v>5TH GEN CITY PE</v>
      </c>
      <c r="M54" t="str">
        <f>IFERROR(VLOOKUP(L54,Model_Assumptions!$A:$D,2,0),"Unmapped")</f>
        <v>Mid-size Sedan</v>
      </c>
      <c r="N54" t="str">
        <f>IFERROR(VLOOKUP(L54,Model_Assumptions!$A:$D,3,0),"Unmapped")</f>
        <v>Petrol</v>
      </c>
      <c r="O54">
        <f>IFERROR(VLOOKUP(L54,Model_Assumptions!$A:$D,4,0),0)</f>
        <v>1250000</v>
      </c>
      <c r="P54">
        <f>IFERROR(VLOOKUP(J54,Source_Assumptions!$A:$C,3,0),0)</f>
        <v>300</v>
      </c>
    </row>
    <row r="55" spans="1:16" x14ac:dyDescent="0.3">
      <c r="A55">
        <f>Raw_Data!A55</f>
        <v>54</v>
      </c>
      <c r="B55" s="2">
        <f>Raw_Data!B55</f>
        <v>44596.718148148197</v>
      </c>
      <c r="C55">
        <f>YEAR(Raw_Data!B55)</f>
        <v>2022</v>
      </c>
      <c r="D55" t="str">
        <f>IF(MONTH(Raw_Data!B55)&gt;=4,YEAR(Raw_Data!B55)&amp;"-"&amp;RIGHT(YEAR(Raw_Data!B55)+1,2),YEAR(Raw_Data!B55)-1&amp;"-"&amp;RIGHT(YEAR(Raw_Data!B55),2))</f>
        <v>2021-22</v>
      </c>
      <c r="E55" t="str">
        <f>"Q"&amp;ROUNDUP(MONTH(Raw_Data!B55)/3,0)</f>
        <v>Q1</v>
      </c>
      <c r="F55" t="str">
        <f>TEXT(Raw_Data!B55,"mmm")</f>
        <v>Feb</v>
      </c>
      <c r="G55" t="str">
        <f>TEXT(Raw_Data!B55,"ddd")</f>
        <v>Fri</v>
      </c>
      <c r="H55" t="str">
        <f>Raw_Data!D55</f>
        <v>Invoiced</v>
      </c>
      <c r="I55" t="str">
        <f>Raw_Data!F55</f>
        <v>Tele-in</v>
      </c>
      <c r="J55" t="str">
        <f>Raw_Data!G55</f>
        <v>Dealer Webpage Tele-In</v>
      </c>
      <c r="K55" t="str">
        <f>IFERROR(VLOOKUP(J55,Source_Assumptions!$A:$C,2,0),"Unmapped")</f>
        <v>Digital - Owned</v>
      </c>
      <c r="L55" t="str">
        <f>Raw_Data!H55</f>
        <v>JAZZ PE</v>
      </c>
      <c r="M55" t="str">
        <f>IFERROR(VLOOKUP(L55,Model_Assumptions!$A:$D,2,0),"Unmapped")</f>
        <v>Hatchback</v>
      </c>
      <c r="N55" t="str">
        <f>IFERROR(VLOOKUP(L55,Model_Assumptions!$A:$D,3,0),"Unmapped")</f>
        <v>Petrol</v>
      </c>
      <c r="O55">
        <f>IFERROR(VLOOKUP(L55,Model_Assumptions!$A:$D,4,0),0)</f>
        <v>800000</v>
      </c>
      <c r="P55">
        <f>IFERROR(VLOOKUP(J55,Source_Assumptions!$A:$C,3,0),0)</f>
        <v>300</v>
      </c>
    </row>
    <row r="56" spans="1:16" x14ac:dyDescent="0.3">
      <c r="A56">
        <f>Raw_Data!A56</f>
        <v>55</v>
      </c>
      <c r="B56" s="2">
        <f>Raw_Data!B56</f>
        <v>44597.458530092597</v>
      </c>
      <c r="C56">
        <f>YEAR(Raw_Data!B56)</f>
        <v>2022</v>
      </c>
      <c r="D56" t="str">
        <f>IF(MONTH(Raw_Data!B56)&gt;=4,YEAR(Raw_Data!B56)&amp;"-"&amp;RIGHT(YEAR(Raw_Data!B56)+1,2),YEAR(Raw_Data!B56)-1&amp;"-"&amp;RIGHT(YEAR(Raw_Data!B56),2))</f>
        <v>2021-22</v>
      </c>
      <c r="E56" t="str">
        <f>"Q"&amp;ROUNDUP(MONTH(Raw_Data!B56)/3,0)</f>
        <v>Q1</v>
      </c>
      <c r="F56" t="str">
        <f>TEXT(Raw_Data!B56,"mmm")</f>
        <v>Feb</v>
      </c>
      <c r="G56" t="str">
        <f>TEXT(Raw_Data!B56,"ddd")</f>
        <v>Sat</v>
      </c>
      <c r="H56" t="str">
        <f>Raw_Data!D56</f>
        <v>Invoiced</v>
      </c>
      <c r="I56" t="str">
        <f>Raw_Data!F56</f>
        <v>Web Lead</v>
      </c>
      <c r="J56" t="str">
        <f>Raw_Data!G56</f>
        <v>Web_CarDekho</v>
      </c>
      <c r="K56" t="str">
        <f>IFERROR(VLOOKUP(J56,Source_Assumptions!$A:$C,2,0),"Unmapped")</f>
        <v>Digital - Aggregator (Paid)</v>
      </c>
      <c r="L56" t="str">
        <f>Raw_Data!H56</f>
        <v>5TH GEN CITY PE</v>
      </c>
      <c r="M56" t="str">
        <f>IFERROR(VLOOKUP(L56,Model_Assumptions!$A:$D,2,0),"Unmapped")</f>
        <v>Mid-size Sedan</v>
      </c>
      <c r="N56" t="str">
        <f>IFERROR(VLOOKUP(L56,Model_Assumptions!$A:$D,3,0),"Unmapped")</f>
        <v>Petrol</v>
      </c>
      <c r="O56">
        <f>IFERROR(VLOOKUP(L56,Model_Assumptions!$A:$D,4,0),0)</f>
        <v>1250000</v>
      </c>
      <c r="P56">
        <f>IFERROR(VLOOKUP(J56,Source_Assumptions!$A:$C,3,0),0)</f>
        <v>900</v>
      </c>
    </row>
    <row r="57" spans="1:16" x14ac:dyDescent="0.3">
      <c r="A57">
        <f>Raw_Data!A57</f>
        <v>56</v>
      </c>
      <c r="B57" s="2">
        <f>Raw_Data!B57</f>
        <v>44600.601342592599</v>
      </c>
      <c r="C57">
        <f>YEAR(Raw_Data!B57)</f>
        <v>2022</v>
      </c>
      <c r="D57" t="str">
        <f>IF(MONTH(Raw_Data!B57)&gt;=4,YEAR(Raw_Data!B57)&amp;"-"&amp;RIGHT(YEAR(Raw_Data!B57)+1,2),YEAR(Raw_Data!B57)-1&amp;"-"&amp;RIGHT(YEAR(Raw_Data!B57),2))</f>
        <v>2021-22</v>
      </c>
      <c r="E57" t="str">
        <f>"Q"&amp;ROUNDUP(MONTH(Raw_Data!B57)/3,0)</f>
        <v>Q1</v>
      </c>
      <c r="F57" t="str">
        <f>TEXT(Raw_Data!B57,"mmm")</f>
        <v>Feb</v>
      </c>
      <c r="G57" t="str">
        <f>TEXT(Raw_Data!B57,"ddd")</f>
        <v>Tue</v>
      </c>
      <c r="H57" t="str">
        <f>Raw_Data!D57</f>
        <v>Invoiced</v>
      </c>
      <c r="I57" t="str">
        <f>Raw_Data!F57</f>
        <v>Tele-in</v>
      </c>
      <c r="J57" t="str">
        <f>Raw_Data!G57</f>
        <v>Referral-CAM</v>
      </c>
      <c r="K57" t="str">
        <f>IFERROR(VLOOKUP(J57,Source_Assumptions!$A:$C,2,0),"Unmapped")</f>
        <v>Referral</v>
      </c>
      <c r="L57" t="str">
        <f>Raw_Data!H57</f>
        <v>5TH GEN CITY PE</v>
      </c>
      <c r="M57" t="str">
        <f>IFERROR(VLOOKUP(L57,Model_Assumptions!$A:$D,2,0),"Unmapped")</f>
        <v>Mid-size Sedan</v>
      </c>
      <c r="N57" t="str">
        <f>IFERROR(VLOOKUP(L57,Model_Assumptions!$A:$D,3,0),"Unmapped")</f>
        <v>Petrol</v>
      </c>
      <c r="O57">
        <f>IFERROR(VLOOKUP(L57,Model_Assumptions!$A:$D,4,0),0)</f>
        <v>1250000</v>
      </c>
      <c r="P57">
        <f>IFERROR(VLOOKUP(J57,Source_Assumptions!$A:$C,3,0),0)</f>
        <v>150</v>
      </c>
    </row>
    <row r="58" spans="1:16" x14ac:dyDescent="0.3">
      <c r="A58">
        <f>Raw_Data!A58</f>
        <v>57</v>
      </c>
      <c r="B58" s="2">
        <f>Raw_Data!B58</f>
        <v>44601.692638888897</v>
      </c>
      <c r="C58">
        <f>YEAR(Raw_Data!B58)</f>
        <v>2022</v>
      </c>
      <c r="D58" t="str">
        <f>IF(MONTH(Raw_Data!B58)&gt;=4,YEAR(Raw_Data!B58)&amp;"-"&amp;RIGHT(YEAR(Raw_Data!B58)+1,2),YEAR(Raw_Data!B58)-1&amp;"-"&amp;RIGHT(YEAR(Raw_Data!B58),2))</f>
        <v>2021-22</v>
      </c>
      <c r="E58" t="str">
        <f>"Q"&amp;ROUNDUP(MONTH(Raw_Data!B58)/3,0)</f>
        <v>Q1</v>
      </c>
      <c r="F58" t="str">
        <f>TEXT(Raw_Data!B58,"mmm")</f>
        <v>Feb</v>
      </c>
      <c r="G58" t="str">
        <f>TEXT(Raw_Data!B58,"ddd")</f>
        <v>Wed</v>
      </c>
      <c r="H58" t="str">
        <f>Raw_Data!D58</f>
        <v>Invoiced</v>
      </c>
      <c r="I58" t="str">
        <f>Raw_Data!F58</f>
        <v>Web Lead</v>
      </c>
      <c r="J58" t="str">
        <f>Raw_Data!G58</f>
        <v>Web</v>
      </c>
      <c r="K58" t="str">
        <f>IFERROR(VLOOKUP(J58,Source_Assumptions!$A:$C,2,0),"Unmapped")</f>
        <v>Digital - Owned</v>
      </c>
      <c r="L58" t="str">
        <f>Raw_Data!H58</f>
        <v>5TH GEN CITY PE</v>
      </c>
      <c r="M58" t="str">
        <f>IFERROR(VLOOKUP(L58,Model_Assumptions!$A:$D,2,0),"Unmapped")</f>
        <v>Mid-size Sedan</v>
      </c>
      <c r="N58" t="str">
        <f>IFERROR(VLOOKUP(L58,Model_Assumptions!$A:$D,3,0),"Unmapped")</f>
        <v>Petrol</v>
      </c>
      <c r="O58">
        <f>IFERROR(VLOOKUP(L58,Model_Assumptions!$A:$D,4,0),0)</f>
        <v>1250000</v>
      </c>
      <c r="P58">
        <f>IFERROR(VLOOKUP(J58,Source_Assumptions!$A:$C,3,0),0)</f>
        <v>300</v>
      </c>
    </row>
    <row r="59" spans="1:16" x14ac:dyDescent="0.3">
      <c r="A59">
        <f>Raw_Data!A59</f>
        <v>58</v>
      </c>
      <c r="B59" s="2">
        <f>Raw_Data!B59</f>
        <v>44602.6473148148</v>
      </c>
      <c r="C59">
        <f>YEAR(Raw_Data!B59)</f>
        <v>2022</v>
      </c>
      <c r="D59" t="str">
        <f>IF(MONTH(Raw_Data!B59)&gt;=4,YEAR(Raw_Data!B59)&amp;"-"&amp;RIGHT(YEAR(Raw_Data!B59)+1,2),YEAR(Raw_Data!B59)-1&amp;"-"&amp;RIGHT(YEAR(Raw_Data!B59),2))</f>
        <v>2021-22</v>
      </c>
      <c r="E59" t="str">
        <f>"Q"&amp;ROUNDUP(MONTH(Raw_Data!B59)/3,0)</f>
        <v>Q1</v>
      </c>
      <c r="F59" t="str">
        <f>TEXT(Raw_Data!B59,"mmm")</f>
        <v>Feb</v>
      </c>
      <c r="G59" t="str">
        <f>TEXT(Raw_Data!B59,"ddd")</f>
        <v>Thu</v>
      </c>
      <c r="H59" t="str">
        <f>Raw_Data!D59</f>
        <v>Invoiced</v>
      </c>
      <c r="I59" t="str">
        <f>Raw_Data!F59</f>
        <v>Tele-in</v>
      </c>
      <c r="J59" t="str">
        <f>Raw_Data!G59</f>
        <v>Adver. (TVC/Print/Hoarding/FM)</v>
      </c>
      <c r="K59" t="str">
        <f>IFERROR(VLOOKUP(J59,Source_Assumptions!$A:$C,2,0),"Unmapped")</f>
        <v>Traditional Advertising</v>
      </c>
      <c r="L59" t="str">
        <f>Raw_Data!H59</f>
        <v>AMAZE Petrol</v>
      </c>
      <c r="M59" t="str">
        <f>IFERROR(VLOOKUP(L59,Model_Assumptions!$A:$D,2,0),"Unmapped")</f>
        <v>Sub-4m Sedan</v>
      </c>
      <c r="N59" t="str">
        <f>IFERROR(VLOOKUP(L59,Model_Assumptions!$A:$D,3,0),"Unmapped")</f>
        <v>Petrol</v>
      </c>
      <c r="O59">
        <f>IFERROR(VLOOKUP(L59,Model_Assumptions!$A:$D,4,0),0)</f>
        <v>850000</v>
      </c>
      <c r="P59">
        <f>IFERROR(VLOOKUP(J59,Source_Assumptions!$A:$C,3,0),0)</f>
        <v>1200</v>
      </c>
    </row>
    <row r="60" spans="1:16" x14ac:dyDescent="0.3">
      <c r="A60">
        <f>Raw_Data!A60</f>
        <v>59</v>
      </c>
      <c r="B60" s="2">
        <f>Raw_Data!B60</f>
        <v>44606.5213657407</v>
      </c>
      <c r="C60">
        <f>YEAR(Raw_Data!B60)</f>
        <v>2022</v>
      </c>
      <c r="D60" t="str">
        <f>IF(MONTH(Raw_Data!B60)&gt;=4,YEAR(Raw_Data!B60)&amp;"-"&amp;RIGHT(YEAR(Raw_Data!B60)+1,2),YEAR(Raw_Data!B60)-1&amp;"-"&amp;RIGHT(YEAR(Raw_Data!B60),2))</f>
        <v>2021-22</v>
      </c>
      <c r="E60" t="str">
        <f>"Q"&amp;ROUNDUP(MONTH(Raw_Data!B60)/3,0)</f>
        <v>Q1</v>
      </c>
      <c r="F60" t="str">
        <f>TEXT(Raw_Data!B60,"mmm")</f>
        <v>Feb</v>
      </c>
      <c r="G60" t="str">
        <f>TEXT(Raw_Data!B60,"ddd")</f>
        <v>Mon</v>
      </c>
      <c r="H60" t="str">
        <f>Raw_Data!D60</f>
        <v>Invoiced</v>
      </c>
      <c r="I60" t="str">
        <f>Raw_Data!F60</f>
        <v>Tele-in</v>
      </c>
      <c r="J60" t="str">
        <f>Raw_Data!G60</f>
        <v>Dealer Webpage Tele-In</v>
      </c>
      <c r="K60" t="str">
        <f>IFERROR(VLOOKUP(J60,Source_Assumptions!$A:$C,2,0),"Unmapped")</f>
        <v>Digital - Owned</v>
      </c>
      <c r="L60" t="str">
        <f>Raw_Data!H60</f>
        <v>5TH GEN CITY PE</v>
      </c>
      <c r="M60" t="str">
        <f>IFERROR(VLOOKUP(L60,Model_Assumptions!$A:$D,2,0),"Unmapped")</f>
        <v>Mid-size Sedan</v>
      </c>
      <c r="N60" t="str">
        <f>IFERROR(VLOOKUP(L60,Model_Assumptions!$A:$D,3,0),"Unmapped")</f>
        <v>Petrol</v>
      </c>
      <c r="O60">
        <f>IFERROR(VLOOKUP(L60,Model_Assumptions!$A:$D,4,0),0)</f>
        <v>1250000</v>
      </c>
      <c r="P60">
        <f>IFERROR(VLOOKUP(J60,Source_Assumptions!$A:$C,3,0),0)</f>
        <v>300</v>
      </c>
    </row>
    <row r="61" spans="1:16" x14ac:dyDescent="0.3">
      <c r="A61">
        <f>Raw_Data!A61</f>
        <v>60</v>
      </c>
      <c r="B61" s="2">
        <f>Raw_Data!B61</f>
        <v>44607.494791666701</v>
      </c>
      <c r="C61">
        <f>YEAR(Raw_Data!B61)</f>
        <v>2022</v>
      </c>
      <c r="D61" t="str">
        <f>IF(MONTH(Raw_Data!B61)&gt;=4,YEAR(Raw_Data!B61)&amp;"-"&amp;RIGHT(YEAR(Raw_Data!B61)+1,2),YEAR(Raw_Data!B61)-1&amp;"-"&amp;RIGHT(YEAR(Raw_Data!B61),2))</f>
        <v>2021-22</v>
      </c>
      <c r="E61" t="str">
        <f>"Q"&amp;ROUNDUP(MONTH(Raw_Data!B61)/3,0)</f>
        <v>Q1</v>
      </c>
      <c r="F61" t="str">
        <f>TEXT(Raw_Data!B61,"mmm")</f>
        <v>Feb</v>
      </c>
      <c r="G61" t="str">
        <f>TEXT(Raw_Data!B61,"ddd")</f>
        <v>Tue</v>
      </c>
      <c r="H61" t="str">
        <f>Raw_Data!D61</f>
        <v>Invoiced</v>
      </c>
      <c r="I61" t="str">
        <f>Raw_Data!F61</f>
        <v>SMS/ Tele-Out</v>
      </c>
      <c r="J61" t="str">
        <f>Raw_Data!G61</f>
        <v>Database Activity(Teleout/SMS)</v>
      </c>
      <c r="K61" t="str">
        <f>IFERROR(VLOOKUP(J61,Source_Assumptions!$A:$C,2,0),"Unmapped")</f>
        <v>Outbound/Database</v>
      </c>
      <c r="L61" t="str">
        <f>Raw_Data!H61</f>
        <v>5TH GEN CITY PE</v>
      </c>
      <c r="M61" t="str">
        <f>IFERROR(VLOOKUP(L61,Model_Assumptions!$A:$D,2,0),"Unmapped")</f>
        <v>Mid-size Sedan</v>
      </c>
      <c r="N61" t="str">
        <f>IFERROR(VLOOKUP(L61,Model_Assumptions!$A:$D,3,0),"Unmapped")</f>
        <v>Petrol</v>
      </c>
      <c r="O61">
        <f>IFERROR(VLOOKUP(L61,Model_Assumptions!$A:$D,4,0),0)</f>
        <v>1250000</v>
      </c>
      <c r="P61">
        <f>IFERROR(VLOOKUP(J61,Source_Assumptions!$A:$C,3,0),0)</f>
        <v>250</v>
      </c>
    </row>
    <row r="62" spans="1:16" x14ac:dyDescent="0.3">
      <c r="A62">
        <f>Raw_Data!A62</f>
        <v>61</v>
      </c>
      <c r="B62" s="2">
        <f>Raw_Data!B62</f>
        <v>44607.530682870398</v>
      </c>
      <c r="C62">
        <f>YEAR(Raw_Data!B62)</f>
        <v>2022</v>
      </c>
      <c r="D62" t="str">
        <f>IF(MONTH(Raw_Data!B62)&gt;=4,YEAR(Raw_Data!B62)&amp;"-"&amp;RIGHT(YEAR(Raw_Data!B62)+1,2),YEAR(Raw_Data!B62)-1&amp;"-"&amp;RIGHT(YEAR(Raw_Data!B62),2))</f>
        <v>2021-22</v>
      </c>
      <c r="E62" t="str">
        <f>"Q"&amp;ROUNDUP(MONTH(Raw_Data!B62)/3,0)</f>
        <v>Q1</v>
      </c>
      <c r="F62" t="str">
        <f>TEXT(Raw_Data!B62,"mmm")</f>
        <v>Feb</v>
      </c>
      <c r="G62" t="str">
        <f>TEXT(Raw_Data!B62,"ddd")</f>
        <v>Tue</v>
      </c>
      <c r="H62" t="str">
        <f>Raw_Data!D62</f>
        <v>Invoiced</v>
      </c>
      <c r="I62" t="str">
        <f>Raw_Data!F62</f>
        <v>Tele-in</v>
      </c>
      <c r="J62" t="str">
        <f>Raw_Data!G62</f>
        <v>Referral-CAM</v>
      </c>
      <c r="K62" t="str">
        <f>IFERROR(VLOOKUP(J62,Source_Assumptions!$A:$C,2,0),"Unmapped")</f>
        <v>Referral</v>
      </c>
      <c r="L62" t="str">
        <f>Raw_Data!H62</f>
        <v>5TH GEN CITY PE</v>
      </c>
      <c r="M62" t="str">
        <f>IFERROR(VLOOKUP(L62,Model_Assumptions!$A:$D,2,0),"Unmapped")</f>
        <v>Mid-size Sedan</v>
      </c>
      <c r="N62" t="str">
        <f>IFERROR(VLOOKUP(L62,Model_Assumptions!$A:$D,3,0),"Unmapped")</f>
        <v>Petrol</v>
      </c>
      <c r="O62">
        <f>IFERROR(VLOOKUP(L62,Model_Assumptions!$A:$D,4,0),0)</f>
        <v>1250000</v>
      </c>
      <c r="P62">
        <f>IFERROR(VLOOKUP(J62,Source_Assumptions!$A:$C,3,0),0)</f>
        <v>150</v>
      </c>
    </row>
    <row r="63" spans="1:16" x14ac:dyDescent="0.3">
      <c r="A63">
        <f>Raw_Data!A63</f>
        <v>62</v>
      </c>
      <c r="B63" s="2">
        <f>Raw_Data!B63</f>
        <v>44607.657199074099</v>
      </c>
      <c r="C63">
        <f>YEAR(Raw_Data!B63)</f>
        <v>2022</v>
      </c>
      <c r="D63" t="str">
        <f>IF(MONTH(Raw_Data!B63)&gt;=4,YEAR(Raw_Data!B63)&amp;"-"&amp;RIGHT(YEAR(Raw_Data!B63)+1,2),YEAR(Raw_Data!B63)-1&amp;"-"&amp;RIGHT(YEAR(Raw_Data!B63),2))</f>
        <v>2021-22</v>
      </c>
      <c r="E63" t="str">
        <f>"Q"&amp;ROUNDUP(MONTH(Raw_Data!B63)/3,0)</f>
        <v>Q1</v>
      </c>
      <c r="F63" t="str">
        <f>TEXT(Raw_Data!B63,"mmm")</f>
        <v>Feb</v>
      </c>
      <c r="G63" t="str">
        <f>TEXT(Raw_Data!B63,"ddd")</f>
        <v>Tue</v>
      </c>
      <c r="H63" t="str">
        <f>Raw_Data!D63</f>
        <v>Invoiced</v>
      </c>
      <c r="I63" t="str">
        <f>Raw_Data!F63</f>
        <v>Tele-in</v>
      </c>
      <c r="J63" t="str">
        <f>Raw_Data!G63</f>
        <v>Dealer Webpage Tele-In</v>
      </c>
      <c r="K63" t="str">
        <f>IFERROR(VLOOKUP(J63,Source_Assumptions!$A:$C,2,0),"Unmapped")</f>
        <v>Digital - Owned</v>
      </c>
      <c r="L63" t="str">
        <f>Raw_Data!H63</f>
        <v>AMAZE Petrol</v>
      </c>
      <c r="M63" t="str">
        <f>IFERROR(VLOOKUP(L63,Model_Assumptions!$A:$D,2,0),"Unmapped")</f>
        <v>Sub-4m Sedan</v>
      </c>
      <c r="N63" t="str">
        <f>IFERROR(VLOOKUP(L63,Model_Assumptions!$A:$D,3,0),"Unmapped")</f>
        <v>Petrol</v>
      </c>
      <c r="O63">
        <f>IFERROR(VLOOKUP(L63,Model_Assumptions!$A:$D,4,0),0)</f>
        <v>850000</v>
      </c>
      <c r="P63">
        <f>IFERROR(VLOOKUP(J63,Source_Assumptions!$A:$C,3,0),0)</f>
        <v>300</v>
      </c>
    </row>
    <row r="64" spans="1:16" x14ac:dyDescent="0.3">
      <c r="A64">
        <f>Raw_Data!A64</f>
        <v>63</v>
      </c>
      <c r="B64" s="2">
        <f>Raw_Data!B64</f>
        <v>44608.523182870398</v>
      </c>
      <c r="C64">
        <f>YEAR(Raw_Data!B64)</f>
        <v>2022</v>
      </c>
      <c r="D64" t="str">
        <f>IF(MONTH(Raw_Data!B64)&gt;=4,YEAR(Raw_Data!B64)&amp;"-"&amp;RIGHT(YEAR(Raw_Data!B64)+1,2),YEAR(Raw_Data!B64)-1&amp;"-"&amp;RIGHT(YEAR(Raw_Data!B64),2))</f>
        <v>2021-22</v>
      </c>
      <c r="E64" t="str">
        <f>"Q"&amp;ROUNDUP(MONTH(Raw_Data!B64)/3,0)</f>
        <v>Q1</v>
      </c>
      <c r="F64" t="str">
        <f>TEXT(Raw_Data!B64,"mmm")</f>
        <v>Feb</v>
      </c>
      <c r="G64" t="str">
        <f>TEXT(Raw_Data!B64,"ddd")</f>
        <v>Wed</v>
      </c>
      <c r="H64" t="str">
        <f>Raw_Data!D64</f>
        <v>Invoiced</v>
      </c>
      <c r="I64" t="str">
        <f>Raw_Data!F64</f>
        <v>Walk-in Showroom</v>
      </c>
      <c r="J64" t="str">
        <f>Raw_Data!G64</f>
        <v>Adver. (TVC/Print/Hoarding/FM)</v>
      </c>
      <c r="K64" t="str">
        <f>IFERROR(VLOOKUP(J64,Source_Assumptions!$A:$C,2,0),"Unmapped")</f>
        <v>Traditional Advertising</v>
      </c>
      <c r="L64" t="str">
        <f>Raw_Data!H64</f>
        <v>AMAZE Petrol</v>
      </c>
      <c r="M64" t="str">
        <f>IFERROR(VLOOKUP(L64,Model_Assumptions!$A:$D,2,0),"Unmapped")</f>
        <v>Sub-4m Sedan</v>
      </c>
      <c r="N64" t="str">
        <f>IFERROR(VLOOKUP(L64,Model_Assumptions!$A:$D,3,0),"Unmapped")</f>
        <v>Petrol</v>
      </c>
      <c r="O64">
        <f>IFERROR(VLOOKUP(L64,Model_Assumptions!$A:$D,4,0),0)</f>
        <v>850000</v>
      </c>
      <c r="P64">
        <f>IFERROR(VLOOKUP(J64,Source_Assumptions!$A:$C,3,0),0)</f>
        <v>1200</v>
      </c>
    </row>
    <row r="65" spans="1:16" x14ac:dyDescent="0.3">
      <c r="A65">
        <f>Raw_Data!A65</f>
        <v>64</v>
      </c>
      <c r="B65" s="2">
        <f>Raw_Data!B65</f>
        <v>44608.6948148148</v>
      </c>
      <c r="C65">
        <f>YEAR(Raw_Data!B65)</f>
        <v>2022</v>
      </c>
      <c r="D65" t="str">
        <f>IF(MONTH(Raw_Data!B65)&gt;=4,YEAR(Raw_Data!B65)&amp;"-"&amp;RIGHT(YEAR(Raw_Data!B65)+1,2),YEAR(Raw_Data!B65)-1&amp;"-"&amp;RIGHT(YEAR(Raw_Data!B65),2))</f>
        <v>2021-22</v>
      </c>
      <c r="E65" t="str">
        <f>"Q"&amp;ROUNDUP(MONTH(Raw_Data!B65)/3,0)</f>
        <v>Q1</v>
      </c>
      <c r="F65" t="str">
        <f>TEXT(Raw_Data!B65,"mmm")</f>
        <v>Feb</v>
      </c>
      <c r="G65" t="str">
        <f>TEXT(Raw_Data!B65,"ddd")</f>
        <v>Wed</v>
      </c>
      <c r="H65" t="str">
        <f>Raw_Data!D65</f>
        <v>Invoiced</v>
      </c>
      <c r="I65" t="str">
        <f>Raw_Data!F65</f>
        <v>Tele-in</v>
      </c>
      <c r="J65" t="str">
        <f>Raw_Data!G65</f>
        <v>Referral-CAM</v>
      </c>
      <c r="K65" t="str">
        <f>IFERROR(VLOOKUP(J65,Source_Assumptions!$A:$C,2,0),"Unmapped")</f>
        <v>Referral</v>
      </c>
      <c r="L65" t="str">
        <f>Raw_Data!H65</f>
        <v>AMAZE Petrol</v>
      </c>
      <c r="M65" t="str">
        <f>IFERROR(VLOOKUP(L65,Model_Assumptions!$A:$D,2,0),"Unmapped")</f>
        <v>Sub-4m Sedan</v>
      </c>
      <c r="N65" t="str">
        <f>IFERROR(VLOOKUP(L65,Model_Assumptions!$A:$D,3,0),"Unmapped")</f>
        <v>Petrol</v>
      </c>
      <c r="O65">
        <f>IFERROR(VLOOKUP(L65,Model_Assumptions!$A:$D,4,0),0)</f>
        <v>850000</v>
      </c>
      <c r="P65">
        <f>IFERROR(VLOOKUP(J65,Source_Assumptions!$A:$C,3,0),0)</f>
        <v>150</v>
      </c>
    </row>
    <row r="66" spans="1:16" x14ac:dyDescent="0.3">
      <c r="A66">
        <f>Raw_Data!A66</f>
        <v>65</v>
      </c>
      <c r="B66" s="2">
        <f>Raw_Data!B66</f>
        <v>44609.497870370396</v>
      </c>
      <c r="C66">
        <f>YEAR(Raw_Data!B66)</f>
        <v>2022</v>
      </c>
      <c r="D66" t="str">
        <f>IF(MONTH(Raw_Data!B66)&gt;=4,YEAR(Raw_Data!B66)&amp;"-"&amp;RIGHT(YEAR(Raw_Data!B66)+1,2),YEAR(Raw_Data!B66)-1&amp;"-"&amp;RIGHT(YEAR(Raw_Data!B66),2))</f>
        <v>2021-22</v>
      </c>
      <c r="E66" t="str">
        <f>"Q"&amp;ROUNDUP(MONTH(Raw_Data!B66)/3,0)</f>
        <v>Q1</v>
      </c>
      <c r="F66" t="str">
        <f>TEXT(Raw_Data!B66,"mmm")</f>
        <v>Feb</v>
      </c>
      <c r="G66" t="str">
        <f>TEXT(Raw_Data!B66,"ddd")</f>
        <v>Thu</v>
      </c>
      <c r="H66" t="str">
        <f>Raw_Data!D66</f>
        <v>Invoiced</v>
      </c>
      <c r="I66" t="str">
        <f>Raw_Data!F66</f>
        <v>Tele-in</v>
      </c>
      <c r="J66" t="str">
        <f>Raw_Data!G66</f>
        <v>Adver. (TVC/Print/Hoarding/FM)</v>
      </c>
      <c r="K66" t="str">
        <f>IFERROR(VLOOKUP(J66,Source_Assumptions!$A:$C,2,0),"Unmapped")</f>
        <v>Traditional Advertising</v>
      </c>
      <c r="L66" t="str">
        <f>Raw_Data!H66</f>
        <v>JAZZ PE</v>
      </c>
      <c r="M66" t="str">
        <f>IFERROR(VLOOKUP(L66,Model_Assumptions!$A:$D,2,0),"Unmapped")</f>
        <v>Hatchback</v>
      </c>
      <c r="N66" t="str">
        <f>IFERROR(VLOOKUP(L66,Model_Assumptions!$A:$D,3,0),"Unmapped")</f>
        <v>Petrol</v>
      </c>
      <c r="O66">
        <f>IFERROR(VLOOKUP(L66,Model_Assumptions!$A:$D,4,0),0)</f>
        <v>800000</v>
      </c>
      <c r="P66">
        <f>IFERROR(VLOOKUP(J66,Source_Assumptions!$A:$C,3,0),0)</f>
        <v>1200</v>
      </c>
    </row>
    <row r="67" spans="1:16" x14ac:dyDescent="0.3">
      <c r="A67">
        <f>Raw_Data!A67</f>
        <v>66</v>
      </c>
      <c r="B67" s="2">
        <f>Raw_Data!B67</f>
        <v>44609.598634259302</v>
      </c>
      <c r="C67">
        <f>YEAR(Raw_Data!B67)</f>
        <v>2022</v>
      </c>
      <c r="D67" t="str">
        <f>IF(MONTH(Raw_Data!B67)&gt;=4,YEAR(Raw_Data!B67)&amp;"-"&amp;RIGHT(YEAR(Raw_Data!B67)+1,2),YEAR(Raw_Data!B67)-1&amp;"-"&amp;RIGHT(YEAR(Raw_Data!B67),2))</f>
        <v>2021-22</v>
      </c>
      <c r="E67" t="str">
        <f>"Q"&amp;ROUNDUP(MONTH(Raw_Data!B67)/3,0)</f>
        <v>Q1</v>
      </c>
      <c r="F67" t="str">
        <f>TEXT(Raw_Data!B67,"mmm")</f>
        <v>Feb</v>
      </c>
      <c r="G67" t="str">
        <f>TEXT(Raw_Data!B67,"ddd")</f>
        <v>Thu</v>
      </c>
      <c r="H67" t="str">
        <f>Raw_Data!D67</f>
        <v>Invoiced</v>
      </c>
      <c r="I67" t="str">
        <f>Raw_Data!F67</f>
        <v>Tele-in</v>
      </c>
      <c r="J67" t="str">
        <f>Raw_Data!G67</f>
        <v>Dealer Webpage Tele-In</v>
      </c>
      <c r="K67" t="str">
        <f>IFERROR(VLOOKUP(J67,Source_Assumptions!$A:$C,2,0),"Unmapped")</f>
        <v>Digital - Owned</v>
      </c>
      <c r="L67" t="str">
        <f>Raw_Data!H67</f>
        <v>CITY PE</v>
      </c>
      <c r="M67" t="str">
        <f>IFERROR(VLOOKUP(L67,Model_Assumptions!$A:$D,2,0),"Unmapped")</f>
        <v>Mid-size Sedan</v>
      </c>
      <c r="N67" t="str">
        <f>IFERROR(VLOOKUP(L67,Model_Assumptions!$A:$D,3,0),"Unmapped")</f>
        <v>Petrol</v>
      </c>
      <c r="O67">
        <f>IFERROR(VLOOKUP(L67,Model_Assumptions!$A:$D,4,0),0)</f>
        <v>1100000</v>
      </c>
      <c r="P67">
        <f>IFERROR(VLOOKUP(J67,Source_Assumptions!$A:$C,3,0),0)</f>
        <v>300</v>
      </c>
    </row>
    <row r="68" spans="1:16" x14ac:dyDescent="0.3">
      <c r="A68">
        <f>Raw_Data!A68</f>
        <v>67</v>
      </c>
      <c r="B68" s="2">
        <f>Raw_Data!B68</f>
        <v>44610.6561111111</v>
      </c>
      <c r="C68">
        <f>YEAR(Raw_Data!B68)</f>
        <v>2022</v>
      </c>
      <c r="D68" t="str">
        <f>IF(MONTH(Raw_Data!B68)&gt;=4,YEAR(Raw_Data!B68)&amp;"-"&amp;RIGHT(YEAR(Raw_Data!B68)+1,2),YEAR(Raw_Data!B68)-1&amp;"-"&amp;RIGHT(YEAR(Raw_Data!B68),2))</f>
        <v>2021-22</v>
      </c>
      <c r="E68" t="str">
        <f>"Q"&amp;ROUNDUP(MONTH(Raw_Data!B68)/3,0)</f>
        <v>Q1</v>
      </c>
      <c r="F68" t="str">
        <f>TEXT(Raw_Data!B68,"mmm")</f>
        <v>Feb</v>
      </c>
      <c r="G68" t="str">
        <f>TEXT(Raw_Data!B68,"ddd")</f>
        <v>Fri</v>
      </c>
      <c r="H68" t="str">
        <f>Raw_Data!D68</f>
        <v>Invoiced</v>
      </c>
      <c r="I68" t="str">
        <f>Raw_Data!F68</f>
        <v>Tele-in</v>
      </c>
      <c r="J68" t="str">
        <f>Raw_Data!G68</f>
        <v>Adver. (TVC/Print/Hoarding/FM)</v>
      </c>
      <c r="K68" t="str">
        <f>IFERROR(VLOOKUP(J68,Source_Assumptions!$A:$C,2,0),"Unmapped")</f>
        <v>Traditional Advertising</v>
      </c>
      <c r="L68" t="str">
        <f>Raw_Data!H68</f>
        <v>JAZZ PE</v>
      </c>
      <c r="M68" t="str">
        <f>IFERROR(VLOOKUP(L68,Model_Assumptions!$A:$D,2,0),"Unmapped")</f>
        <v>Hatchback</v>
      </c>
      <c r="N68" t="str">
        <f>IFERROR(VLOOKUP(L68,Model_Assumptions!$A:$D,3,0),"Unmapped")</f>
        <v>Petrol</v>
      </c>
      <c r="O68">
        <f>IFERROR(VLOOKUP(L68,Model_Assumptions!$A:$D,4,0),0)</f>
        <v>800000</v>
      </c>
      <c r="P68">
        <f>IFERROR(VLOOKUP(J68,Source_Assumptions!$A:$C,3,0),0)</f>
        <v>1200</v>
      </c>
    </row>
    <row r="69" spans="1:16" x14ac:dyDescent="0.3">
      <c r="A69">
        <f>Raw_Data!A69</f>
        <v>68</v>
      </c>
      <c r="B69" s="2">
        <f>Raw_Data!B69</f>
        <v>44610.700659722199</v>
      </c>
      <c r="C69">
        <f>YEAR(Raw_Data!B69)</f>
        <v>2022</v>
      </c>
      <c r="D69" t="str">
        <f>IF(MONTH(Raw_Data!B69)&gt;=4,YEAR(Raw_Data!B69)&amp;"-"&amp;RIGHT(YEAR(Raw_Data!B69)+1,2),YEAR(Raw_Data!B69)-1&amp;"-"&amp;RIGHT(YEAR(Raw_Data!B69),2))</f>
        <v>2021-22</v>
      </c>
      <c r="E69" t="str">
        <f>"Q"&amp;ROUNDUP(MONTH(Raw_Data!B69)/3,0)</f>
        <v>Q1</v>
      </c>
      <c r="F69" t="str">
        <f>TEXT(Raw_Data!B69,"mmm")</f>
        <v>Feb</v>
      </c>
      <c r="G69" t="str">
        <f>TEXT(Raw_Data!B69,"ddd")</f>
        <v>Fri</v>
      </c>
      <c r="H69" t="str">
        <f>Raw_Data!D69</f>
        <v>Invoiced</v>
      </c>
      <c r="I69" t="str">
        <f>Raw_Data!F69</f>
        <v>Web Lead</v>
      </c>
      <c r="J69" t="str">
        <f>Raw_Data!G69</f>
        <v>Web_Carwale</v>
      </c>
      <c r="K69" t="str">
        <f>IFERROR(VLOOKUP(J69,Source_Assumptions!$A:$C,2,0),"Unmapped")</f>
        <v>Digital - Aggregator (Paid)</v>
      </c>
      <c r="L69" t="str">
        <f>Raw_Data!H69</f>
        <v>5TH GEN CITY PE</v>
      </c>
      <c r="M69" t="str">
        <f>IFERROR(VLOOKUP(L69,Model_Assumptions!$A:$D,2,0),"Unmapped")</f>
        <v>Mid-size Sedan</v>
      </c>
      <c r="N69" t="str">
        <f>IFERROR(VLOOKUP(L69,Model_Assumptions!$A:$D,3,0),"Unmapped")</f>
        <v>Petrol</v>
      </c>
      <c r="O69">
        <f>IFERROR(VLOOKUP(L69,Model_Assumptions!$A:$D,4,0),0)</f>
        <v>1250000</v>
      </c>
      <c r="P69">
        <f>IFERROR(VLOOKUP(J69,Source_Assumptions!$A:$C,3,0),0)</f>
        <v>900</v>
      </c>
    </row>
    <row r="70" spans="1:16" x14ac:dyDescent="0.3">
      <c r="A70">
        <f>Raw_Data!A70</f>
        <v>69</v>
      </c>
      <c r="B70" s="2">
        <f>Raw_Data!B70</f>
        <v>44611.453750000001</v>
      </c>
      <c r="C70">
        <f>YEAR(Raw_Data!B70)</f>
        <v>2022</v>
      </c>
      <c r="D70" t="str">
        <f>IF(MONTH(Raw_Data!B70)&gt;=4,YEAR(Raw_Data!B70)&amp;"-"&amp;RIGHT(YEAR(Raw_Data!B70)+1,2),YEAR(Raw_Data!B70)-1&amp;"-"&amp;RIGHT(YEAR(Raw_Data!B70),2))</f>
        <v>2021-22</v>
      </c>
      <c r="E70" t="str">
        <f>"Q"&amp;ROUNDUP(MONTH(Raw_Data!B70)/3,0)</f>
        <v>Q1</v>
      </c>
      <c r="F70" t="str">
        <f>TEXT(Raw_Data!B70,"mmm")</f>
        <v>Feb</v>
      </c>
      <c r="G70" t="str">
        <f>TEXT(Raw_Data!B70,"ddd")</f>
        <v>Sat</v>
      </c>
      <c r="H70" t="str">
        <f>Raw_Data!D70</f>
        <v>Invoiced</v>
      </c>
      <c r="I70" t="str">
        <f>Raw_Data!F70</f>
        <v>SMS/ Tele-Out</v>
      </c>
      <c r="J70" t="str">
        <f>Raw_Data!G70</f>
        <v>Service Visit</v>
      </c>
      <c r="K70" t="str">
        <f>IFERROR(VLOOKUP(J70,Source_Assumptions!$A:$C,2,0),"Unmapped")</f>
        <v>Existing Customer</v>
      </c>
      <c r="L70" t="str">
        <f>Raw_Data!H70</f>
        <v>AMAZE Petrol</v>
      </c>
      <c r="M70" t="str">
        <f>IFERROR(VLOOKUP(L70,Model_Assumptions!$A:$D,2,0),"Unmapped")</f>
        <v>Sub-4m Sedan</v>
      </c>
      <c r="N70" t="str">
        <f>IFERROR(VLOOKUP(L70,Model_Assumptions!$A:$D,3,0),"Unmapped")</f>
        <v>Petrol</v>
      </c>
      <c r="O70">
        <f>IFERROR(VLOOKUP(L70,Model_Assumptions!$A:$D,4,0),0)</f>
        <v>850000</v>
      </c>
      <c r="P70">
        <f>IFERROR(VLOOKUP(J70,Source_Assumptions!$A:$C,3,0),0)</f>
        <v>50</v>
      </c>
    </row>
    <row r="71" spans="1:16" x14ac:dyDescent="0.3">
      <c r="A71">
        <f>Raw_Data!A71</f>
        <v>70</v>
      </c>
      <c r="B71" s="2">
        <f>Raw_Data!B71</f>
        <v>44611.461192129602</v>
      </c>
      <c r="C71">
        <f>YEAR(Raw_Data!B71)</f>
        <v>2022</v>
      </c>
      <c r="D71" t="str">
        <f>IF(MONTH(Raw_Data!B71)&gt;=4,YEAR(Raw_Data!B71)&amp;"-"&amp;RIGHT(YEAR(Raw_Data!B71)+1,2),YEAR(Raw_Data!B71)-1&amp;"-"&amp;RIGHT(YEAR(Raw_Data!B71),2))</f>
        <v>2021-22</v>
      </c>
      <c r="E71" t="str">
        <f>"Q"&amp;ROUNDUP(MONTH(Raw_Data!B71)/3,0)</f>
        <v>Q1</v>
      </c>
      <c r="F71" t="str">
        <f>TEXT(Raw_Data!B71,"mmm")</f>
        <v>Feb</v>
      </c>
      <c r="G71" t="str">
        <f>TEXT(Raw_Data!B71,"ddd")</f>
        <v>Sat</v>
      </c>
      <c r="H71" t="str">
        <f>Raw_Data!D71</f>
        <v>Invoiced</v>
      </c>
      <c r="I71" t="str">
        <f>Raw_Data!F71</f>
        <v>Tele-in</v>
      </c>
      <c r="J71" t="str">
        <f>Raw_Data!G71</f>
        <v>Dealer Webpage Tele-In</v>
      </c>
      <c r="K71" t="str">
        <f>IFERROR(VLOOKUP(J71,Source_Assumptions!$A:$C,2,0),"Unmapped")</f>
        <v>Digital - Owned</v>
      </c>
      <c r="L71" t="str">
        <f>Raw_Data!H71</f>
        <v>JAZZ PE</v>
      </c>
      <c r="M71" t="str">
        <f>IFERROR(VLOOKUP(L71,Model_Assumptions!$A:$D,2,0),"Unmapped")</f>
        <v>Hatchback</v>
      </c>
      <c r="N71" t="str">
        <f>IFERROR(VLOOKUP(L71,Model_Assumptions!$A:$D,3,0),"Unmapped")</f>
        <v>Petrol</v>
      </c>
      <c r="O71">
        <f>IFERROR(VLOOKUP(L71,Model_Assumptions!$A:$D,4,0),0)</f>
        <v>800000</v>
      </c>
      <c r="P71">
        <f>IFERROR(VLOOKUP(J71,Source_Assumptions!$A:$C,3,0),0)</f>
        <v>300</v>
      </c>
    </row>
    <row r="72" spans="1:16" x14ac:dyDescent="0.3">
      <c r="A72">
        <f>Raw_Data!A72</f>
        <v>71</v>
      </c>
      <c r="B72" s="2">
        <f>Raw_Data!B72</f>
        <v>44611.666793981502</v>
      </c>
      <c r="C72">
        <f>YEAR(Raw_Data!B72)</f>
        <v>2022</v>
      </c>
      <c r="D72" t="str">
        <f>IF(MONTH(Raw_Data!B72)&gt;=4,YEAR(Raw_Data!B72)&amp;"-"&amp;RIGHT(YEAR(Raw_Data!B72)+1,2),YEAR(Raw_Data!B72)-1&amp;"-"&amp;RIGHT(YEAR(Raw_Data!B72),2))</f>
        <v>2021-22</v>
      </c>
      <c r="E72" t="str">
        <f>"Q"&amp;ROUNDUP(MONTH(Raw_Data!B72)/3,0)</f>
        <v>Q1</v>
      </c>
      <c r="F72" t="str">
        <f>TEXT(Raw_Data!B72,"mmm")</f>
        <v>Feb</v>
      </c>
      <c r="G72" t="str">
        <f>TEXT(Raw_Data!B72,"ddd")</f>
        <v>Sat</v>
      </c>
      <c r="H72" t="str">
        <f>Raw_Data!D72</f>
        <v>Invoiced</v>
      </c>
      <c r="I72" t="str">
        <f>Raw_Data!F72</f>
        <v>Walk-in Showroom</v>
      </c>
      <c r="J72" t="str">
        <f>Raw_Data!G72</f>
        <v>Adver. (TVC/Print/Hoarding/FM)</v>
      </c>
      <c r="K72" t="str">
        <f>IFERROR(VLOOKUP(J72,Source_Assumptions!$A:$C,2,0),"Unmapped")</f>
        <v>Traditional Advertising</v>
      </c>
      <c r="L72" t="str">
        <f>Raw_Data!H72</f>
        <v>JAZZ PE</v>
      </c>
      <c r="M72" t="str">
        <f>IFERROR(VLOOKUP(L72,Model_Assumptions!$A:$D,2,0),"Unmapped")</f>
        <v>Hatchback</v>
      </c>
      <c r="N72" t="str">
        <f>IFERROR(VLOOKUP(L72,Model_Assumptions!$A:$D,3,0),"Unmapped")</f>
        <v>Petrol</v>
      </c>
      <c r="O72">
        <f>IFERROR(VLOOKUP(L72,Model_Assumptions!$A:$D,4,0),0)</f>
        <v>800000</v>
      </c>
      <c r="P72">
        <f>IFERROR(VLOOKUP(J72,Source_Assumptions!$A:$C,3,0),0)</f>
        <v>1200</v>
      </c>
    </row>
    <row r="73" spans="1:16" x14ac:dyDescent="0.3">
      <c r="A73">
        <f>Raw_Data!A73</f>
        <v>72</v>
      </c>
      <c r="B73" s="2">
        <f>Raw_Data!B73</f>
        <v>44611.694930555597</v>
      </c>
      <c r="C73">
        <f>YEAR(Raw_Data!B73)</f>
        <v>2022</v>
      </c>
      <c r="D73" t="str">
        <f>IF(MONTH(Raw_Data!B73)&gt;=4,YEAR(Raw_Data!B73)&amp;"-"&amp;RIGHT(YEAR(Raw_Data!B73)+1,2),YEAR(Raw_Data!B73)-1&amp;"-"&amp;RIGHT(YEAR(Raw_Data!B73),2))</f>
        <v>2021-22</v>
      </c>
      <c r="E73" t="str">
        <f>"Q"&amp;ROUNDUP(MONTH(Raw_Data!B73)/3,0)</f>
        <v>Q1</v>
      </c>
      <c r="F73" t="str">
        <f>TEXT(Raw_Data!B73,"mmm")</f>
        <v>Feb</v>
      </c>
      <c r="G73" t="str">
        <f>TEXT(Raw_Data!B73,"ddd")</f>
        <v>Sat</v>
      </c>
      <c r="H73" t="str">
        <f>Raw_Data!D73</f>
        <v>Invoiced</v>
      </c>
      <c r="I73" t="str">
        <f>Raw_Data!F73</f>
        <v>Tele-in</v>
      </c>
      <c r="J73" t="str">
        <f>Raw_Data!G73</f>
        <v>Adver. (TVC/Print/Hoarding/FM)</v>
      </c>
      <c r="K73" t="str">
        <f>IFERROR(VLOOKUP(J73,Source_Assumptions!$A:$C,2,0),"Unmapped")</f>
        <v>Traditional Advertising</v>
      </c>
      <c r="L73" t="str">
        <f>Raw_Data!H73</f>
        <v>AMAZE Petrol</v>
      </c>
      <c r="M73" t="str">
        <f>IFERROR(VLOOKUP(L73,Model_Assumptions!$A:$D,2,0),"Unmapped")</f>
        <v>Sub-4m Sedan</v>
      </c>
      <c r="N73" t="str">
        <f>IFERROR(VLOOKUP(L73,Model_Assumptions!$A:$D,3,0),"Unmapped")</f>
        <v>Petrol</v>
      </c>
      <c r="O73">
        <f>IFERROR(VLOOKUP(L73,Model_Assumptions!$A:$D,4,0),0)</f>
        <v>850000</v>
      </c>
      <c r="P73">
        <f>IFERROR(VLOOKUP(J73,Source_Assumptions!$A:$C,3,0),0)</f>
        <v>1200</v>
      </c>
    </row>
    <row r="74" spans="1:16" x14ac:dyDescent="0.3">
      <c r="A74">
        <f>Raw_Data!A74</f>
        <v>73</v>
      </c>
      <c r="B74" s="2">
        <f>Raw_Data!B74</f>
        <v>44613.535844907397</v>
      </c>
      <c r="C74">
        <f>YEAR(Raw_Data!B74)</f>
        <v>2022</v>
      </c>
      <c r="D74" t="str">
        <f>IF(MONTH(Raw_Data!B74)&gt;=4,YEAR(Raw_Data!B74)&amp;"-"&amp;RIGHT(YEAR(Raw_Data!B74)+1,2),YEAR(Raw_Data!B74)-1&amp;"-"&amp;RIGHT(YEAR(Raw_Data!B74),2))</f>
        <v>2021-22</v>
      </c>
      <c r="E74" t="str">
        <f>"Q"&amp;ROUNDUP(MONTH(Raw_Data!B74)/3,0)</f>
        <v>Q1</v>
      </c>
      <c r="F74" t="str">
        <f>TEXT(Raw_Data!B74,"mmm")</f>
        <v>Feb</v>
      </c>
      <c r="G74" t="str">
        <f>TEXT(Raw_Data!B74,"ddd")</f>
        <v>Mon</v>
      </c>
      <c r="H74" t="str">
        <f>Raw_Data!D74</f>
        <v>Invoiced</v>
      </c>
      <c r="I74" t="str">
        <f>Raw_Data!F74</f>
        <v>SMS/ Tele-Out</v>
      </c>
      <c r="J74" t="str">
        <f>Raw_Data!G74</f>
        <v>Database Activity(Teleout/SMS)</v>
      </c>
      <c r="K74" t="str">
        <f>IFERROR(VLOOKUP(J74,Source_Assumptions!$A:$C,2,0),"Unmapped")</f>
        <v>Outbound/Database</v>
      </c>
      <c r="L74" t="str">
        <f>Raw_Data!H74</f>
        <v>AMAZE Petrol</v>
      </c>
      <c r="M74" t="str">
        <f>IFERROR(VLOOKUP(L74,Model_Assumptions!$A:$D,2,0),"Unmapped")</f>
        <v>Sub-4m Sedan</v>
      </c>
      <c r="N74" t="str">
        <f>IFERROR(VLOOKUP(L74,Model_Assumptions!$A:$D,3,0),"Unmapped")</f>
        <v>Petrol</v>
      </c>
      <c r="O74">
        <f>IFERROR(VLOOKUP(L74,Model_Assumptions!$A:$D,4,0),0)</f>
        <v>850000</v>
      </c>
      <c r="P74">
        <f>IFERROR(VLOOKUP(J74,Source_Assumptions!$A:$C,3,0),0)</f>
        <v>250</v>
      </c>
    </row>
    <row r="75" spans="1:16" x14ac:dyDescent="0.3">
      <c r="A75">
        <f>Raw_Data!A75</f>
        <v>74</v>
      </c>
      <c r="B75" s="2">
        <f>Raw_Data!B75</f>
        <v>44613.655949074098</v>
      </c>
      <c r="C75">
        <f>YEAR(Raw_Data!B75)</f>
        <v>2022</v>
      </c>
      <c r="D75" t="str">
        <f>IF(MONTH(Raw_Data!B75)&gt;=4,YEAR(Raw_Data!B75)&amp;"-"&amp;RIGHT(YEAR(Raw_Data!B75)+1,2),YEAR(Raw_Data!B75)-1&amp;"-"&amp;RIGHT(YEAR(Raw_Data!B75),2))</f>
        <v>2021-22</v>
      </c>
      <c r="E75" t="str">
        <f>"Q"&amp;ROUNDUP(MONTH(Raw_Data!B75)/3,0)</f>
        <v>Q1</v>
      </c>
      <c r="F75" t="str">
        <f>TEXT(Raw_Data!B75,"mmm")</f>
        <v>Feb</v>
      </c>
      <c r="G75" t="str">
        <f>TEXT(Raw_Data!B75,"ddd")</f>
        <v>Mon</v>
      </c>
      <c r="H75" t="str">
        <f>Raw_Data!D75</f>
        <v>Invoiced</v>
      </c>
      <c r="I75" t="str">
        <f>Raw_Data!F75</f>
        <v>Web Lead</v>
      </c>
      <c r="J75" t="str">
        <f>Raw_Data!G75</f>
        <v>Web_CarDekho</v>
      </c>
      <c r="K75" t="str">
        <f>IFERROR(VLOOKUP(J75,Source_Assumptions!$A:$C,2,0),"Unmapped")</f>
        <v>Digital - Aggregator (Paid)</v>
      </c>
      <c r="L75" t="str">
        <f>Raw_Data!H75</f>
        <v>AMAZE Petrol</v>
      </c>
      <c r="M75" t="str">
        <f>IFERROR(VLOOKUP(L75,Model_Assumptions!$A:$D,2,0),"Unmapped")</f>
        <v>Sub-4m Sedan</v>
      </c>
      <c r="N75" t="str">
        <f>IFERROR(VLOOKUP(L75,Model_Assumptions!$A:$D,3,0),"Unmapped")</f>
        <v>Petrol</v>
      </c>
      <c r="O75">
        <f>IFERROR(VLOOKUP(L75,Model_Assumptions!$A:$D,4,0),0)</f>
        <v>850000</v>
      </c>
      <c r="P75">
        <f>IFERROR(VLOOKUP(J75,Source_Assumptions!$A:$C,3,0),0)</f>
        <v>900</v>
      </c>
    </row>
    <row r="76" spans="1:16" x14ac:dyDescent="0.3">
      <c r="A76">
        <f>Raw_Data!A76</f>
        <v>75</v>
      </c>
      <c r="B76" s="2">
        <f>Raw_Data!B76</f>
        <v>44613.687465277799</v>
      </c>
      <c r="C76">
        <f>YEAR(Raw_Data!B76)</f>
        <v>2022</v>
      </c>
      <c r="D76" t="str">
        <f>IF(MONTH(Raw_Data!B76)&gt;=4,YEAR(Raw_Data!B76)&amp;"-"&amp;RIGHT(YEAR(Raw_Data!B76)+1,2),YEAR(Raw_Data!B76)-1&amp;"-"&amp;RIGHT(YEAR(Raw_Data!B76),2))</f>
        <v>2021-22</v>
      </c>
      <c r="E76" t="str">
        <f>"Q"&amp;ROUNDUP(MONTH(Raw_Data!B76)/3,0)</f>
        <v>Q1</v>
      </c>
      <c r="F76" t="str">
        <f>TEXT(Raw_Data!B76,"mmm")</f>
        <v>Feb</v>
      </c>
      <c r="G76" t="str">
        <f>TEXT(Raw_Data!B76,"ddd")</f>
        <v>Mon</v>
      </c>
      <c r="H76" t="str">
        <f>Raw_Data!D76</f>
        <v>Invoiced</v>
      </c>
      <c r="I76" t="str">
        <f>Raw_Data!F76</f>
        <v>Tele-in</v>
      </c>
      <c r="J76" t="str">
        <f>Raw_Data!G76</f>
        <v>Referral-CAM</v>
      </c>
      <c r="K76" t="str">
        <f>IFERROR(VLOOKUP(J76,Source_Assumptions!$A:$C,2,0),"Unmapped")</f>
        <v>Referral</v>
      </c>
      <c r="L76" t="str">
        <f>Raw_Data!H76</f>
        <v>5TH GEN CITY PE</v>
      </c>
      <c r="M76" t="str">
        <f>IFERROR(VLOOKUP(L76,Model_Assumptions!$A:$D,2,0),"Unmapped")</f>
        <v>Mid-size Sedan</v>
      </c>
      <c r="N76" t="str">
        <f>IFERROR(VLOOKUP(L76,Model_Assumptions!$A:$D,3,0),"Unmapped")</f>
        <v>Petrol</v>
      </c>
      <c r="O76">
        <f>IFERROR(VLOOKUP(L76,Model_Assumptions!$A:$D,4,0),0)</f>
        <v>1250000</v>
      </c>
      <c r="P76">
        <f>IFERROR(VLOOKUP(J76,Source_Assumptions!$A:$C,3,0),0)</f>
        <v>150</v>
      </c>
    </row>
    <row r="77" spans="1:16" x14ac:dyDescent="0.3">
      <c r="A77">
        <f>Raw_Data!A77</f>
        <v>76</v>
      </c>
      <c r="B77" s="2">
        <f>Raw_Data!B77</f>
        <v>44613.709467592598</v>
      </c>
      <c r="C77">
        <f>YEAR(Raw_Data!B77)</f>
        <v>2022</v>
      </c>
      <c r="D77" t="str">
        <f>IF(MONTH(Raw_Data!B77)&gt;=4,YEAR(Raw_Data!B77)&amp;"-"&amp;RIGHT(YEAR(Raw_Data!B77)+1,2),YEAR(Raw_Data!B77)-1&amp;"-"&amp;RIGHT(YEAR(Raw_Data!B77),2))</f>
        <v>2021-22</v>
      </c>
      <c r="E77" t="str">
        <f>"Q"&amp;ROUNDUP(MONTH(Raw_Data!B77)/3,0)</f>
        <v>Q1</v>
      </c>
      <c r="F77" t="str">
        <f>TEXT(Raw_Data!B77,"mmm")</f>
        <v>Feb</v>
      </c>
      <c r="G77" t="str">
        <f>TEXT(Raw_Data!B77,"ddd")</f>
        <v>Mon</v>
      </c>
      <c r="H77" t="str">
        <f>Raw_Data!D77</f>
        <v>Invoiced</v>
      </c>
      <c r="I77" t="str">
        <f>Raw_Data!F77</f>
        <v>Walk-in Showroom</v>
      </c>
      <c r="J77" t="str">
        <f>Raw_Data!G77</f>
        <v>Adver. (TVC/Print/Hoarding/FM)</v>
      </c>
      <c r="K77" t="str">
        <f>IFERROR(VLOOKUP(J77,Source_Assumptions!$A:$C,2,0),"Unmapped")</f>
        <v>Traditional Advertising</v>
      </c>
      <c r="L77" t="str">
        <f>Raw_Data!H77</f>
        <v>AMAZE Diesel</v>
      </c>
      <c r="M77" t="str">
        <f>IFERROR(VLOOKUP(L77,Model_Assumptions!$A:$D,2,0),"Unmapped")</f>
        <v>Sub-4m Sedan</v>
      </c>
      <c r="N77" t="str">
        <f>IFERROR(VLOOKUP(L77,Model_Assumptions!$A:$D,3,0),"Unmapped")</f>
        <v>Diesel</v>
      </c>
      <c r="O77">
        <f>IFERROR(VLOOKUP(L77,Model_Assumptions!$A:$D,4,0),0)</f>
        <v>950000</v>
      </c>
      <c r="P77">
        <f>IFERROR(VLOOKUP(J77,Source_Assumptions!$A:$C,3,0),0)</f>
        <v>1200</v>
      </c>
    </row>
    <row r="78" spans="1:16" x14ac:dyDescent="0.3">
      <c r="A78">
        <f>Raw_Data!A78</f>
        <v>77</v>
      </c>
      <c r="B78" s="2">
        <f>Raw_Data!B78</f>
        <v>44613.727835648198</v>
      </c>
      <c r="C78">
        <f>YEAR(Raw_Data!B78)</f>
        <v>2022</v>
      </c>
      <c r="D78" t="str">
        <f>IF(MONTH(Raw_Data!B78)&gt;=4,YEAR(Raw_Data!B78)&amp;"-"&amp;RIGHT(YEAR(Raw_Data!B78)+1,2),YEAR(Raw_Data!B78)-1&amp;"-"&amp;RIGHT(YEAR(Raw_Data!B78),2))</f>
        <v>2021-22</v>
      </c>
      <c r="E78" t="str">
        <f>"Q"&amp;ROUNDUP(MONTH(Raw_Data!B78)/3,0)</f>
        <v>Q1</v>
      </c>
      <c r="F78" t="str">
        <f>TEXT(Raw_Data!B78,"mmm")</f>
        <v>Feb</v>
      </c>
      <c r="G78" t="str">
        <f>TEXT(Raw_Data!B78,"ddd")</f>
        <v>Mon</v>
      </c>
      <c r="H78" t="str">
        <f>Raw_Data!D78</f>
        <v>Invoiced</v>
      </c>
      <c r="I78" t="str">
        <f>Raw_Data!F78</f>
        <v>Tele-in</v>
      </c>
      <c r="J78" t="str">
        <f>Raw_Data!G78</f>
        <v>Dealer Webpage Tele-In</v>
      </c>
      <c r="K78" t="str">
        <f>IFERROR(VLOOKUP(J78,Source_Assumptions!$A:$C,2,0),"Unmapped")</f>
        <v>Digital - Owned</v>
      </c>
      <c r="L78" t="str">
        <f>Raw_Data!H78</f>
        <v>AMAZE Petrol</v>
      </c>
      <c r="M78" t="str">
        <f>IFERROR(VLOOKUP(L78,Model_Assumptions!$A:$D,2,0),"Unmapped")</f>
        <v>Sub-4m Sedan</v>
      </c>
      <c r="N78" t="str">
        <f>IFERROR(VLOOKUP(L78,Model_Assumptions!$A:$D,3,0),"Unmapped")</f>
        <v>Petrol</v>
      </c>
      <c r="O78">
        <f>IFERROR(VLOOKUP(L78,Model_Assumptions!$A:$D,4,0),0)</f>
        <v>850000</v>
      </c>
      <c r="P78">
        <f>IFERROR(VLOOKUP(J78,Source_Assumptions!$A:$C,3,0),0)</f>
        <v>300</v>
      </c>
    </row>
    <row r="79" spans="1:16" x14ac:dyDescent="0.3">
      <c r="A79">
        <f>Raw_Data!A79</f>
        <v>78</v>
      </c>
      <c r="B79" s="2">
        <f>Raw_Data!B79</f>
        <v>44613.738993055602</v>
      </c>
      <c r="C79">
        <f>YEAR(Raw_Data!B79)</f>
        <v>2022</v>
      </c>
      <c r="D79" t="str">
        <f>IF(MONTH(Raw_Data!B79)&gt;=4,YEAR(Raw_Data!B79)&amp;"-"&amp;RIGHT(YEAR(Raw_Data!B79)+1,2),YEAR(Raw_Data!B79)-1&amp;"-"&amp;RIGHT(YEAR(Raw_Data!B79),2))</f>
        <v>2021-22</v>
      </c>
      <c r="E79" t="str">
        <f>"Q"&amp;ROUNDUP(MONTH(Raw_Data!B79)/3,0)</f>
        <v>Q1</v>
      </c>
      <c r="F79" t="str">
        <f>TEXT(Raw_Data!B79,"mmm")</f>
        <v>Feb</v>
      </c>
      <c r="G79" t="str">
        <f>TEXT(Raw_Data!B79,"ddd")</f>
        <v>Mon</v>
      </c>
      <c r="H79" t="str">
        <f>Raw_Data!D79</f>
        <v>Invoiced</v>
      </c>
      <c r="I79" t="str">
        <f>Raw_Data!F79</f>
        <v>Walk-in Showroom</v>
      </c>
      <c r="J79" t="str">
        <f>Raw_Data!G79</f>
        <v>Adver. (TVC/Print/Hoarding/FM)</v>
      </c>
      <c r="K79" t="str">
        <f>IFERROR(VLOOKUP(J79,Source_Assumptions!$A:$C,2,0),"Unmapped")</f>
        <v>Traditional Advertising</v>
      </c>
      <c r="L79" t="str">
        <f>Raw_Data!H79</f>
        <v>AMAZE Petrol</v>
      </c>
      <c r="M79" t="str">
        <f>IFERROR(VLOOKUP(L79,Model_Assumptions!$A:$D,2,0),"Unmapped")</f>
        <v>Sub-4m Sedan</v>
      </c>
      <c r="N79" t="str">
        <f>IFERROR(VLOOKUP(L79,Model_Assumptions!$A:$D,3,0),"Unmapped")</f>
        <v>Petrol</v>
      </c>
      <c r="O79">
        <f>IFERROR(VLOOKUP(L79,Model_Assumptions!$A:$D,4,0),0)</f>
        <v>850000</v>
      </c>
      <c r="P79">
        <f>IFERROR(VLOOKUP(J79,Source_Assumptions!$A:$C,3,0),0)</f>
        <v>1200</v>
      </c>
    </row>
    <row r="80" spans="1:16" x14ac:dyDescent="0.3">
      <c r="A80">
        <f>Raw_Data!A80</f>
        <v>79</v>
      </c>
      <c r="B80" s="2">
        <f>Raw_Data!B80</f>
        <v>44614.557303240697</v>
      </c>
      <c r="C80">
        <f>YEAR(Raw_Data!B80)</f>
        <v>2022</v>
      </c>
      <c r="D80" t="str">
        <f>IF(MONTH(Raw_Data!B80)&gt;=4,YEAR(Raw_Data!B80)&amp;"-"&amp;RIGHT(YEAR(Raw_Data!B80)+1,2),YEAR(Raw_Data!B80)-1&amp;"-"&amp;RIGHT(YEAR(Raw_Data!B80),2))</f>
        <v>2021-22</v>
      </c>
      <c r="E80" t="str">
        <f>"Q"&amp;ROUNDUP(MONTH(Raw_Data!B80)/3,0)</f>
        <v>Q1</v>
      </c>
      <c r="F80" t="str">
        <f>TEXT(Raw_Data!B80,"mmm")</f>
        <v>Feb</v>
      </c>
      <c r="G80" t="str">
        <f>TEXT(Raw_Data!B80,"ddd")</f>
        <v>Tue</v>
      </c>
      <c r="H80" t="str">
        <f>Raw_Data!D80</f>
        <v>Invoiced</v>
      </c>
      <c r="I80" t="str">
        <f>Raw_Data!F80</f>
        <v>Web Lead</v>
      </c>
      <c r="J80" t="str">
        <f>Raw_Data!G80</f>
        <v>Web_Organic</v>
      </c>
      <c r="K80" t="str">
        <f>IFERROR(VLOOKUP(J80,Source_Assumptions!$A:$C,2,0),"Unmapped")</f>
        <v>Digital - Organic</v>
      </c>
      <c r="L80" t="str">
        <f>Raw_Data!H80</f>
        <v>JAZZ PE</v>
      </c>
      <c r="M80" t="str">
        <f>IFERROR(VLOOKUP(L80,Model_Assumptions!$A:$D,2,0),"Unmapped")</f>
        <v>Hatchback</v>
      </c>
      <c r="N80" t="str">
        <f>IFERROR(VLOOKUP(L80,Model_Assumptions!$A:$D,3,0),"Unmapped")</f>
        <v>Petrol</v>
      </c>
      <c r="O80">
        <f>IFERROR(VLOOKUP(L80,Model_Assumptions!$A:$D,4,0),0)</f>
        <v>800000</v>
      </c>
      <c r="P80">
        <f>IFERROR(VLOOKUP(J80,Source_Assumptions!$A:$C,3,0),0)</f>
        <v>100</v>
      </c>
    </row>
    <row r="81" spans="1:16" x14ac:dyDescent="0.3">
      <c r="A81">
        <f>Raw_Data!A81</f>
        <v>80</v>
      </c>
      <c r="B81" s="2">
        <f>Raw_Data!B81</f>
        <v>44615.466412037</v>
      </c>
      <c r="C81">
        <f>YEAR(Raw_Data!B81)</f>
        <v>2022</v>
      </c>
      <c r="D81" t="str">
        <f>IF(MONTH(Raw_Data!B81)&gt;=4,YEAR(Raw_Data!B81)&amp;"-"&amp;RIGHT(YEAR(Raw_Data!B81)+1,2),YEAR(Raw_Data!B81)-1&amp;"-"&amp;RIGHT(YEAR(Raw_Data!B81),2))</f>
        <v>2021-22</v>
      </c>
      <c r="E81" t="str">
        <f>"Q"&amp;ROUNDUP(MONTH(Raw_Data!B81)/3,0)</f>
        <v>Q1</v>
      </c>
      <c r="F81" t="str">
        <f>TEXT(Raw_Data!B81,"mmm")</f>
        <v>Feb</v>
      </c>
      <c r="G81" t="str">
        <f>TEXT(Raw_Data!B81,"ddd")</f>
        <v>Wed</v>
      </c>
      <c r="H81" t="str">
        <f>Raw_Data!D81</f>
        <v>Invoiced</v>
      </c>
      <c r="I81" t="str">
        <f>Raw_Data!F81</f>
        <v>Tele-in</v>
      </c>
      <c r="J81" t="str">
        <f>Raw_Data!G81</f>
        <v>Referral-CAM</v>
      </c>
      <c r="K81" t="str">
        <f>IFERROR(VLOOKUP(J81,Source_Assumptions!$A:$C,2,0),"Unmapped")</f>
        <v>Referral</v>
      </c>
      <c r="L81" t="str">
        <f>Raw_Data!H81</f>
        <v>JAZZ PE</v>
      </c>
      <c r="M81" t="str">
        <f>IFERROR(VLOOKUP(L81,Model_Assumptions!$A:$D,2,0),"Unmapped")</f>
        <v>Hatchback</v>
      </c>
      <c r="N81" t="str">
        <f>IFERROR(VLOOKUP(L81,Model_Assumptions!$A:$D,3,0),"Unmapped")</f>
        <v>Petrol</v>
      </c>
      <c r="O81">
        <f>IFERROR(VLOOKUP(L81,Model_Assumptions!$A:$D,4,0),0)</f>
        <v>800000</v>
      </c>
      <c r="P81">
        <f>IFERROR(VLOOKUP(J81,Source_Assumptions!$A:$C,3,0),0)</f>
        <v>150</v>
      </c>
    </row>
    <row r="82" spans="1:16" x14ac:dyDescent="0.3">
      <c r="A82">
        <f>Raw_Data!A82</f>
        <v>81</v>
      </c>
      <c r="B82" s="2">
        <f>Raw_Data!B82</f>
        <v>44615.690787036998</v>
      </c>
      <c r="C82">
        <f>YEAR(Raw_Data!B82)</f>
        <v>2022</v>
      </c>
      <c r="D82" t="str">
        <f>IF(MONTH(Raw_Data!B82)&gt;=4,YEAR(Raw_Data!B82)&amp;"-"&amp;RIGHT(YEAR(Raw_Data!B82)+1,2),YEAR(Raw_Data!B82)-1&amp;"-"&amp;RIGHT(YEAR(Raw_Data!B82),2))</f>
        <v>2021-22</v>
      </c>
      <c r="E82" t="str">
        <f>"Q"&amp;ROUNDUP(MONTH(Raw_Data!B82)/3,0)</f>
        <v>Q1</v>
      </c>
      <c r="F82" t="str">
        <f>TEXT(Raw_Data!B82,"mmm")</f>
        <v>Feb</v>
      </c>
      <c r="G82" t="str">
        <f>TEXT(Raw_Data!B82,"ddd")</f>
        <v>Wed</v>
      </c>
      <c r="H82" t="str">
        <f>Raw_Data!D82</f>
        <v>Invoiced</v>
      </c>
      <c r="I82" t="str">
        <f>Raw_Data!F82</f>
        <v>Tele-in</v>
      </c>
      <c r="J82" t="str">
        <f>Raw_Data!G82</f>
        <v>Dealer Webpage Tele-In</v>
      </c>
      <c r="K82" t="str">
        <f>IFERROR(VLOOKUP(J82,Source_Assumptions!$A:$C,2,0),"Unmapped")</f>
        <v>Digital - Owned</v>
      </c>
      <c r="L82" t="str">
        <f>Raw_Data!H82</f>
        <v>AMAZE Petrol</v>
      </c>
      <c r="M82" t="str">
        <f>IFERROR(VLOOKUP(L82,Model_Assumptions!$A:$D,2,0),"Unmapped")</f>
        <v>Sub-4m Sedan</v>
      </c>
      <c r="N82" t="str">
        <f>IFERROR(VLOOKUP(L82,Model_Assumptions!$A:$D,3,0),"Unmapped")</f>
        <v>Petrol</v>
      </c>
      <c r="O82">
        <f>IFERROR(VLOOKUP(L82,Model_Assumptions!$A:$D,4,0),0)</f>
        <v>850000</v>
      </c>
      <c r="P82">
        <f>IFERROR(VLOOKUP(J82,Source_Assumptions!$A:$C,3,0),0)</f>
        <v>300</v>
      </c>
    </row>
    <row r="83" spans="1:16" x14ac:dyDescent="0.3">
      <c r="A83">
        <f>Raw_Data!A83</f>
        <v>82</v>
      </c>
      <c r="B83" s="2">
        <f>Raw_Data!B83</f>
        <v>44616.502106481501</v>
      </c>
      <c r="C83">
        <f>YEAR(Raw_Data!B83)</f>
        <v>2022</v>
      </c>
      <c r="D83" t="str">
        <f>IF(MONTH(Raw_Data!B83)&gt;=4,YEAR(Raw_Data!B83)&amp;"-"&amp;RIGHT(YEAR(Raw_Data!B83)+1,2),YEAR(Raw_Data!B83)-1&amp;"-"&amp;RIGHT(YEAR(Raw_Data!B83),2))</f>
        <v>2021-22</v>
      </c>
      <c r="E83" t="str">
        <f>"Q"&amp;ROUNDUP(MONTH(Raw_Data!B83)/3,0)</f>
        <v>Q1</v>
      </c>
      <c r="F83" t="str">
        <f>TEXT(Raw_Data!B83,"mmm")</f>
        <v>Feb</v>
      </c>
      <c r="G83" t="str">
        <f>TEXT(Raw_Data!B83,"ddd")</f>
        <v>Thu</v>
      </c>
      <c r="H83" t="str">
        <f>Raw_Data!D83</f>
        <v>Invoiced</v>
      </c>
      <c r="I83" t="str">
        <f>Raw_Data!F83</f>
        <v>Walk-in Showroom</v>
      </c>
      <c r="J83" t="str">
        <f>Raw_Data!G83</f>
        <v>Adver. (TVC/Print/Hoarding/FM)</v>
      </c>
      <c r="K83" t="str">
        <f>IFERROR(VLOOKUP(J83,Source_Assumptions!$A:$C,2,0),"Unmapped")</f>
        <v>Traditional Advertising</v>
      </c>
      <c r="L83" t="str">
        <f>Raw_Data!H83</f>
        <v>AMAZE Diesel</v>
      </c>
      <c r="M83" t="str">
        <f>IFERROR(VLOOKUP(L83,Model_Assumptions!$A:$D,2,0),"Unmapped")</f>
        <v>Sub-4m Sedan</v>
      </c>
      <c r="N83" t="str">
        <f>IFERROR(VLOOKUP(L83,Model_Assumptions!$A:$D,3,0),"Unmapped")</f>
        <v>Diesel</v>
      </c>
      <c r="O83">
        <f>IFERROR(VLOOKUP(L83,Model_Assumptions!$A:$D,4,0),0)</f>
        <v>950000</v>
      </c>
      <c r="P83">
        <f>IFERROR(VLOOKUP(J83,Source_Assumptions!$A:$C,3,0),0)</f>
        <v>1200</v>
      </c>
    </row>
    <row r="84" spans="1:16" x14ac:dyDescent="0.3">
      <c r="A84">
        <f>Raw_Data!A84</f>
        <v>83</v>
      </c>
      <c r="B84" s="2">
        <f>Raw_Data!B84</f>
        <v>44616.5112731482</v>
      </c>
      <c r="C84">
        <f>YEAR(Raw_Data!B84)</f>
        <v>2022</v>
      </c>
      <c r="D84" t="str">
        <f>IF(MONTH(Raw_Data!B84)&gt;=4,YEAR(Raw_Data!B84)&amp;"-"&amp;RIGHT(YEAR(Raw_Data!B84)+1,2),YEAR(Raw_Data!B84)-1&amp;"-"&amp;RIGHT(YEAR(Raw_Data!B84),2))</f>
        <v>2021-22</v>
      </c>
      <c r="E84" t="str">
        <f>"Q"&amp;ROUNDUP(MONTH(Raw_Data!B84)/3,0)</f>
        <v>Q1</v>
      </c>
      <c r="F84" t="str">
        <f>TEXT(Raw_Data!B84,"mmm")</f>
        <v>Feb</v>
      </c>
      <c r="G84" t="str">
        <f>TEXT(Raw_Data!B84,"ddd")</f>
        <v>Thu</v>
      </c>
      <c r="H84" t="str">
        <f>Raw_Data!D84</f>
        <v>Invoiced</v>
      </c>
      <c r="I84" t="str">
        <f>Raw_Data!F84</f>
        <v>Web Lead</v>
      </c>
      <c r="J84" t="str">
        <f>Raw_Data!G84</f>
        <v>Web</v>
      </c>
      <c r="K84" t="str">
        <f>IFERROR(VLOOKUP(J84,Source_Assumptions!$A:$C,2,0),"Unmapped")</f>
        <v>Digital - Owned</v>
      </c>
      <c r="L84" t="str">
        <f>Raw_Data!H84</f>
        <v>5TH GEN CITY PE</v>
      </c>
      <c r="M84" t="str">
        <f>IFERROR(VLOOKUP(L84,Model_Assumptions!$A:$D,2,0),"Unmapped")</f>
        <v>Mid-size Sedan</v>
      </c>
      <c r="N84" t="str">
        <f>IFERROR(VLOOKUP(L84,Model_Assumptions!$A:$D,3,0),"Unmapped")</f>
        <v>Petrol</v>
      </c>
      <c r="O84">
        <f>IFERROR(VLOOKUP(L84,Model_Assumptions!$A:$D,4,0),0)</f>
        <v>1250000</v>
      </c>
      <c r="P84">
        <f>IFERROR(VLOOKUP(J84,Source_Assumptions!$A:$C,3,0),0)</f>
        <v>300</v>
      </c>
    </row>
    <row r="85" spans="1:16" x14ac:dyDescent="0.3">
      <c r="A85">
        <f>Raw_Data!A85</f>
        <v>84</v>
      </c>
      <c r="B85" s="2">
        <f>Raw_Data!B85</f>
        <v>44616.639675925901</v>
      </c>
      <c r="C85">
        <f>YEAR(Raw_Data!B85)</f>
        <v>2022</v>
      </c>
      <c r="D85" t="str">
        <f>IF(MONTH(Raw_Data!B85)&gt;=4,YEAR(Raw_Data!B85)&amp;"-"&amp;RIGHT(YEAR(Raw_Data!B85)+1,2),YEAR(Raw_Data!B85)-1&amp;"-"&amp;RIGHT(YEAR(Raw_Data!B85),2))</f>
        <v>2021-22</v>
      </c>
      <c r="E85" t="str">
        <f>"Q"&amp;ROUNDUP(MONTH(Raw_Data!B85)/3,0)</f>
        <v>Q1</v>
      </c>
      <c r="F85" t="str">
        <f>TEXT(Raw_Data!B85,"mmm")</f>
        <v>Feb</v>
      </c>
      <c r="G85" t="str">
        <f>TEXT(Raw_Data!B85,"ddd")</f>
        <v>Thu</v>
      </c>
      <c r="H85" t="str">
        <f>Raw_Data!D85</f>
        <v>Invoiced</v>
      </c>
      <c r="I85" t="str">
        <f>Raw_Data!F85</f>
        <v>Walk-in Showroom</v>
      </c>
      <c r="J85" t="str">
        <f>Raw_Data!G85</f>
        <v>Adver. (TVC/Print/Hoarding/FM)</v>
      </c>
      <c r="K85" t="str">
        <f>IFERROR(VLOOKUP(J85,Source_Assumptions!$A:$C,2,0),"Unmapped")</f>
        <v>Traditional Advertising</v>
      </c>
      <c r="L85" t="str">
        <f>Raw_Data!H85</f>
        <v>JAZZ PE</v>
      </c>
      <c r="M85" t="str">
        <f>IFERROR(VLOOKUP(L85,Model_Assumptions!$A:$D,2,0),"Unmapped")</f>
        <v>Hatchback</v>
      </c>
      <c r="N85" t="str">
        <f>IFERROR(VLOOKUP(L85,Model_Assumptions!$A:$D,3,0),"Unmapped")</f>
        <v>Petrol</v>
      </c>
      <c r="O85">
        <f>IFERROR(VLOOKUP(L85,Model_Assumptions!$A:$D,4,0),0)</f>
        <v>800000</v>
      </c>
      <c r="P85">
        <f>IFERROR(VLOOKUP(J85,Source_Assumptions!$A:$C,3,0),0)</f>
        <v>1200</v>
      </c>
    </row>
    <row r="86" spans="1:16" x14ac:dyDescent="0.3">
      <c r="A86">
        <f>Raw_Data!A86</f>
        <v>85</v>
      </c>
      <c r="B86" s="2">
        <f>Raw_Data!B86</f>
        <v>44616.730439814797</v>
      </c>
      <c r="C86">
        <f>YEAR(Raw_Data!B86)</f>
        <v>2022</v>
      </c>
      <c r="D86" t="str">
        <f>IF(MONTH(Raw_Data!B86)&gt;=4,YEAR(Raw_Data!B86)&amp;"-"&amp;RIGHT(YEAR(Raw_Data!B86)+1,2),YEAR(Raw_Data!B86)-1&amp;"-"&amp;RIGHT(YEAR(Raw_Data!B86),2))</f>
        <v>2021-22</v>
      </c>
      <c r="E86" t="str">
        <f>"Q"&amp;ROUNDUP(MONTH(Raw_Data!B86)/3,0)</f>
        <v>Q1</v>
      </c>
      <c r="F86" t="str">
        <f>TEXT(Raw_Data!B86,"mmm")</f>
        <v>Feb</v>
      </c>
      <c r="G86" t="str">
        <f>TEXT(Raw_Data!B86,"ddd")</f>
        <v>Thu</v>
      </c>
      <c r="H86" t="str">
        <f>Raw_Data!D86</f>
        <v>Invoiced</v>
      </c>
      <c r="I86" t="str">
        <f>Raw_Data!F86</f>
        <v>Tele-in</v>
      </c>
      <c r="J86" t="str">
        <f>Raw_Data!G86</f>
        <v>Dealer Webpage Tele-In</v>
      </c>
      <c r="K86" t="str">
        <f>IFERROR(VLOOKUP(J86,Source_Assumptions!$A:$C,2,0),"Unmapped")</f>
        <v>Digital - Owned</v>
      </c>
      <c r="L86" t="str">
        <f>Raw_Data!H86</f>
        <v>5TH GEN CITY PE</v>
      </c>
      <c r="M86" t="str">
        <f>IFERROR(VLOOKUP(L86,Model_Assumptions!$A:$D,2,0),"Unmapped")</f>
        <v>Mid-size Sedan</v>
      </c>
      <c r="N86" t="str">
        <f>IFERROR(VLOOKUP(L86,Model_Assumptions!$A:$D,3,0),"Unmapped")</f>
        <v>Petrol</v>
      </c>
      <c r="O86">
        <f>IFERROR(VLOOKUP(L86,Model_Assumptions!$A:$D,4,0),0)</f>
        <v>1250000</v>
      </c>
      <c r="P86">
        <f>IFERROR(VLOOKUP(J86,Source_Assumptions!$A:$C,3,0),0)</f>
        <v>300</v>
      </c>
    </row>
    <row r="87" spans="1:16" x14ac:dyDescent="0.3">
      <c r="A87">
        <f>Raw_Data!A87</f>
        <v>86</v>
      </c>
      <c r="B87" s="2">
        <f>Raw_Data!B87</f>
        <v>44617.498206018499</v>
      </c>
      <c r="C87">
        <f>YEAR(Raw_Data!B87)</f>
        <v>2022</v>
      </c>
      <c r="D87" t="str">
        <f>IF(MONTH(Raw_Data!B87)&gt;=4,YEAR(Raw_Data!B87)&amp;"-"&amp;RIGHT(YEAR(Raw_Data!B87)+1,2),YEAR(Raw_Data!B87)-1&amp;"-"&amp;RIGHT(YEAR(Raw_Data!B87),2))</f>
        <v>2021-22</v>
      </c>
      <c r="E87" t="str">
        <f>"Q"&amp;ROUNDUP(MONTH(Raw_Data!B87)/3,0)</f>
        <v>Q1</v>
      </c>
      <c r="F87" t="str">
        <f>TEXT(Raw_Data!B87,"mmm")</f>
        <v>Feb</v>
      </c>
      <c r="G87" t="str">
        <f>TEXT(Raw_Data!B87,"ddd")</f>
        <v>Fri</v>
      </c>
      <c r="H87" t="str">
        <f>Raw_Data!D87</f>
        <v>Invoiced</v>
      </c>
      <c r="I87" t="str">
        <f>Raw_Data!F87</f>
        <v>Tele-in</v>
      </c>
      <c r="J87" t="str">
        <f>Raw_Data!G87</f>
        <v>Dealer Webpage Tele-In</v>
      </c>
      <c r="K87" t="str">
        <f>IFERROR(VLOOKUP(J87,Source_Assumptions!$A:$C,2,0),"Unmapped")</f>
        <v>Digital - Owned</v>
      </c>
      <c r="L87" t="str">
        <f>Raw_Data!H87</f>
        <v>5TH GEN CITY DE</v>
      </c>
      <c r="M87" t="str">
        <f>IFERROR(VLOOKUP(L87,Model_Assumptions!$A:$D,2,0),"Unmapped")</f>
        <v>Mid-size Sedan</v>
      </c>
      <c r="N87" t="str">
        <f>IFERROR(VLOOKUP(L87,Model_Assumptions!$A:$D,3,0),"Unmapped")</f>
        <v>Diesel</v>
      </c>
      <c r="O87">
        <f>IFERROR(VLOOKUP(L87,Model_Assumptions!$A:$D,4,0),0)</f>
        <v>1350000</v>
      </c>
      <c r="P87">
        <f>IFERROR(VLOOKUP(J87,Source_Assumptions!$A:$C,3,0),0)</f>
        <v>300</v>
      </c>
    </row>
    <row r="88" spans="1:16" x14ac:dyDescent="0.3">
      <c r="A88">
        <f>Raw_Data!A88</f>
        <v>87</v>
      </c>
      <c r="B88" s="2">
        <f>Raw_Data!B88</f>
        <v>44617.659814814797</v>
      </c>
      <c r="C88">
        <f>YEAR(Raw_Data!B88)</f>
        <v>2022</v>
      </c>
      <c r="D88" t="str">
        <f>IF(MONTH(Raw_Data!B88)&gt;=4,YEAR(Raw_Data!B88)&amp;"-"&amp;RIGHT(YEAR(Raw_Data!B88)+1,2),YEAR(Raw_Data!B88)-1&amp;"-"&amp;RIGHT(YEAR(Raw_Data!B88),2))</f>
        <v>2021-22</v>
      </c>
      <c r="E88" t="str">
        <f>"Q"&amp;ROUNDUP(MONTH(Raw_Data!B88)/3,0)</f>
        <v>Q1</v>
      </c>
      <c r="F88" t="str">
        <f>TEXT(Raw_Data!B88,"mmm")</f>
        <v>Feb</v>
      </c>
      <c r="G88" t="str">
        <f>TEXT(Raw_Data!B88,"ddd")</f>
        <v>Fri</v>
      </c>
      <c r="H88" t="str">
        <f>Raw_Data!D88</f>
        <v>Invoiced</v>
      </c>
      <c r="I88" t="str">
        <f>Raw_Data!F88</f>
        <v>SMS/ Tele-Out</v>
      </c>
      <c r="J88" t="str">
        <f>Raw_Data!G88</f>
        <v>Database Activity(Teleout/SMS)</v>
      </c>
      <c r="K88" t="str">
        <f>IFERROR(VLOOKUP(J88,Source_Assumptions!$A:$C,2,0),"Unmapped")</f>
        <v>Outbound/Database</v>
      </c>
      <c r="L88" t="str">
        <f>Raw_Data!H88</f>
        <v>AMAZE Petrol</v>
      </c>
      <c r="M88" t="str">
        <f>IFERROR(VLOOKUP(L88,Model_Assumptions!$A:$D,2,0),"Unmapped")</f>
        <v>Sub-4m Sedan</v>
      </c>
      <c r="N88" t="str">
        <f>IFERROR(VLOOKUP(L88,Model_Assumptions!$A:$D,3,0),"Unmapped")</f>
        <v>Petrol</v>
      </c>
      <c r="O88">
        <f>IFERROR(VLOOKUP(L88,Model_Assumptions!$A:$D,4,0),0)</f>
        <v>850000</v>
      </c>
      <c r="P88">
        <f>IFERROR(VLOOKUP(J88,Source_Assumptions!$A:$C,3,0),0)</f>
        <v>250</v>
      </c>
    </row>
    <row r="89" spans="1:16" x14ac:dyDescent="0.3">
      <c r="A89">
        <f>Raw_Data!A89</f>
        <v>88</v>
      </c>
      <c r="B89" s="2">
        <f>Raw_Data!B89</f>
        <v>44617.677326388897</v>
      </c>
      <c r="C89">
        <f>YEAR(Raw_Data!B89)</f>
        <v>2022</v>
      </c>
      <c r="D89" t="str">
        <f>IF(MONTH(Raw_Data!B89)&gt;=4,YEAR(Raw_Data!B89)&amp;"-"&amp;RIGHT(YEAR(Raw_Data!B89)+1,2),YEAR(Raw_Data!B89)-1&amp;"-"&amp;RIGHT(YEAR(Raw_Data!B89),2))</f>
        <v>2021-22</v>
      </c>
      <c r="E89" t="str">
        <f>"Q"&amp;ROUNDUP(MONTH(Raw_Data!B89)/3,0)</f>
        <v>Q1</v>
      </c>
      <c r="F89" t="str">
        <f>TEXT(Raw_Data!B89,"mmm")</f>
        <v>Feb</v>
      </c>
      <c r="G89" t="str">
        <f>TEXT(Raw_Data!B89,"ddd")</f>
        <v>Fri</v>
      </c>
      <c r="H89" t="str">
        <f>Raw_Data!D89</f>
        <v>Invoiced</v>
      </c>
      <c r="I89" t="str">
        <f>Raw_Data!F89</f>
        <v>Walk-in Showroom</v>
      </c>
      <c r="J89" t="str">
        <f>Raw_Data!G89</f>
        <v>Adver. (TVC/Print/Hoarding/FM)</v>
      </c>
      <c r="K89" t="str">
        <f>IFERROR(VLOOKUP(J89,Source_Assumptions!$A:$C,2,0),"Unmapped")</f>
        <v>Traditional Advertising</v>
      </c>
      <c r="L89" t="str">
        <f>Raw_Data!H89</f>
        <v>CITY PE</v>
      </c>
      <c r="M89" t="str">
        <f>IFERROR(VLOOKUP(L89,Model_Assumptions!$A:$D,2,0),"Unmapped")</f>
        <v>Mid-size Sedan</v>
      </c>
      <c r="N89" t="str">
        <f>IFERROR(VLOOKUP(L89,Model_Assumptions!$A:$D,3,0),"Unmapped")</f>
        <v>Petrol</v>
      </c>
      <c r="O89">
        <f>IFERROR(VLOOKUP(L89,Model_Assumptions!$A:$D,4,0),0)</f>
        <v>1100000</v>
      </c>
      <c r="P89">
        <f>IFERROR(VLOOKUP(J89,Source_Assumptions!$A:$C,3,0),0)</f>
        <v>1200</v>
      </c>
    </row>
    <row r="90" spans="1:16" x14ac:dyDescent="0.3">
      <c r="A90">
        <f>Raw_Data!A90</f>
        <v>89</v>
      </c>
      <c r="B90" s="2">
        <f>Raw_Data!B90</f>
        <v>44618.589108796303</v>
      </c>
      <c r="C90">
        <f>YEAR(Raw_Data!B90)</f>
        <v>2022</v>
      </c>
      <c r="D90" t="str">
        <f>IF(MONTH(Raw_Data!B90)&gt;=4,YEAR(Raw_Data!B90)&amp;"-"&amp;RIGHT(YEAR(Raw_Data!B90)+1,2),YEAR(Raw_Data!B90)-1&amp;"-"&amp;RIGHT(YEAR(Raw_Data!B90),2))</f>
        <v>2021-22</v>
      </c>
      <c r="E90" t="str">
        <f>"Q"&amp;ROUNDUP(MONTH(Raw_Data!B90)/3,0)</f>
        <v>Q1</v>
      </c>
      <c r="F90" t="str">
        <f>TEXT(Raw_Data!B90,"mmm")</f>
        <v>Feb</v>
      </c>
      <c r="G90" t="str">
        <f>TEXT(Raw_Data!B90,"ddd")</f>
        <v>Sat</v>
      </c>
      <c r="H90" t="str">
        <f>Raw_Data!D90</f>
        <v>Invoiced</v>
      </c>
      <c r="I90" t="str">
        <f>Raw_Data!F90</f>
        <v>Web Lead</v>
      </c>
      <c r="J90" t="str">
        <f>Raw_Data!G90</f>
        <v>Web</v>
      </c>
      <c r="K90" t="str">
        <f>IFERROR(VLOOKUP(J90,Source_Assumptions!$A:$C,2,0),"Unmapped")</f>
        <v>Digital - Owned</v>
      </c>
      <c r="L90" t="str">
        <f>Raw_Data!H90</f>
        <v>CITY PE</v>
      </c>
      <c r="M90" t="str">
        <f>IFERROR(VLOOKUP(L90,Model_Assumptions!$A:$D,2,0),"Unmapped")</f>
        <v>Mid-size Sedan</v>
      </c>
      <c r="N90" t="str">
        <f>IFERROR(VLOOKUP(L90,Model_Assumptions!$A:$D,3,0),"Unmapped")</f>
        <v>Petrol</v>
      </c>
      <c r="O90">
        <f>IFERROR(VLOOKUP(L90,Model_Assumptions!$A:$D,4,0),0)</f>
        <v>1100000</v>
      </c>
      <c r="P90">
        <f>IFERROR(VLOOKUP(J90,Source_Assumptions!$A:$C,3,0),0)</f>
        <v>300</v>
      </c>
    </row>
    <row r="91" spans="1:16" x14ac:dyDescent="0.3">
      <c r="A91">
        <f>Raw_Data!A91</f>
        <v>90</v>
      </c>
      <c r="B91" s="2">
        <f>Raw_Data!B91</f>
        <v>44618.613946759302</v>
      </c>
      <c r="C91">
        <f>YEAR(Raw_Data!B91)</f>
        <v>2022</v>
      </c>
      <c r="D91" t="str">
        <f>IF(MONTH(Raw_Data!B91)&gt;=4,YEAR(Raw_Data!B91)&amp;"-"&amp;RIGHT(YEAR(Raw_Data!B91)+1,2),YEAR(Raw_Data!B91)-1&amp;"-"&amp;RIGHT(YEAR(Raw_Data!B91),2))</f>
        <v>2021-22</v>
      </c>
      <c r="E91" t="str">
        <f>"Q"&amp;ROUNDUP(MONTH(Raw_Data!B91)/3,0)</f>
        <v>Q1</v>
      </c>
      <c r="F91" t="str">
        <f>TEXT(Raw_Data!B91,"mmm")</f>
        <v>Feb</v>
      </c>
      <c r="G91" t="str">
        <f>TEXT(Raw_Data!B91,"ddd")</f>
        <v>Sat</v>
      </c>
      <c r="H91" t="str">
        <f>Raw_Data!D91</f>
        <v>Invoiced</v>
      </c>
      <c r="I91" t="str">
        <f>Raw_Data!F91</f>
        <v>Walk-in Showroom</v>
      </c>
      <c r="J91" t="str">
        <f>Raw_Data!G91</f>
        <v>Adver. (TVC/Print/Hoarding/FM)</v>
      </c>
      <c r="K91" t="str">
        <f>IFERROR(VLOOKUP(J91,Source_Assumptions!$A:$C,2,0),"Unmapped")</f>
        <v>Traditional Advertising</v>
      </c>
      <c r="L91" t="str">
        <f>Raw_Data!H91</f>
        <v>AMAZE Petrol</v>
      </c>
      <c r="M91" t="str">
        <f>IFERROR(VLOOKUP(L91,Model_Assumptions!$A:$D,2,0),"Unmapped")</f>
        <v>Sub-4m Sedan</v>
      </c>
      <c r="N91" t="str">
        <f>IFERROR(VLOOKUP(L91,Model_Assumptions!$A:$D,3,0),"Unmapped")</f>
        <v>Petrol</v>
      </c>
      <c r="O91">
        <f>IFERROR(VLOOKUP(L91,Model_Assumptions!$A:$D,4,0),0)</f>
        <v>850000</v>
      </c>
      <c r="P91">
        <f>IFERROR(VLOOKUP(J91,Source_Assumptions!$A:$C,3,0),0)</f>
        <v>1200</v>
      </c>
    </row>
    <row r="92" spans="1:16" x14ac:dyDescent="0.3">
      <c r="A92">
        <f>Raw_Data!A92</f>
        <v>91</v>
      </c>
      <c r="B92" s="2">
        <f>Raw_Data!B92</f>
        <v>44618.6182638889</v>
      </c>
      <c r="C92">
        <f>YEAR(Raw_Data!B92)</f>
        <v>2022</v>
      </c>
      <c r="D92" t="str">
        <f>IF(MONTH(Raw_Data!B92)&gt;=4,YEAR(Raw_Data!B92)&amp;"-"&amp;RIGHT(YEAR(Raw_Data!B92)+1,2),YEAR(Raw_Data!B92)-1&amp;"-"&amp;RIGHT(YEAR(Raw_Data!B92),2))</f>
        <v>2021-22</v>
      </c>
      <c r="E92" t="str">
        <f>"Q"&amp;ROUNDUP(MONTH(Raw_Data!B92)/3,0)</f>
        <v>Q1</v>
      </c>
      <c r="F92" t="str">
        <f>TEXT(Raw_Data!B92,"mmm")</f>
        <v>Feb</v>
      </c>
      <c r="G92" t="str">
        <f>TEXT(Raw_Data!B92,"ddd")</f>
        <v>Sat</v>
      </c>
      <c r="H92" t="str">
        <f>Raw_Data!D92</f>
        <v>Invoiced</v>
      </c>
      <c r="I92" t="str">
        <f>Raw_Data!F92</f>
        <v>SMS/ Tele-Out</v>
      </c>
      <c r="J92" t="str">
        <f>Raw_Data!G92</f>
        <v>Database Activity(Teleout/SMS)</v>
      </c>
      <c r="K92" t="str">
        <f>IFERROR(VLOOKUP(J92,Source_Assumptions!$A:$C,2,0),"Unmapped")</f>
        <v>Outbound/Database</v>
      </c>
      <c r="L92" t="str">
        <f>Raw_Data!H92</f>
        <v>JAZZ PE</v>
      </c>
      <c r="M92" t="str">
        <f>IFERROR(VLOOKUP(L92,Model_Assumptions!$A:$D,2,0),"Unmapped")</f>
        <v>Hatchback</v>
      </c>
      <c r="N92" t="str">
        <f>IFERROR(VLOOKUP(L92,Model_Assumptions!$A:$D,3,0),"Unmapped")</f>
        <v>Petrol</v>
      </c>
      <c r="O92">
        <f>IFERROR(VLOOKUP(L92,Model_Assumptions!$A:$D,4,0),0)</f>
        <v>800000</v>
      </c>
      <c r="P92">
        <f>IFERROR(VLOOKUP(J92,Source_Assumptions!$A:$C,3,0),0)</f>
        <v>250</v>
      </c>
    </row>
    <row r="93" spans="1:16" x14ac:dyDescent="0.3">
      <c r="A93">
        <f>Raw_Data!A93</f>
        <v>92</v>
      </c>
      <c r="B93" s="2">
        <f>Raw_Data!B93</f>
        <v>44618.6884027778</v>
      </c>
      <c r="C93">
        <f>YEAR(Raw_Data!B93)</f>
        <v>2022</v>
      </c>
      <c r="D93" t="str">
        <f>IF(MONTH(Raw_Data!B93)&gt;=4,YEAR(Raw_Data!B93)&amp;"-"&amp;RIGHT(YEAR(Raw_Data!B93)+1,2),YEAR(Raw_Data!B93)-1&amp;"-"&amp;RIGHT(YEAR(Raw_Data!B93),2))</f>
        <v>2021-22</v>
      </c>
      <c r="E93" t="str">
        <f>"Q"&amp;ROUNDUP(MONTH(Raw_Data!B93)/3,0)</f>
        <v>Q1</v>
      </c>
      <c r="F93" t="str">
        <f>TEXT(Raw_Data!B93,"mmm")</f>
        <v>Feb</v>
      </c>
      <c r="G93" t="str">
        <f>TEXT(Raw_Data!B93,"ddd")</f>
        <v>Sat</v>
      </c>
      <c r="H93" t="str">
        <f>Raw_Data!D93</f>
        <v>Invoiced</v>
      </c>
      <c r="I93" t="str">
        <f>Raw_Data!F93</f>
        <v>Tele-in</v>
      </c>
      <c r="J93" t="str">
        <f>Raw_Data!G93</f>
        <v>Referral-CAM</v>
      </c>
      <c r="K93" t="str">
        <f>IFERROR(VLOOKUP(J93,Source_Assumptions!$A:$C,2,0),"Unmapped")</f>
        <v>Referral</v>
      </c>
      <c r="L93" t="str">
        <f>Raw_Data!H93</f>
        <v>AMAZE Petrol</v>
      </c>
      <c r="M93" t="str">
        <f>IFERROR(VLOOKUP(L93,Model_Assumptions!$A:$D,2,0),"Unmapped")</f>
        <v>Sub-4m Sedan</v>
      </c>
      <c r="N93" t="str">
        <f>IFERROR(VLOOKUP(L93,Model_Assumptions!$A:$D,3,0),"Unmapped")</f>
        <v>Petrol</v>
      </c>
      <c r="O93">
        <f>IFERROR(VLOOKUP(L93,Model_Assumptions!$A:$D,4,0),0)</f>
        <v>850000</v>
      </c>
      <c r="P93">
        <f>IFERROR(VLOOKUP(J93,Source_Assumptions!$A:$C,3,0),0)</f>
        <v>150</v>
      </c>
    </row>
    <row r="94" spans="1:16" x14ac:dyDescent="0.3">
      <c r="A94">
        <f>Raw_Data!A94</f>
        <v>93</v>
      </c>
      <c r="B94" s="2">
        <f>Raw_Data!B94</f>
        <v>44620.6102314815</v>
      </c>
      <c r="C94">
        <f>YEAR(Raw_Data!B94)</f>
        <v>2022</v>
      </c>
      <c r="D94" t="str">
        <f>IF(MONTH(Raw_Data!B94)&gt;=4,YEAR(Raw_Data!B94)&amp;"-"&amp;RIGHT(YEAR(Raw_Data!B94)+1,2),YEAR(Raw_Data!B94)-1&amp;"-"&amp;RIGHT(YEAR(Raw_Data!B94),2))</f>
        <v>2021-22</v>
      </c>
      <c r="E94" t="str">
        <f>"Q"&amp;ROUNDUP(MONTH(Raw_Data!B94)/3,0)</f>
        <v>Q1</v>
      </c>
      <c r="F94" t="str">
        <f>TEXT(Raw_Data!B94,"mmm")</f>
        <v>Feb</v>
      </c>
      <c r="G94" t="str">
        <f>TEXT(Raw_Data!B94,"ddd")</f>
        <v>Mon</v>
      </c>
      <c r="H94" t="str">
        <f>Raw_Data!D94</f>
        <v>Invoiced</v>
      </c>
      <c r="I94" t="str">
        <f>Raw_Data!F94</f>
        <v>Tele-in</v>
      </c>
      <c r="J94" t="str">
        <f>Raw_Data!G94</f>
        <v>Dealer Webpage Tele-In</v>
      </c>
      <c r="K94" t="str">
        <f>IFERROR(VLOOKUP(J94,Source_Assumptions!$A:$C,2,0),"Unmapped")</f>
        <v>Digital - Owned</v>
      </c>
      <c r="L94" t="str">
        <f>Raw_Data!H94</f>
        <v>5TH GEN CITY PE</v>
      </c>
      <c r="M94" t="str">
        <f>IFERROR(VLOOKUP(L94,Model_Assumptions!$A:$D,2,0),"Unmapped")</f>
        <v>Mid-size Sedan</v>
      </c>
      <c r="N94" t="str">
        <f>IFERROR(VLOOKUP(L94,Model_Assumptions!$A:$D,3,0),"Unmapped")</f>
        <v>Petrol</v>
      </c>
      <c r="O94">
        <f>IFERROR(VLOOKUP(L94,Model_Assumptions!$A:$D,4,0),0)</f>
        <v>1250000</v>
      </c>
      <c r="P94">
        <f>IFERROR(VLOOKUP(J94,Source_Assumptions!$A:$C,3,0),0)</f>
        <v>300</v>
      </c>
    </row>
    <row r="95" spans="1:16" x14ac:dyDescent="0.3">
      <c r="A95">
        <f>Raw_Data!A95</f>
        <v>94</v>
      </c>
      <c r="B95" s="2">
        <f>Raw_Data!B95</f>
        <v>44620.6507291667</v>
      </c>
      <c r="C95">
        <f>YEAR(Raw_Data!B95)</f>
        <v>2022</v>
      </c>
      <c r="D95" t="str">
        <f>IF(MONTH(Raw_Data!B95)&gt;=4,YEAR(Raw_Data!B95)&amp;"-"&amp;RIGHT(YEAR(Raw_Data!B95)+1,2),YEAR(Raw_Data!B95)-1&amp;"-"&amp;RIGHT(YEAR(Raw_Data!B95),2))</f>
        <v>2021-22</v>
      </c>
      <c r="E95" t="str">
        <f>"Q"&amp;ROUNDUP(MONTH(Raw_Data!B95)/3,0)</f>
        <v>Q1</v>
      </c>
      <c r="F95" t="str">
        <f>TEXT(Raw_Data!B95,"mmm")</f>
        <v>Feb</v>
      </c>
      <c r="G95" t="str">
        <f>TEXT(Raw_Data!B95,"ddd")</f>
        <v>Mon</v>
      </c>
      <c r="H95" t="str">
        <f>Raw_Data!D95</f>
        <v>Invoiced</v>
      </c>
      <c r="I95" t="str">
        <f>Raw_Data!F95</f>
        <v>Tele-in</v>
      </c>
      <c r="J95" t="str">
        <f>Raw_Data!G95</f>
        <v>Referral-CAM</v>
      </c>
      <c r="K95" t="str">
        <f>IFERROR(VLOOKUP(J95,Source_Assumptions!$A:$C,2,0),"Unmapped")</f>
        <v>Referral</v>
      </c>
      <c r="L95" t="str">
        <f>Raw_Data!H95</f>
        <v>5TH GEN CITY PE</v>
      </c>
      <c r="M95" t="str">
        <f>IFERROR(VLOOKUP(L95,Model_Assumptions!$A:$D,2,0),"Unmapped")</f>
        <v>Mid-size Sedan</v>
      </c>
      <c r="N95" t="str">
        <f>IFERROR(VLOOKUP(L95,Model_Assumptions!$A:$D,3,0),"Unmapped")</f>
        <v>Petrol</v>
      </c>
      <c r="O95">
        <f>IFERROR(VLOOKUP(L95,Model_Assumptions!$A:$D,4,0),0)</f>
        <v>1250000</v>
      </c>
      <c r="P95">
        <f>IFERROR(VLOOKUP(J95,Source_Assumptions!$A:$C,3,0),0)</f>
        <v>150</v>
      </c>
    </row>
    <row r="96" spans="1:16" x14ac:dyDescent="0.3">
      <c r="A96">
        <f>Raw_Data!A96</f>
        <v>95</v>
      </c>
      <c r="B96" s="2">
        <f>Raw_Data!B96</f>
        <v>44620.658854166701</v>
      </c>
      <c r="C96">
        <f>YEAR(Raw_Data!B96)</f>
        <v>2022</v>
      </c>
      <c r="D96" t="str">
        <f>IF(MONTH(Raw_Data!B96)&gt;=4,YEAR(Raw_Data!B96)&amp;"-"&amp;RIGHT(YEAR(Raw_Data!B96)+1,2),YEAR(Raw_Data!B96)-1&amp;"-"&amp;RIGHT(YEAR(Raw_Data!B96),2))</f>
        <v>2021-22</v>
      </c>
      <c r="E96" t="str">
        <f>"Q"&amp;ROUNDUP(MONTH(Raw_Data!B96)/3,0)</f>
        <v>Q1</v>
      </c>
      <c r="F96" t="str">
        <f>TEXT(Raw_Data!B96,"mmm")</f>
        <v>Feb</v>
      </c>
      <c r="G96" t="str">
        <f>TEXT(Raw_Data!B96,"ddd")</f>
        <v>Mon</v>
      </c>
      <c r="H96" t="str">
        <f>Raw_Data!D96</f>
        <v>Invoiced</v>
      </c>
      <c r="I96" t="str">
        <f>Raw_Data!F96</f>
        <v>Tele-in</v>
      </c>
      <c r="J96" t="str">
        <f>Raw_Data!G96</f>
        <v>Referral-CAM</v>
      </c>
      <c r="K96" t="str">
        <f>IFERROR(VLOOKUP(J96,Source_Assumptions!$A:$C,2,0),"Unmapped")</f>
        <v>Referral</v>
      </c>
      <c r="L96" t="str">
        <f>Raw_Data!H96</f>
        <v>5TH GEN CITY PE</v>
      </c>
      <c r="M96" t="str">
        <f>IFERROR(VLOOKUP(L96,Model_Assumptions!$A:$D,2,0),"Unmapped")</f>
        <v>Mid-size Sedan</v>
      </c>
      <c r="N96" t="str">
        <f>IFERROR(VLOOKUP(L96,Model_Assumptions!$A:$D,3,0),"Unmapped")</f>
        <v>Petrol</v>
      </c>
      <c r="O96">
        <f>IFERROR(VLOOKUP(L96,Model_Assumptions!$A:$D,4,0),0)</f>
        <v>1250000</v>
      </c>
      <c r="P96">
        <f>IFERROR(VLOOKUP(J96,Source_Assumptions!$A:$C,3,0),0)</f>
        <v>150</v>
      </c>
    </row>
    <row r="97" spans="1:16" x14ac:dyDescent="0.3">
      <c r="A97">
        <f>Raw_Data!A97</f>
        <v>96</v>
      </c>
      <c r="B97" s="2">
        <f>Raw_Data!B97</f>
        <v>44620.790416666699</v>
      </c>
      <c r="C97">
        <f>YEAR(Raw_Data!B97)</f>
        <v>2022</v>
      </c>
      <c r="D97" t="str">
        <f>IF(MONTH(Raw_Data!B97)&gt;=4,YEAR(Raw_Data!B97)&amp;"-"&amp;RIGHT(YEAR(Raw_Data!B97)+1,2),YEAR(Raw_Data!B97)-1&amp;"-"&amp;RIGHT(YEAR(Raw_Data!B97),2))</f>
        <v>2021-22</v>
      </c>
      <c r="E97" t="str">
        <f>"Q"&amp;ROUNDUP(MONTH(Raw_Data!B97)/3,0)</f>
        <v>Q1</v>
      </c>
      <c r="F97" t="str">
        <f>TEXT(Raw_Data!B97,"mmm")</f>
        <v>Feb</v>
      </c>
      <c r="G97" t="str">
        <f>TEXT(Raw_Data!B97,"ddd")</f>
        <v>Mon</v>
      </c>
      <c r="H97" t="str">
        <f>Raw_Data!D97</f>
        <v>Invoiced</v>
      </c>
      <c r="I97" t="str">
        <f>Raw_Data!F97</f>
        <v>Tele-in</v>
      </c>
      <c r="J97" t="str">
        <f>Raw_Data!G97</f>
        <v>Referral-CAM</v>
      </c>
      <c r="K97" t="str">
        <f>IFERROR(VLOOKUP(J97,Source_Assumptions!$A:$C,2,0),"Unmapped")</f>
        <v>Referral</v>
      </c>
      <c r="L97" t="str">
        <f>Raw_Data!H97</f>
        <v>JAZZ PE</v>
      </c>
      <c r="M97" t="str">
        <f>IFERROR(VLOOKUP(L97,Model_Assumptions!$A:$D,2,0),"Unmapped")</f>
        <v>Hatchback</v>
      </c>
      <c r="N97" t="str">
        <f>IFERROR(VLOOKUP(L97,Model_Assumptions!$A:$D,3,0),"Unmapped")</f>
        <v>Petrol</v>
      </c>
      <c r="O97">
        <f>IFERROR(VLOOKUP(L97,Model_Assumptions!$A:$D,4,0),0)</f>
        <v>800000</v>
      </c>
      <c r="P97">
        <f>IFERROR(VLOOKUP(J97,Source_Assumptions!$A:$C,3,0),0)</f>
        <v>150</v>
      </c>
    </row>
    <row r="98" spans="1:16" x14ac:dyDescent="0.3">
      <c r="A98">
        <f>Raw_Data!A98</f>
        <v>97</v>
      </c>
      <c r="B98" s="2">
        <f>Raw_Data!B98</f>
        <v>44620.8578472222</v>
      </c>
      <c r="C98">
        <f>YEAR(Raw_Data!B98)</f>
        <v>2022</v>
      </c>
      <c r="D98" t="str">
        <f>IF(MONTH(Raw_Data!B98)&gt;=4,YEAR(Raw_Data!B98)&amp;"-"&amp;RIGHT(YEAR(Raw_Data!B98)+1,2),YEAR(Raw_Data!B98)-1&amp;"-"&amp;RIGHT(YEAR(Raw_Data!B98),2))</f>
        <v>2021-22</v>
      </c>
      <c r="E98" t="str">
        <f>"Q"&amp;ROUNDUP(MONTH(Raw_Data!B98)/3,0)</f>
        <v>Q1</v>
      </c>
      <c r="F98" t="str">
        <f>TEXT(Raw_Data!B98,"mmm")</f>
        <v>Feb</v>
      </c>
      <c r="G98" t="str">
        <f>TEXT(Raw_Data!B98,"ddd")</f>
        <v>Mon</v>
      </c>
      <c r="H98" t="str">
        <f>Raw_Data!D98</f>
        <v>Invoiced</v>
      </c>
      <c r="I98" t="str">
        <f>Raw_Data!F98</f>
        <v>SMS/ Tele-Out</v>
      </c>
      <c r="J98" t="str">
        <f>Raw_Data!G98</f>
        <v>Database Activity(Teleout/SMS)</v>
      </c>
      <c r="K98" t="str">
        <f>IFERROR(VLOOKUP(J98,Source_Assumptions!$A:$C,2,0),"Unmapped")</f>
        <v>Outbound/Database</v>
      </c>
      <c r="L98" t="str">
        <f>Raw_Data!H98</f>
        <v>5TH GEN CITY PE</v>
      </c>
      <c r="M98" t="str">
        <f>IFERROR(VLOOKUP(L98,Model_Assumptions!$A:$D,2,0),"Unmapped")</f>
        <v>Mid-size Sedan</v>
      </c>
      <c r="N98" t="str">
        <f>IFERROR(VLOOKUP(L98,Model_Assumptions!$A:$D,3,0),"Unmapped")</f>
        <v>Petrol</v>
      </c>
      <c r="O98">
        <f>IFERROR(VLOOKUP(L98,Model_Assumptions!$A:$D,4,0),0)</f>
        <v>1250000</v>
      </c>
      <c r="P98">
        <f>IFERROR(VLOOKUP(J98,Source_Assumptions!$A:$C,3,0),0)</f>
        <v>250</v>
      </c>
    </row>
    <row r="99" spans="1:16" x14ac:dyDescent="0.3">
      <c r="A99">
        <f>Raw_Data!A99</f>
        <v>98</v>
      </c>
      <c r="B99" s="2">
        <f>Raw_Data!B99</f>
        <v>44620.878796296303</v>
      </c>
      <c r="C99">
        <f>YEAR(Raw_Data!B99)</f>
        <v>2022</v>
      </c>
      <c r="D99" t="str">
        <f>IF(MONTH(Raw_Data!B99)&gt;=4,YEAR(Raw_Data!B99)&amp;"-"&amp;RIGHT(YEAR(Raw_Data!B99)+1,2),YEAR(Raw_Data!B99)-1&amp;"-"&amp;RIGHT(YEAR(Raw_Data!B99),2))</f>
        <v>2021-22</v>
      </c>
      <c r="E99" t="str">
        <f>"Q"&amp;ROUNDUP(MONTH(Raw_Data!B99)/3,0)</f>
        <v>Q1</v>
      </c>
      <c r="F99" t="str">
        <f>TEXT(Raw_Data!B99,"mmm")</f>
        <v>Feb</v>
      </c>
      <c r="G99" t="str">
        <f>TEXT(Raw_Data!B99,"ddd")</f>
        <v>Mon</v>
      </c>
      <c r="H99" t="str">
        <f>Raw_Data!D99</f>
        <v>Invoiced</v>
      </c>
      <c r="I99" t="str">
        <f>Raw_Data!F99</f>
        <v>Walk-in Showroom</v>
      </c>
      <c r="J99" t="str">
        <f>Raw_Data!G99</f>
        <v>Adver. (TVC/Print/Hoarding/FM)</v>
      </c>
      <c r="K99" t="str">
        <f>IFERROR(VLOOKUP(J99,Source_Assumptions!$A:$C,2,0),"Unmapped")</f>
        <v>Traditional Advertising</v>
      </c>
      <c r="L99" t="str">
        <f>Raw_Data!H99</f>
        <v>5TH GEN CITY PE</v>
      </c>
      <c r="M99" t="str">
        <f>IFERROR(VLOOKUP(L99,Model_Assumptions!$A:$D,2,0),"Unmapped")</f>
        <v>Mid-size Sedan</v>
      </c>
      <c r="N99" t="str">
        <f>IFERROR(VLOOKUP(L99,Model_Assumptions!$A:$D,3,0),"Unmapped")</f>
        <v>Petrol</v>
      </c>
      <c r="O99">
        <f>IFERROR(VLOOKUP(L99,Model_Assumptions!$A:$D,4,0),0)</f>
        <v>1250000</v>
      </c>
      <c r="P99">
        <f>IFERROR(VLOOKUP(J99,Source_Assumptions!$A:$C,3,0),0)</f>
        <v>1200</v>
      </c>
    </row>
    <row r="100" spans="1:16" x14ac:dyDescent="0.3">
      <c r="A100">
        <f>Raw_Data!A100</f>
        <v>99</v>
      </c>
      <c r="B100" s="2">
        <f>Raw_Data!B100</f>
        <v>44620.8890509259</v>
      </c>
      <c r="C100">
        <f>YEAR(Raw_Data!B100)</f>
        <v>2022</v>
      </c>
      <c r="D100" t="str">
        <f>IF(MONTH(Raw_Data!B100)&gt;=4,YEAR(Raw_Data!B100)&amp;"-"&amp;RIGHT(YEAR(Raw_Data!B100)+1,2),YEAR(Raw_Data!B100)-1&amp;"-"&amp;RIGHT(YEAR(Raw_Data!B100),2))</f>
        <v>2021-22</v>
      </c>
      <c r="E100" t="str">
        <f>"Q"&amp;ROUNDUP(MONTH(Raw_Data!B100)/3,0)</f>
        <v>Q1</v>
      </c>
      <c r="F100" t="str">
        <f>TEXT(Raw_Data!B100,"mmm")</f>
        <v>Feb</v>
      </c>
      <c r="G100" t="str">
        <f>TEXT(Raw_Data!B100,"ddd")</f>
        <v>Mon</v>
      </c>
      <c r="H100" t="str">
        <f>Raw_Data!D100</f>
        <v>Invoiced</v>
      </c>
      <c r="I100" t="str">
        <f>Raw_Data!F100</f>
        <v>Tele-in</v>
      </c>
      <c r="J100" t="str">
        <f>Raw_Data!G100</f>
        <v>Referral-CAM</v>
      </c>
      <c r="K100" t="str">
        <f>IFERROR(VLOOKUP(J100,Source_Assumptions!$A:$C,2,0),"Unmapped")</f>
        <v>Referral</v>
      </c>
      <c r="L100" t="str">
        <f>Raw_Data!H100</f>
        <v>AMAZE Petrol</v>
      </c>
      <c r="M100" t="str">
        <f>IFERROR(VLOOKUP(L100,Model_Assumptions!$A:$D,2,0),"Unmapped")</f>
        <v>Sub-4m Sedan</v>
      </c>
      <c r="N100" t="str">
        <f>IFERROR(VLOOKUP(L100,Model_Assumptions!$A:$D,3,0),"Unmapped")</f>
        <v>Petrol</v>
      </c>
      <c r="O100">
        <f>IFERROR(VLOOKUP(L100,Model_Assumptions!$A:$D,4,0),0)</f>
        <v>850000</v>
      </c>
      <c r="P100">
        <f>IFERROR(VLOOKUP(J100,Source_Assumptions!$A:$C,3,0),0)</f>
        <v>150</v>
      </c>
    </row>
    <row r="101" spans="1:16" x14ac:dyDescent="0.3">
      <c r="A101">
        <f>Raw_Data!A101</f>
        <v>100</v>
      </c>
      <c r="B101" s="2">
        <f>Raw_Data!B101</f>
        <v>44620.890393518501</v>
      </c>
      <c r="C101">
        <f>YEAR(Raw_Data!B101)</f>
        <v>2022</v>
      </c>
      <c r="D101" t="str">
        <f>IF(MONTH(Raw_Data!B101)&gt;=4,YEAR(Raw_Data!B101)&amp;"-"&amp;RIGHT(YEAR(Raw_Data!B101)+1,2),YEAR(Raw_Data!B101)-1&amp;"-"&amp;RIGHT(YEAR(Raw_Data!B101),2))</f>
        <v>2021-22</v>
      </c>
      <c r="E101" t="str">
        <f>"Q"&amp;ROUNDUP(MONTH(Raw_Data!B101)/3,0)</f>
        <v>Q1</v>
      </c>
      <c r="F101" t="str">
        <f>TEXT(Raw_Data!B101,"mmm")</f>
        <v>Feb</v>
      </c>
      <c r="G101" t="str">
        <f>TEXT(Raw_Data!B101,"ddd")</f>
        <v>Mon</v>
      </c>
      <c r="H101" t="str">
        <f>Raw_Data!D101</f>
        <v>Invoiced</v>
      </c>
      <c r="I101" t="str">
        <f>Raw_Data!F101</f>
        <v>SMS/ Tele-Out</v>
      </c>
      <c r="J101" t="str">
        <f>Raw_Data!G101</f>
        <v>Referral-CAM</v>
      </c>
      <c r="K101" t="str">
        <f>IFERROR(VLOOKUP(J101,Source_Assumptions!$A:$C,2,0),"Unmapped")</f>
        <v>Referral</v>
      </c>
      <c r="L101" t="str">
        <f>Raw_Data!H101</f>
        <v>AMAZE Petrol</v>
      </c>
      <c r="M101" t="str">
        <f>IFERROR(VLOOKUP(L101,Model_Assumptions!$A:$D,2,0),"Unmapped")</f>
        <v>Sub-4m Sedan</v>
      </c>
      <c r="N101" t="str">
        <f>IFERROR(VLOOKUP(L101,Model_Assumptions!$A:$D,3,0),"Unmapped")</f>
        <v>Petrol</v>
      </c>
      <c r="O101">
        <f>IFERROR(VLOOKUP(L101,Model_Assumptions!$A:$D,4,0),0)</f>
        <v>850000</v>
      </c>
      <c r="P101">
        <f>IFERROR(VLOOKUP(J101,Source_Assumptions!$A:$C,3,0),0)</f>
        <v>150</v>
      </c>
    </row>
    <row r="102" spans="1:16" x14ac:dyDescent="0.3">
      <c r="A102">
        <f>Raw_Data!A102</f>
        <v>101</v>
      </c>
      <c r="B102" s="2">
        <f>Raw_Data!B102</f>
        <v>44620.8987037037</v>
      </c>
      <c r="C102">
        <f>YEAR(Raw_Data!B102)</f>
        <v>2022</v>
      </c>
      <c r="D102" t="str">
        <f>IF(MONTH(Raw_Data!B102)&gt;=4,YEAR(Raw_Data!B102)&amp;"-"&amp;RIGHT(YEAR(Raw_Data!B102)+1,2),YEAR(Raw_Data!B102)-1&amp;"-"&amp;RIGHT(YEAR(Raw_Data!B102),2))</f>
        <v>2021-22</v>
      </c>
      <c r="E102" t="str">
        <f>"Q"&amp;ROUNDUP(MONTH(Raw_Data!B102)/3,0)</f>
        <v>Q1</v>
      </c>
      <c r="F102" t="str">
        <f>TEXT(Raw_Data!B102,"mmm")</f>
        <v>Feb</v>
      </c>
      <c r="G102" t="str">
        <f>TEXT(Raw_Data!B102,"ddd")</f>
        <v>Mon</v>
      </c>
      <c r="H102" t="str">
        <f>Raw_Data!D102</f>
        <v>Invoiced</v>
      </c>
      <c r="I102" t="str">
        <f>Raw_Data!F102</f>
        <v>Web Lead</v>
      </c>
      <c r="J102" t="str">
        <f>Raw_Data!G102</f>
        <v>Web</v>
      </c>
      <c r="K102" t="str">
        <f>IFERROR(VLOOKUP(J102,Source_Assumptions!$A:$C,2,0),"Unmapped")</f>
        <v>Digital - Owned</v>
      </c>
      <c r="L102" t="str">
        <f>Raw_Data!H102</f>
        <v>AMAZE Petrol</v>
      </c>
      <c r="M102" t="str">
        <f>IFERROR(VLOOKUP(L102,Model_Assumptions!$A:$D,2,0),"Unmapped")</f>
        <v>Sub-4m Sedan</v>
      </c>
      <c r="N102" t="str">
        <f>IFERROR(VLOOKUP(L102,Model_Assumptions!$A:$D,3,0),"Unmapped")</f>
        <v>Petrol</v>
      </c>
      <c r="O102">
        <f>IFERROR(VLOOKUP(L102,Model_Assumptions!$A:$D,4,0),0)</f>
        <v>850000</v>
      </c>
      <c r="P102">
        <f>IFERROR(VLOOKUP(J102,Source_Assumptions!$A:$C,3,0),0)</f>
        <v>300</v>
      </c>
    </row>
    <row r="103" spans="1:16" x14ac:dyDescent="0.3">
      <c r="A103">
        <f>Raw_Data!A103</f>
        <v>102</v>
      </c>
      <c r="B103" s="2">
        <f>Raw_Data!B103</f>
        <v>44627.669479166703</v>
      </c>
      <c r="C103">
        <f>YEAR(Raw_Data!B103)</f>
        <v>2022</v>
      </c>
      <c r="D103" t="str">
        <f>IF(MONTH(Raw_Data!B103)&gt;=4,YEAR(Raw_Data!B103)&amp;"-"&amp;RIGHT(YEAR(Raw_Data!B103)+1,2),YEAR(Raw_Data!B103)-1&amp;"-"&amp;RIGHT(YEAR(Raw_Data!B103),2))</f>
        <v>2021-22</v>
      </c>
      <c r="E103" t="str">
        <f>"Q"&amp;ROUNDUP(MONTH(Raw_Data!B103)/3,0)</f>
        <v>Q1</v>
      </c>
      <c r="F103" t="str">
        <f>TEXT(Raw_Data!B103,"mmm")</f>
        <v>Mar</v>
      </c>
      <c r="G103" t="str">
        <f>TEXT(Raw_Data!B103,"ddd")</f>
        <v>Mon</v>
      </c>
      <c r="H103" t="str">
        <f>Raw_Data!D103</f>
        <v>Invoiced</v>
      </c>
      <c r="I103" t="str">
        <f>Raw_Data!F103</f>
        <v>Tele-in</v>
      </c>
      <c r="J103" t="str">
        <f>Raw_Data!G103</f>
        <v>Adver. (TVC/Print/Hoarding/FM)</v>
      </c>
      <c r="K103" t="str">
        <f>IFERROR(VLOOKUP(J103,Source_Assumptions!$A:$C,2,0),"Unmapped")</f>
        <v>Traditional Advertising</v>
      </c>
      <c r="L103" t="str">
        <f>Raw_Data!H103</f>
        <v>AMAZE Petrol</v>
      </c>
      <c r="M103" t="str">
        <f>IFERROR(VLOOKUP(L103,Model_Assumptions!$A:$D,2,0),"Unmapped")</f>
        <v>Sub-4m Sedan</v>
      </c>
      <c r="N103" t="str">
        <f>IFERROR(VLOOKUP(L103,Model_Assumptions!$A:$D,3,0),"Unmapped")</f>
        <v>Petrol</v>
      </c>
      <c r="O103">
        <f>IFERROR(VLOOKUP(L103,Model_Assumptions!$A:$D,4,0),0)</f>
        <v>850000</v>
      </c>
      <c r="P103">
        <f>IFERROR(VLOOKUP(J103,Source_Assumptions!$A:$C,3,0),0)</f>
        <v>1200</v>
      </c>
    </row>
    <row r="104" spans="1:16" x14ac:dyDescent="0.3">
      <c r="A104">
        <f>Raw_Data!A104</f>
        <v>103</v>
      </c>
      <c r="B104" s="2">
        <f>Raw_Data!B104</f>
        <v>44628.596053240697</v>
      </c>
      <c r="C104">
        <f>YEAR(Raw_Data!B104)</f>
        <v>2022</v>
      </c>
      <c r="D104" t="str">
        <f>IF(MONTH(Raw_Data!B104)&gt;=4,YEAR(Raw_Data!B104)&amp;"-"&amp;RIGHT(YEAR(Raw_Data!B104)+1,2),YEAR(Raw_Data!B104)-1&amp;"-"&amp;RIGHT(YEAR(Raw_Data!B104),2))</f>
        <v>2021-22</v>
      </c>
      <c r="E104" t="str">
        <f>"Q"&amp;ROUNDUP(MONTH(Raw_Data!B104)/3,0)</f>
        <v>Q1</v>
      </c>
      <c r="F104" t="str">
        <f>TEXT(Raw_Data!B104,"mmm")</f>
        <v>Mar</v>
      </c>
      <c r="G104" t="str">
        <f>TEXT(Raw_Data!B104,"ddd")</f>
        <v>Tue</v>
      </c>
      <c r="H104" t="str">
        <f>Raw_Data!D104</f>
        <v>Invoiced</v>
      </c>
      <c r="I104" t="str">
        <f>Raw_Data!F104</f>
        <v>Web Lead</v>
      </c>
      <c r="J104" t="str">
        <f>Raw_Data!G104</f>
        <v>Web_CarDekho</v>
      </c>
      <c r="K104" t="str">
        <f>IFERROR(VLOOKUP(J104,Source_Assumptions!$A:$C,2,0),"Unmapped")</f>
        <v>Digital - Aggregator (Paid)</v>
      </c>
      <c r="L104" t="str">
        <f>Raw_Data!H104</f>
        <v>5TH GEN CITY PE</v>
      </c>
      <c r="M104" t="str">
        <f>IFERROR(VLOOKUP(L104,Model_Assumptions!$A:$D,2,0),"Unmapped")</f>
        <v>Mid-size Sedan</v>
      </c>
      <c r="N104" t="str">
        <f>IFERROR(VLOOKUP(L104,Model_Assumptions!$A:$D,3,0),"Unmapped")</f>
        <v>Petrol</v>
      </c>
      <c r="O104">
        <f>IFERROR(VLOOKUP(L104,Model_Assumptions!$A:$D,4,0),0)</f>
        <v>1250000</v>
      </c>
      <c r="P104">
        <f>IFERROR(VLOOKUP(J104,Source_Assumptions!$A:$C,3,0),0)</f>
        <v>900</v>
      </c>
    </row>
    <row r="105" spans="1:16" x14ac:dyDescent="0.3">
      <c r="A105">
        <f>Raw_Data!A105</f>
        <v>104</v>
      </c>
      <c r="B105" s="2">
        <f>Raw_Data!B105</f>
        <v>44629.708263888897</v>
      </c>
      <c r="C105">
        <f>YEAR(Raw_Data!B105)</f>
        <v>2022</v>
      </c>
      <c r="D105" t="str">
        <f>IF(MONTH(Raw_Data!B105)&gt;=4,YEAR(Raw_Data!B105)&amp;"-"&amp;RIGHT(YEAR(Raw_Data!B105)+1,2),YEAR(Raw_Data!B105)-1&amp;"-"&amp;RIGHT(YEAR(Raw_Data!B105),2))</f>
        <v>2021-22</v>
      </c>
      <c r="E105" t="str">
        <f>"Q"&amp;ROUNDUP(MONTH(Raw_Data!B105)/3,0)</f>
        <v>Q1</v>
      </c>
      <c r="F105" t="str">
        <f>TEXT(Raw_Data!B105,"mmm")</f>
        <v>Mar</v>
      </c>
      <c r="G105" t="str">
        <f>TEXT(Raw_Data!B105,"ddd")</f>
        <v>Wed</v>
      </c>
      <c r="H105" t="str">
        <f>Raw_Data!D105</f>
        <v>Invoiced</v>
      </c>
      <c r="I105" t="str">
        <f>Raw_Data!F105</f>
        <v>Walk-in Showroom</v>
      </c>
      <c r="J105" t="str">
        <f>Raw_Data!G105</f>
        <v>Adver. (TVC/Print/Hoarding/FM)</v>
      </c>
      <c r="K105" t="str">
        <f>IFERROR(VLOOKUP(J105,Source_Assumptions!$A:$C,2,0),"Unmapped")</f>
        <v>Traditional Advertising</v>
      </c>
      <c r="L105" t="str">
        <f>Raw_Data!H105</f>
        <v>5TH GEN CITY PE</v>
      </c>
      <c r="M105" t="str">
        <f>IFERROR(VLOOKUP(L105,Model_Assumptions!$A:$D,2,0),"Unmapped")</f>
        <v>Mid-size Sedan</v>
      </c>
      <c r="N105" t="str">
        <f>IFERROR(VLOOKUP(L105,Model_Assumptions!$A:$D,3,0),"Unmapped")</f>
        <v>Petrol</v>
      </c>
      <c r="O105">
        <f>IFERROR(VLOOKUP(L105,Model_Assumptions!$A:$D,4,0),0)</f>
        <v>1250000</v>
      </c>
      <c r="P105">
        <f>IFERROR(VLOOKUP(J105,Source_Assumptions!$A:$C,3,0),0)</f>
        <v>1200</v>
      </c>
    </row>
    <row r="106" spans="1:16" x14ac:dyDescent="0.3">
      <c r="A106">
        <f>Raw_Data!A106</f>
        <v>105</v>
      </c>
      <c r="B106" s="2">
        <f>Raw_Data!B106</f>
        <v>44631.707951388897</v>
      </c>
      <c r="C106">
        <f>YEAR(Raw_Data!B106)</f>
        <v>2022</v>
      </c>
      <c r="D106" t="str">
        <f>IF(MONTH(Raw_Data!B106)&gt;=4,YEAR(Raw_Data!B106)&amp;"-"&amp;RIGHT(YEAR(Raw_Data!B106)+1,2),YEAR(Raw_Data!B106)-1&amp;"-"&amp;RIGHT(YEAR(Raw_Data!B106),2))</f>
        <v>2021-22</v>
      </c>
      <c r="E106" t="str">
        <f>"Q"&amp;ROUNDUP(MONTH(Raw_Data!B106)/3,0)</f>
        <v>Q1</v>
      </c>
      <c r="F106" t="str">
        <f>TEXT(Raw_Data!B106,"mmm")</f>
        <v>Mar</v>
      </c>
      <c r="G106" t="str">
        <f>TEXT(Raw_Data!B106,"ddd")</f>
        <v>Fri</v>
      </c>
      <c r="H106" t="str">
        <f>Raw_Data!D106</f>
        <v>Invoiced</v>
      </c>
      <c r="I106" t="str">
        <f>Raw_Data!F106</f>
        <v>Tele-in</v>
      </c>
      <c r="J106" t="str">
        <f>Raw_Data!G106</f>
        <v>Dealer Webpage Tele-In</v>
      </c>
      <c r="K106" t="str">
        <f>IFERROR(VLOOKUP(J106,Source_Assumptions!$A:$C,2,0),"Unmapped")</f>
        <v>Digital - Owned</v>
      </c>
      <c r="L106" t="str">
        <f>Raw_Data!H106</f>
        <v>5TH GEN CITY PE</v>
      </c>
      <c r="M106" t="str">
        <f>IFERROR(VLOOKUP(L106,Model_Assumptions!$A:$D,2,0),"Unmapped")</f>
        <v>Mid-size Sedan</v>
      </c>
      <c r="N106" t="str">
        <f>IFERROR(VLOOKUP(L106,Model_Assumptions!$A:$D,3,0),"Unmapped")</f>
        <v>Petrol</v>
      </c>
      <c r="O106">
        <f>IFERROR(VLOOKUP(L106,Model_Assumptions!$A:$D,4,0),0)</f>
        <v>1250000</v>
      </c>
      <c r="P106">
        <f>IFERROR(VLOOKUP(J106,Source_Assumptions!$A:$C,3,0),0)</f>
        <v>300</v>
      </c>
    </row>
    <row r="107" spans="1:16" x14ac:dyDescent="0.3">
      <c r="A107">
        <f>Raw_Data!A107</f>
        <v>106</v>
      </c>
      <c r="B107" s="2">
        <f>Raw_Data!B107</f>
        <v>44635.600648148204</v>
      </c>
      <c r="C107">
        <f>YEAR(Raw_Data!B107)</f>
        <v>2022</v>
      </c>
      <c r="D107" t="str">
        <f>IF(MONTH(Raw_Data!B107)&gt;=4,YEAR(Raw_Data!B107)&amp;"-"&amp;RIGHT(YEAR(Raw_Data!B107)+1,2),YEAR(Raw_Data!B107)-1&amp;"-"&amp;RIGHT(YEAR(Raw_Data!B107),2))</f>
        <v>2021-22</v>
      </c>
      <c r="E107" t="str">
        <f>"Q"&amp;ROUNDUP(MONTH(Raw_Data!B107)/3,0)</f>
        <v>Q1</v>
      </c>
      <c r="F107" t="str">
        <f>TEXT(Raw_Data!B107,"mmm")</f>
        <v>Mar</v>
      </c>
      <c r="G107" t="str">
        <f>TEXT(Raw_Data!B107,"ddd")</f>
        <v>Tue</v>
      </c>
      <c r="H107" t="str">
        <f>Raw_Data!D107</f>
        <v>Invoiced</v>
      </c>
      <c r="I107" t="str">
        <f>Raw_Data!F107</f>
        <v>Tele-in</v>
      </c>
      <c r="J107" t="str">
        <f>Raw_Data!G107</f>
        <v>Dealer Webpage Tele-In</v>
      </c>
      <c r="K107" t="str">
        <f>IFERROR(VLOOKUP(J107,Source_Assumptions!$A:$C,2,0),"Unmapped")</f>
        <v>Digital - Owned</v>
      </c>
      <c r="L107" t="str">
        <f>Raw_Data!H107</f>
        <v>AMAZE Petrol</v>
      </c>
      <c r="M107" t="str">
        <f>IFERROR(VLOOKUP(L107,Model_Assumptions!$A:$D,2,0),"Unmapped")</f>
        <v>Sub-4m Sedan</v>
      </c>
      <c r="N107" t="str">
        <f>IFERROR(VLOOKUP(L107,Model_Assumptions!$A:$D,3,0),"Unmapped")</f>
        <v>Petrol</v>
      </c>
      <c r="O107">
        <f>IFERROR(VLOOKUP(L107,Model_Assumptions!$A:$D,4,0),0)</f>
        <v>850000</v>
      </c>
      <c r="P107">
        <f>IFERROR(VLOOKUP(J107,Source_Assumptions!$A:$C,3,0),0)</f>
        <v>300</v>
      </c>
    </row>
    <row r="108" spans="1:16" x14ac:dyDescent="0.3">
      <c r="A108">
        <f>Raw_Data!A108</f>
        <v>107</v>
      </c>
      <c r="B108" s="2">
        <f>Raw_Data!B108</f>
        <v>44635.647592592599</v>
      </c>
      <c r="C108">
        <f>YEAR(Raw_Data!B108)</f>
        <v>2022</v>
      </c>
      <c r="D108" t="str">
        <f>IF(MONTH(Raw_Data!B108)&gt;=4,YEAR(Raw_Data!B108)&amp;"-"&amp;RIGHT(YEAR(Raw_Data!B108)+1,2),YEAR(Raw_Data!B108)-1&amp;"-"&amp;RIGHT(YEAR(Raw_Data!B108),2))</f>
        <v>2021-22</v>
      </c>
      <c r="E108" t="str">
        <f>"Q"&amp;ROUNDUP(MONTH(Raw_Data!B108)/3,0)</f>
        <v>Q1</v>
      </c>
      <c r="F108" t="str">
        <f>TEXT(Raw_Data!B108,"mmm")</f>
        <v>Mar</v>
      </c>
      <c r="G108" t="str">
        <f>TEXT(Raw_Data!B108,"ddd")</f>
        <v>Tue</v>
      </c>
      <c r="H108" t="str">
        <f>Raw_Data!D108</f>
        <v>Invoiced</v>
      </c>
      <c r="I108" t="str">
        <f>Raw_Data!F108</f>
        <v>SMS/ Tele-Out</v>
      </c>
      <c r="J108" t="str">
        <f>Raw_Data!G108</f>
        <v>Database Activity(Teleout/SMS)</v>
      </c>
      <c r="K108" t="str">
        <f>IFERROR(VLOOKUP(J108,Source_Assumptions!$A:$C,2,0),"Unmapped")</f>
        <v>Outbound/Database</v>
      </c>
      <c r="L108" t="str">
        <f>Raw_Data!H108</f>
        <v>5TH GEN CITY PE</v>
      </c>
      <c r="M108" t="str">
        <f>IFERROR(VLOOKUP(L108,Model_Assumptions!$A:$D,2,0),"Unmapped")</f>
        <v>Mid-size Sedan</v>
      </c>
      <c r="N108" t="str">
        <f>IFERROR(VLOOKUP(L108,Model_Assumptions!$A:$D,3,0),"Unmapped")</f>
        <v>Petrol</v>
      </c>
      <c r="O108">
        <f>IFERROR(VLOOKUP(L108,Model_Assumptions!$A:$D,4,0),0)</f>
        <v>1250000</v>
      </c>
      <c r="P108">
        <f>IFERROR(VLOOKUP(J108,Source_Assumptions!$A:$C,3,0),0)</f>
        <v>250</v>
      </c>
    </row>
    <row r="109" spans="1:16" x14ac:dyDescent="0.3">
      <c r="A109">
        <f>Raw_Data!A109</f>
        <v>108</v>
      </c>
      <c r="B109" s="2">
        <f>Raw_Data!B109</f>
        <v>44636.418194444399</v>
      </c>
      <c r="C109">
        <f>YEAR(Raw_Data!B109)</f>
        <v>2022</v>
      </c>
      <c r="D109" t="str">
        <f>IF(MONTH(Raw_Data!B109)&gt;=4,YEAR(Raw_Data!B109)&amp;"-"&amp;RIGHT(YEAR(Raw_Data!B109)+1,2),YEAR(Raw_Data!B109)-1&amp;"-"&amp;RIGHT(YEAR(Raw_Data!B109),2))</f>
        <v>2021-22</v>
      </c>
      <c r="E109" t="str">
        <f>"Q"&amp;ROUNDUP(MONTH(Raw_Data!B109)/3,0)</f>
        <v>Q1</v>
      </c>
      <c r="F109" t="str">
        <f>TEXT(Raw_Data!B109,"mmm")</f>
        <v>Mar</v>
      </c>
      <c r="G109" t="str">
        <f>TEXT(Raw_Data!B109,"ddd")</f>
        <v>Wed</v>
      </c>
      <c r="H109" t="str">
        <f>Raw_Data!D109</f>
        <v>Invoiced</v>
      </c>
      <c r="I109" t="str">
        <f>Raw_Data!F109</f>
        <v>Web Lead</v>
      </c>
      <c r="J109" t="str">
        <f>Raw_Data!G109</f>
        <v>Web</v>
      </c>
      <c r="K109" t="str">
        <f>IFERROR(VLOOKUP(J109,Source_Assumptions!$A:$C,2,0),"Unmapped")</f>
        <v>Digital - Owned</v>
      </c>
      <c r="L109" t="str">
        <f>Raw_Data!H109</f>
        <v>JAZZ PE</v>
      </c>
      <c r="M109" t="str">
        <f>IFERROR(VLOOKUP(L109,Model_Assumptions!$A:$D,2,0),"Unmapped")</f>
        <v>Hatchback</v>
      </c>
      <c r="N109" t="str">
        <f>IFERROR(VLOOKUP(L109,Model_Assumptions!$A:$D,3,0),"Unmapped")</f>
        <v>Petrol</v>
      </c>
      <c r="O109">
        <f>IFERROR(VLOOKUP(L109,Model_Assumptions!$A:$D,4,0),0)</f>
        <v>800000</v>
      </c>
      <c r="P109">
        <f>IFERROR(VLOOKUP(J109,Source_Assumptions!$A:$C,3,0),0)</f>
        <v>300</v>
      </c>
    </row>
    <row r="110" spans="1:16" x14ac:dyDescent="0.3">
      <c r="A110">
        <f>Raw_Data!A110</f>
        <v>109</v>
      </c>
      <c r="B110" s="2">
        <f>Raw_Data!B110</f>
        <v>44637.522002314799</v>
      </c>
      <c r="C110">
        <f>YEAR(Raw_Data!B110)</f>
        <v>2022</v>
      </c>
      <c r="D110" t="str">
        <f>IF(MONTH(Raw_Data!B110)&gt;=4,YEAR(Raw_Data!B110)&amp;"-"&amp;RIGHT(YEAR(Raw_Data!B110)+1,2),YEAR(Raw_Data!B110)-1&amp;"-"&amp;RIGHT(YEAR(Raw_Data!B110),2))</f>
        <v>2021-22</v>
      </c>
      <c r="E110" t="str">
        <f>"Q"&amp;ROUNDUP(MONTH(Raw_Data!B110)/3,0)</f>
        <v>Q1</v>
      </c>
      <c r="F110" t="str">
        <f>TEXT(Raw_Data!B110,"mmm")</f>
        <v>Mar</v>
      </c>
      <c r="G110" t="str">
        <f>TEXT(Raw_Data!B110,"ddd")</f>
        <v>Thu</v>
      </c>
      <c r="H110" t="str">
        <f>Raw_Data!D110</f>
        <v>Invoiced</v>
      </c>
      <c r="I110" t="str">
        <f>Raw_Data!F110</f>
        <v>SMS/ Tele-Out</v>
      </c>
      <c r="J110" t="str">
        <f>Raw_Data!G110</f>
        <v>Database Activity(Teleout/SMS)</v>
      </c>
      <c r="K110" t="str">
        <f>IFERROR(VLOOKUP(J110,Source_Assumptions!$A:$C,2,0),"Unmapped")</f>
        <v>Outbound/Database</v>
      </c>
      <c r="L110" t="str">
        <f>Raw_Data!H110</f>
        <v>AMAZE Petrol</v>
      </c>
      <c r="M110" t="str">
        <f>IFERROR(VLOOKUP(L110,Model_Assumptions!$A:$D,2,0),"Unmapped")</f>
        <v>Sub-4m Sedan</v>
      </c>
      <c r="N110" t="str">
        <f>IFERROR(VLOOKUP(L110,Model_Assumptions!$A:$D,3,0),"Unmapped")</f>
        <v>Petrol</v>
      </c>
      <c r="O110">
        <f>IFERROR(VLOOKUP(L110,Model_Assumptions!$A:$D,4,0),0)</f>
        <v>850000</v>
      </c>
      <c r="P110">
        <f>IFERROR(VLOOKUP(J110,Source_Assumptions!$A:$C,3,0),0)</f>
        <v>250</v>
      </c>
    </row>
    <row r="111" spans="1:16" x14ac:dyDescent="0.3">
      <c r="A111">
        <f>Raw_Data!A111</f>
        <v>110</v>
      </c>
      <c r="B111" s="2">
        <f>Raw_Data!B111</f>
        <v>44637.731712963003</v>
      </c>
      <c r="C111">
        <f>YEAR(Raw_Data!B111)</f>
        <v>2022</v>
      </c>
      <c r="D111" t="str">
        <f>IF(MONTH(Raw_Data!B111)&gt;=4,YEAR(Raw_Data!B111)&amp;"-"&amp;RIGHT(YEAR(Raw_Data!B111)+1,2),YEAR(Raw_Data!B111)-1&amp;"-"&amp;RIGHT(YEAR(Raw_Data!B111),2))</f>
        <v>2021-22</v>
      </c>
      <c r="E111" t="str">
        <f>"Q"&amp;ROUNDUP(MONTH(Raw_Data!B111)/3,0)</f>
        <v>Q1</v>
      </c>
      <c r="F111" t="str">
        <f>TEXT(Raw_Data!B111,"mmm")</f>
        <v>Mar</v>
      </c>
      <c r="G111" t="str">
        <f>TEXT(Raw_Data!B111,"ddd")</f>
        <v>Thu</v>
      </c>
      <c r="H111" t="str">
        <f>Raw_Data!D111</f>
        <v>Invoiced</v>
      </c>
      <c r="I111" t="str">
        <f>Raw_Data!F111</f>
        <v>Walk-in Showroom</v>
      </c>
      <c r="J111" t="str">
        <f>Raw_Data!G111</f>
        <v>Adver. (TVC/Print/Hoarding/FM)</v>
      </c>
      <c r="K111" t="str">
        <f>IFERROR(VLOOKUP(J111,Source_Assumptions!$A:$C,2,0),"Unmapped")</f>
        <v>Traditional Advertising</v>
      </c>
      <c r="L111" t="str">
        <f>Raw_Data!H111</f>
        <v>AMAZE Petrol</v>
      </c>
      <c r="M111" t="str">
        <f>IFERROR(VLOOKUP(L111,Model_Assumptions!$A:$D,2,0),"Unmapped")</f>
        <v>Sub-4m Sedan</v>
      </c>
      <c r="N111" t="str">
        <f>IFERROR(VLOOKUP(L111,Model_Assumptions!$A:$D,3,0),"Unmapped")</f>
        <v>Petrol</v>
      </c>
      <c r="O111">
        <f>IFERROR(VLOOKUP(L111,Model_Assumptions!$A:$D,4,0),0)</f>
        <v>850000</v>
      </c>
      <c r="P111">
        <f>IFERROR(VLOOKUP(J111,Source_Assumptions!$A:$C,3,0),0)</f>
        <v>1200</v>
      </c>
    </row>
    <row r="112" spans="1:16" x14ac:dyDescent="0.3">
      <c r="A112">
        <f>Raw_Data!A112</f>
        <v>111</v>
      </c>
      <c r="B112" s="2">
        <f>Raw_Data!B112</f>
        <v>44637.7449305556</v>
      </c>
      <c r="C112">
        <f>YEAR(Raw_Data!B112)</f>
        <v>2022</v>
      </c>
      <c r="D112" t="str">
        <f>IF(MONTH(Raw_Data!B112)&gt;=4,YEAR(Raw_Data!B112)&amp;"-"&amp;RIGHT(YEAR(Raw_Data!B112)+1,2),YEAR(Raw_Data!B112)-1&amp;"-"&amp;RIGHT(YEAR(Raw_Data!B112),2))</f>
        <v>2021-22</v>
      </c>
      <c r="E112" t="str">
        <f>"Q"&amp;ROUNDUP(MONTH(Raw_Data!B112)/3,0)</f>
        <v>Q1</v>
      </c>
      <c r="F112" t="str">
        <f>TEXT(Raw_Data!B112,"mmm")</f>
        <v>Mar</v>
      </c>
      <c r="G112" t="str">
        <f>TEXT(Raw_Data!B112,"ddd")</f>
        <v>Thu</v>
      </c>
      <c r="H112" t="str">
        <f>Raw_Data!D112</f>
        <v>Invoiced</v>
      </c>
      <c r="I112" t="str">
        <f>Raw_Data!F112</f>
        <v>SMS/ Tele-Out</v>
      </c>
      <c r="J112" t="str">
        <f>Raw_Data!G112</f>
        <v>Database Activity(Teleout/SMS)</v>
      </c>
      <c r="K112" t="str">
        <f>IFERROR(VLOOKUP(J112,Source_Assumptions!$A:$C,2,0),"Unmapped")</f>
        <v>Outbound/Database</v>
      </c>
      <c r="L112" t="str">
        <f>Raw_Data!H112</f>
        <v>5TH GEN CITY DE</v>
      </c>
      <c r="M112" t="str">
        <f>IFERROR(VLOOKUP(L112,Model_Assumptions!$A:$D,2,0),"Unmapped")</f>
        <v>Mid-size Sedan</v>
      </c>
      <c r="N112" t="str">
        <f>IFERROR(VLOOKUP(L112,Model_Assumptions!$A:$D,3,0),"Unmapped")</f>
        <v>Diesel</v>
      </c>
      <c r="O112">
        <f>IFERROR(VLOOKUP(L112,Model_Assumptions!$A:$D,4,0),0)</f>
        <v>1350000</v>
      </c>
      <c r="P112">
        <f>IFERROR(VLOOKUP(J112,Source_Assumptions!$A:$C,3,0),0)</f>
        <v>250</v>
      </c>
    </row>
    <row r="113" spans="1:16" x14ac:dyDescent="0.3">
      <c r="A113">
        <f>Raw_Data!A113</f>
        <v>112</v>
      </c>
      <c r="B113" s="2">
        <f>Raw_Data!B113</f>
        <v>44638.560486111099</v>
      </c>
      <c r="C113">
        <f>YEAR(Raw_Data!B113)</f>
        <v>2022</v>
      </c>
      <c r="D113" t="str">
        <f>IF(MONTH(Raw_Data!B113)&gt;=4,YEAR(Raw_Data!B113)&amp;"-"&amp;RIGHT(YEAR(Raw_Data!B113)+1,2),YEAR(Raw_Data!B113)-1&amp;"-"&amp;RIGHT(YEAR(Raw_Data!B113),2))</f>
        <v>2021-22</v>
      </c>
      <c r="E113" t="str">
        <f>"Q"&amp;ROUNDUP(MONTH(Raw_Data!B113)/3,0)</f>
        <v>Q1</v>
      </c>
      <c r="F113" t="str">
        <f>TEXT(Raw_Data!B113,"mmm")</f>
        <v>Mar</v>
      </c>
      <c r="G113" t="str">
        <f>TEXT(Raw_Data!B113,"ddd")</f>
        <v>Fri</v>
      </c>
      <c r="H113" t="str">
        <f>Raw_Data!D113</f>
        <v>Invoiced</v>
      </c>
      <c r="I113" t="str">
        <f>Raw_Data!F113</f>
        <v>Tele-in</v>
      </c>
      <c r="J113" t="str">
        <f>Raw_Data!G113</f>
        <v>Dealer Webpage Tele-In</v>
      </c>
      <c r="K113" t="str">
        <f>IFERROR(VLOOKUP(J113,Source_Assumptions!$A:$C,2,0),"Unmapped")</f>
        <v>Digital - Owned</v>
      </c>
      <c r="L113" t="str">
        <f>Raw_Data!H113</f>
        <v>AMAZE Petrol</v>
      </c>
      <c r="M113" t="str">
        <f>IFERROR(VLOOKUP(L113,Model_Assumptions!$A:$D,2,0),"Unmapped")</f>
        <v>Sub-4m Sedan</v>
      </c>
      <c r="N113" t="str">
        <f>IFERROR(VLOOKUP(L113,Model_Assumptions!$A:$D,3,0),"Unmapped")</f>
        <v>Petrol</v>
      </c>
      <c r="O113">
        <f>IFERROR(VLOOKUP(L113,Model_Assumptions!$A:$D,4,0),0)</f>
        <v>850000</v>
      </c>
      <c r="P113">
        <f>IFERROR(VLOOKUP(J113,Source_Assumptions!$A:$C,3,0),0)</f>
        <v>300</v>
      </c>
    </row>
    <row r="114" spans="1:16" x14ac:dyDescent="0.3">
      <c r="A114">
        <f>Raw_Data!A114</f>
        <v>113</v>
      </c>
      <c r="B114" s="2">
        <f>Raw_Data!B114</f>
        <v>44638.633136574099</v>
      </c>
      <c r="C114">
        <f>YEAR(Raw_Data!B114)</f>
        <v>2022</v>
      </c>
      <c r="D114" t="str">
        <f>IF(MONTH(Raw_Data!B114)&gt;=4,YEAR(Raw_Data!B114)&amp;"-"&amp;RIGHT(YEAR(Raw_Data!B114)+1,2),YEAR(Raw_Data!B114)-1&amp;"-"&amp;RIGHT(YEAR(Raw_Data!B114),2))</f>
        <v>2021-22</v>
      </c>
      <c r="E114" t="str">
        <f>"Q"&amp;ROUNDUP(MONTH(Raw_Data!B114)/3,0)</f>
        <v>Q1</v>
      </c>
      <c r="F114" t="str">
        <f>TEXT(Raw_Data!B114,"mmm")</f>
        <v>Mar</v>
      </c>
      <c r="G114" t="str">
        <f>TEXT(Raw_Data!B114,"ddd")</f>
        <v>Fri</v>
      </c>
      <c r="H114" t="str">
        <f>Raw_Data!D114</f>
        <v>Invoiced</v>
      </c>
      <c r="I114" t="str">
        <f>Raw_Data!F114</f>
        <v>Tele-in</v>
      </c>
      <c r="J114" t="str">
        <f>Raw_Data!G114</f>
        <v>Dealer Webpage Tele-In</v>
      </c>
      <c r="K114" t="str">
        <f>IFERROR(VLOOKUP(J114,Source_Assumptions!$A:$C,2,0),"Unmapped")</f>
        <v>Digital - Owned</v>
      </c>
      <c r="L114" t="str">
        <f>Raw_Data!H114</f>
        <v>AMAZE Petrol</v>
      </c>
      <c r="M114" t="str">
        <f>IFERROR(VLOOKUP(L114,Model_Assumptions!$A:$D,2,0),"Unmapped")</f>
        <v>Sub-4m Sedan</v>
      </c>
      <c r="N114" t="str">
        <f>IFERROR(VLOOKUP(L114,Model_Assumptions!$A:$D,3,0),"Unmapped")</f>
        <v>Petrol</v>
      </c>
      <c r="O114">
        <f>IFERROR(VLOOKUP(L114,Model_Assumptions!$A:$D,4,0),0)</f>
        <v>850000</v>
      </c>
      <c r="P114">
        <f>IFERROR(VLOOKUP(J114,Source_Assumptions!$A:$C,3,0),0)</f>
        <v>300</v>
      </c>
    </row>
    <row r="115" spans="1:16" x14ac:dyDescent="0.3">
      <c r="A115">
        <f>Raw_Data!A115</f>
        <v>114</v>
      </c>
      <c r="B115" s="2">
        <f>Raw_Data!B115</f>
        <v>44638.656643518501</v>
      </c>
      <c r="C115">
        <f>YEAR(Raw_Data!B115)</f>
        <v>2022</v>
      </c>
      <c r="D115" t="str">
        <f>IF(MONTH(Raw_Data!B115)&gt;=4,YEAR(Raw_Data!B115)&amp;"-"&amp;RIGHT(YEAR(Raw_Data!B115)+1,2),YEAR(Raw_Data!B115)-1&amp;"-"&amp;RIGHT(YEAR(Raw_Data!B115),2))</f>
        <v>2021-22</v>
      </c>
      <c r="E115" t="str">
        <f>"Q"&amp;ROUNDUP(MONTH(Raw_Data!B115)/3,0)</f>
        <v>Q1</v>
      </c>
      <c r="F115" t="str">
        <f>TEXT(Raw_Data!B115,"mmm")</f>
        <v>Mar</v>
      </c>
      <c r="G115" t="str">
        <f>TEXT(Raw_Data!B115,"ddd")</f>
        <v>Fri</v>
      </c>
      <c r="H115" t="str">
        <f>Raw_Data!D115</f>
        <v>Invoiced</v>
      </c>
      <c r="I115" t="str">
        <f>Raw_Data!F115</f>
        <v>Tele-in</v>
      </c>
      <c r="J115" t="str">
        <f>Raw_Data!G115</f>
        <v>Dealer Webpage Tele-In</v>
      </c>
      <c r="K115" t="str">
        <f>IFERROR(VLOOKUP(J115,Source_Assumptions!$A:$C,2,0),"Unmapped")</f>
        <v>Digital - Owned</v>
      </c>
      <c r="L115" t="str">
        <f>Raw_Data!H115</f>
        <v>AMAZE Petrol</v>
      </c>
      <c r="M115" t="str">
        <f>IFERROR(VLOOKUP(L115,Model_Assumptions!$A:$D,2,0),"Unmapped")</f>
        <v>Sub-4m Sedan</v>
      </c>
      <c r="N115" t="str">
        <f>IFERROR(VLOOKUP(L115,Model_Assumptions!$A:$D,3,0),"Unmapped")</f>
        <v>Petrol</v>
      </c>
      <c r="O115">
        <f>IFERROR(VLOOKUP(L115,Model_Assumptions!$A:$D,4,0),0)</f>
        <v>850000</v>
      </c>
      <c r="P115">
        <f>IFERROR(VLOOKUP(J115,Source_Assumptions!$A:$C,3,0),0)</f>
        <v>300</v>
      </c>
    </row>
    <row r="116" spans="1:16" x14ac:dyDescent="0.3">
      <c r="A116">
        <f>Raw_Data!A116</f>
        <v>115</v>
      </c>
      <c r="B116" s="2">
        <f>Raw_Data!B116</f>
        <v>44638.661655092597</v>
      </c>
      <c r="C116">
        <f>YEAR(Raw_Data!B116)</f>
        <v>2022</v>
      </c>
      <c r="D116" t="str">
        <f>IF(MONTH(Raw_Data!B116)&gt;=4,YEAR(Raw_Data!B116)&amp;"-"&amp;RIGHT(YEAR(Raw_Data!B116)+1,2),YEAR(Raw_Data!B116)-1&amp;"-"&amp;RIGHT(YEAR(Raw_Data!B116),2))</f>
        <v>2021-22</v>
      </c>
      <c r="E116" t="str">
        <f>"Q"&amp;ROUNDUP(MONTH(Raw_Data!B116)/3,0)</f>
        <v>Q1</v>
      </c>
      <c r="F116" t="str">
        <f>TEXT(Raw_Data!B116,"mmm")</f>
        <v>Mar</v>
      </c>
      <c r="G116" t="str">
        <f>TEXT(Raw_Data!B116,"ddd")</f>
        <v>Fri</v>
      </c>
      <c r="H116" t="str">
        <f>Raw_Data!D116</f>
        <v>Invoiced</v>
      </c>
      <c r="I116" t="str">
        <f>Raw_Data!F116</f>
        <v>SMS/ Tele-Out</v>
      </c>
      <c r="J116" t="str">
        <f>Raw_Data!G116</f>
        <v>Database Activity(Teleout/SMS)</v>
      </c>
      <c r="K116" t="str">
        <f>IFERROR(VLOOKUP(J116,Source_Assumptions!$A:$C,2,0),"Unmapped")</f>
        <v>Outbound/Database</v>
      </c>
      <c r="L116" t="str">
        <f>Raw_Data!H116</f>
        <v>5TH GEN CITY PE</v>
      </c>
      <c r="M116" t="str">
        <f>IFERROR(VLOOKUP(L116,Model_Assumptions!$A:$D,2,0),"Unmapped")</f>
        <v>Mid-size Sedan</v>
      </c>
      <c r="N116" t="str">
        <f>IFERROR(VLOOKUP(L116,Model_Assumptions!$A:$D,3,0),"Unmapped")</f>
        <v>Petrol</v>
      </c>
      <c r="O116">
        <f>IFERROR(VLOOKUP(L116,Model_Assumptions!$A:$D,4,0),0)</f>
        <v>1250000</v>
      </c>
      <c r="P116">
        <f>IFERROR(VLOOKUP(J116,Source_Assumptions!$A:$C,3,0),0)</f>
        <v>250</v>
      </c>
    </row>
    <row r="117" spans="1:16" x14ac:dyDescent="0.3">
      <c r="A117">
        <f>Raw_Data!A117</f>
        <v>116</v>
      </c>
      <c r="B117" s="2">
        <f>Raw_Data!B117</f>
        <v>44638.712488425903</v>
      </c>
      <c r="C117">
        <f>YEAR(Raw_Data!B117)</f>
        <v>2022</v>
      </c>
      <c r="D117" t="str">
        <f>IF(MONTH(Raw_Data!B117)&gt;=4,YEAR(Raw_Data!B117)&amp;"-"&amp;RIGHT(YEAR(Raw_Data!B117)+1,2),YEAR(Raw_Data!B117)-1&amp;"-"&amp;RIGHT(YEAR(Raw_Data!B117),2))</f>
        <v>2021-22</v>
      </c>
      <c r="E117" t="str">
        <f>"Q"&amp;ROUNDUP(MONTH(Raw_Data!B117)/3,0)</f>
        <v>Q1</v>
      </c>
      <c r="F117" t="str">
        <f>TEXT(Raw_Data!B117,"mmm")</f>
        <v>Mar</v>
      </c>
      <c r="G117" t="str">
        <f>TEXT(Raw_Data!B117,"ddd")</f>
        <v>Fri</v>
      </c>
      <c r="H117" t="str">
        <f>Raw_Data!D117</f>
        <v>Invoiced</v>
      </c>
      <c r="I117" t="str">
        <f>Raw_Data!F117</f>
        <v>SMS/ Tele-Out</v>
      </c>
      <c r="J117" t="str">
        <f>Raw_Data!G117</f>
        <v>Database Activity(Teleout/SMS)</v>
      </c>
      <c r="K117" t="str">
        <f>IFERROR(VLOOKUP(J117,Source_Assumptions!$A:$C,2,0),"Unmapped")</f>
        <v>Outbound/Database</v>
      </c>
      <c r="L117" t="str">
        <f>Raw_Data!H117</f>
        <v>AMAZE Petrol</v>
      </c>
      <c r="M117" t="str">
        <f>IFERROR(VLOOKUP(L117,Model_Assumptions!$A:$D,2,0),"Unmapped")</f>
        <v>Sub-4m Sedan</v>
      </c>
      <c r="N117" t="str">
        <f>IFERROR(VLOOKUP(L117,Model_Assumptions!$A:$D,3,0),"Unmapped")</f>
        <v>Petrol</v>
      </c>
      <c r="O117">
        <f>IFERROR(VLOOKUP(L117,Model_Assumptions!$A:$D,4,0),0)</f>
        <v>850000</v>
      </c>
      <c r="P117">
        <f>IFERROR(VLOOKUP(J117,Source_Assumptions!$A:$C,3,0),0)</f>
        <v>250</v>
      </c>
    </row>
    <row r="118" spans="1:16" x14ac:dyDescent="0.3">
      <c r="A118">
        <f>Raw_Data!A118</f>
        <v>117</v>
      </c>
      <c r="B118" s="2">
        <f>Raw_Data!B118</f>
        <v>44638.792476851901</v>
      </c>
      <c r="C118">
        <f>YEAR(Raw_Data!B118)</f>
        <v>2022</v>
      </c>
      <c r="D118" t="str">
        <f>IF(MONTH(Raw_Data!B118)&gt;=4,YEAR(Raw_Data!B118)&amp;"-"&amp;RIGHT(YEAR(Raw_Data!B118)+1,2),YEAR(Raw_Data!B118)-1&amp;"-"&amp;RIGHT(YEAR(Raw_Data!B118),2))</f>
        <v>2021-22</v>
      </c>
      <c r="E118" t="str">
        <f>"Q"&amp;ROUNDUP(MONTH(Raw_Data!B118)/3,0)</f>
        <v>Q1</v>
      </c>
      <c r="F118" t="str">
        <f>TEXT(Raw_Data!B118,"mmm")</f>
        <v>Mar</v>
      </c>
      <c r="G118" t="str">
        <f>TEXT(Raw_Data!B118,"ddd")</f>
        <v>Fri</v>
      </c>
      <c r="H118" t="str">
        <f>Raw_Data!D118</f>
        <v>Invoiced</v>
      </c>
      <c r="I118" t="str">
        <f>Raw_Data!F118</f>
        <v>Tele-in</v>
      </c>
      <c r="J118" t="str">
        <f>Raw_Data!G118</f>
        <v>Referral-CAM</v>
      </c>
      <c r="K118" t="str">
        <f>IFERROR(VLOOKUP(J118,Source_Assumptions!$A:$C,2,0),"Unmapped")</f>
        <v>Referral</v>
      </c>
      <c r="L118" t="str">
        <f>Raw_Data!H118</f>
        <v>CITY PE</v>
      </c>
      <c r="M118" t="str">
        <f>IFERROR(VLOOKUP(L118,Model_Assumptions!$A:$D,2,0),"Unmapped")</f>
        <v>Mid-size Sedan</v>
      </c>
      <c r="N118" t="str">
        <f>IFERROR(VLOOKUP(L118,Model_Assumptions!$A:$D,3,0),"Unmapped")</f>
        <v>Petrol</v>
      </c>
      <c r="O118">
        <f>IFERROR(VLOOKUP(L118,Model_Assumptions!$A:$D,4,0),0)</f>
        <v>1100000</v>
      </c>
      <c r="P118">
        <f>IFERROR(VLOOKUP(J118,Source_Assumptions!$A:$C,3,0),0)</f>
        <v>150</v>
      </c>
    </row>
    <row r="119" spans="1:16" x14ac:dyDescent="0.3">
      <c r="A119">
        <f>Raw_Data!A119</f>
        <v>118</v>
      </c>
      <c r="B119" s="2">
        <f>Raw_Data!B119</f>
        <v>44639.513356481497</v>
      </c>
      <c r="C119">
        <f>YEAR(Raw_Data!B119)</f>
        <v>2022</v>
      </c>
      <c r="D119" t="str">
        <f>IF(MONTH(Raw_Data!B119)&gt;=4,YEAR(Raw_Data!B119)&amp;"-"&amp;RIGHT(YEAR(Raw_Data!B119)+1,2),YEAR(Raw_Data!B119)-1&amp;"-"&amp;RIGHT(YEAR(Raw_Data!B119),2))</f>
        <v>2021-22</v>
      </c>
      <c r="E119" t="str">
        <f>"Q"&amp;ROUNDUP(MONTH(Raw_Data!B119)/3,0)</f>
        <v>Q1</v>
      </c>
      <c r="F119" t="str">
        <f>TEXT(Raw_Data!B119,"mmm")</f>
        <v>Mar</v>
      </c>
      <c r="G119" t="str">
        <f>TEXT(Raw_Data!B119,"ddd")</f>
        <v>Sat</v>
      </c>
      <c r="H119" t="str">
        <f>Raw_Data!D119</f>
        <v>Invoiced</v>
      </c>
      <c r="I119" t="str">
        <f>Raw_Data!F119</f>
        <v>Walk-in Showroom</v>
      </c>
      <c r="J119" t="str">
        <f>Raw_Data!G119</f>
        <v>Adver. (TVC/Print/Hoarding/FM)</v>
      </c>
      <c r="K119" t="str">
        <f>IFERROR(VLOOKUP(J119,Source_Assumptions!$A:$C,2,0),"Unmapped")</f>
        <v>Traditional Advertising</v>
      </c>
      <c r="L119" t="str">
        <f>Raw_Data!H119</f>
        <v>AMAZE Petrol</v>
      </c>
      <c r="M119" t="str">
        <f>IFERROR(VLOOKUP(L119,Model_Assumptions!$A:$D,2,0),"Unmapped")</f>
        <v>Sub-4m Sedan</v>
      </c>
      <c r="N119" t="str">
        <f>IFERROR(VLOOKUP(L119,Model_Assumptions!$A:$D,3,0),"Unmapped")</f>
        <v>Petrol</v>
      </c>
      <c r="O119">
        <f>IFERROR(VLOOKUP(L119,Model_Assumptions!$A:$D,4,0),0)</f>
        <v>850000</v>
      </c>
      <c r="P119">
        <f>IFERROR(VLOOKUP(J119,Source_Assumptions!$A:$C,3,0),0)</f>
        <v>1200</v>
      </c>
    </row>
    <row r="120" spans="1:16" x14ac:dyDescent="0.3">
      <c r="A120">
        <f>Raw_Data!A120</f>
        <v>119</v>
      </c>
      <c r="B120" s="2">
        <f>Raw_Data!B120</f>
        <v>44639.643067129597</v>
      </c>
      <c r="C120">
        <f>YEAR(Raw_Data!B120)</f>
        <v>2022</v>
      </c>
      <c r="D120" t="str">
        <f>IF(MONTH(Raw_Data!B120)&gt;=4,YEAR(Raw_Data!B120)&amp;"-"&amp;RIGHT(YEAR(Raw_Data!B120)+1,2),YEAR(Raw_Data!B120)-1&amp;"-"&amp;RIGHT(YEAR(Raw_Data!B120),2))</f>
        <v>2021-22</v>
      </c>
      <c r="E120" t="str">
        <f>"Q"&amp;ROUNDUP(MONTH(Raw_Data!B120)/3,0)</f>
        <v>Q1</v>
      </c>
      <c r="F120" t="str">
        <f>TEXT(Raw_Data!B120,"mmm")</f>
        <v>Mar</v>
      </c>
      <c r="G120" t="str">
        <f>TEXT(Raw_Data!B120,"ddd")</f>
        <v>Sat</v>
      </c>
      <c r="H120" t="str">
        <f>Raw_Data!D120</f>
        <v>Invoiced</v>
      </c>
      <c r="I120" t="str">
        <f>Raw_Data!F120</f>
        <v>SMS/ Tele-Out</v>
      </c>
      <c r="J120" t="str">
        <f>Raw_Data!G120</f>
        <v>Database Activity(Teleout/SMS)</v>
      </c>
      <c r="K120" t="str">
        <f>IFERROR(VLOOKUP(J120,Source_Assumptions!$A:$C,2,0),"Unmapped")</f>
        <v>Outbound/Database</v>
      </c>
      <c r="L120" t="str">
        <f>Raw_Data!H120</f>
        <v>AMAZE Petrol</v>
      </c>
      <c r="M120" t="str">
        <f>IFERROR(VLOOKUP(L120,Model_Assumptions!$A:$D,2,0),"Unmapped")</f>
        <v>Sub-4m Sedan</v>
      </c>
      <c r="N120" t="str">
        <f>IFERROR(VLOOKUP(L120,Model_Assumptions!$A:$D,3,0),"Unmapped")</f>
        <v>Petrol</v>
      </c>
      <c r="O120">
        <f>IFERROR(VLOOKUP(L120,Model_Assumptions!$A:$D,4,0),0)</f>
        <v>850000</v>
      </c>
      <c r="P120">
        <f>IFERROR(VLOOKUP(J120,Source_Assumptions!$A:$C,3,0),0)</f>
        <v>250</v>
      </c>
    </row>
    <row r="121" spans="1:16" x14ac:dyDescent="0.3">
      <c r="A121">
        <f>Raw_Data!A121</f>
        <v>120</v>
      </c>
      <c r="B121" s="2">
        <f>Raw_Data!B121</f>
        <v>44639.705173611103</v>
      </c>
      <c r="C121">
        <f>YEAR(Raw_Data!B121)</f>
        <v>2022</v>
      </c>
      <c r="D121" t="str">
        <f>IF(MONTH(Raw_Data!B121)&gt;=4,YEAR(Raw_Data!B121)&amp;"-"&amp;RIGHT(YEAR(Raw_Data!B121)+1,2),YEAR(Raw_Data!B121)-1&amp;"-"&amp;RIGHT(YEAR(Raw_Data!B121),2))</f>
        <v>2021-22</v>
      </c>
      <c r="E121" t="str">
        <f>"Q"&amp;ROUNDUP(MONTH(Raw_Data!B121)/3,0)</f>
        <v>Q1</v>
      </c>
      <c r="F121" t="str">
        <f>TEXT(Raw_Data!B121,"mmm")</f>
        <v>Mar</v>
      </c>
      <c r="G121" t="str">
        <f>TEXT(Raw_Data!B121,"ddd")</f>
        <v>Sat</v>
      </c>
      <c r="H121" t="str">
        <f>Raw_Data!D121</f>
        <v>Invoiced</v>
      </c>
      <c r="I121" t="str">
        <f>Raw_Data!F121</f>
        <v>SMS/ Tele-Out</v>
      </c>
      <c r="J121" t="str">
        <f>Raw_Data!G121</f>
        <v>Database Activity(Teleout/SMS)</v>
      </c>
      <c r="K121" t="str">
        <f>IFERROR(VLOOKUP(J121,Source_Assumptions!$A:$C,2,0),"Unmapped")</f>
        <v>Outbound/Database</v>
      </c>
      <c r="L121" t="str">
        <f>Raw_Data!H121</f>
        <v>AMAZE Petrol</v>
      </c>
      <c r="M121" t="str">
        <f>IFERROR(VLOOKUP(L121,Model_Assumptions!$A:$D,2,0),"Unmapped")</f>
        <v>Sub-4m Sedan</v>
      </c>
      <c r="N121" t="str">
        <f>IFERROR(VLOOKUP(L121,Model_Assumptions!$A:$D,3,0),"Unmapped")</f>
        <v>Petrol</v>
      </c>
      <c r="O121">
        <f>IFERROR(VLOOKUP(L121,Model_Assumptions!$A:$D,4,0),0)</f>
        <v>850000</v>
      </c>
      <c r="P121">
        <f>IFERROR(VLOOKUP(J121,Source_Assumptions!$A:$C,3,0),0)</f>
        <v>250</v>
      </c>
    </row>
    <row r="122" spans="1:16" x14ac:dyDescent="0.3">
      <c r="A122">
        <f>Raw_Data!A122</f>
        <v>121</v>
      </c>
      <c r="B122" s="2">
        <f>Raw_Data!B122</f>
        <v>44639.735983796301</v>
      </c>
      <c r="C122">
        <f>YEAR(Raw_Data!B122)</f>
        <v>2022</v>
      </c>
      <c r="D122" t="str">
        <f>IF(MONTH(Raw_Data!B122)&gt;=4,YEAR(Raw_Data!B122)&amp;"-"&amp;RIGHT(YEAR(Raw_Data!B122)+1,2),YEAR(Raw_Data!B122)-1&amp;"-"&amp;RIGHT(YEAR(Raw_Data!B122),2))</f>
        <v>2021-22</v>
      </c>
      <c r="E122" t="str">
        <f>"Q"&amp;ROUNDUP(MONTH(Raw_Data!B122)/3,0)</f>
        <v>Q1</v>
      </c>
      <c r="F122" t="str">
        <f>TEXT(Raw_Data!B122,"mmm")</f>
        <v>Mar</v>
      </c>
      <c r="G122" t="str">
        <f>TEXT(Raw_Data!B122,"ddd")</f>
        <v>Sat</v>
      </c>
      <c r="H122" t="str">
        <f>Raw_Data!D122</f>
        <v>Invoiced</v>
      </c>
      <c r="I122" t="str">
        <f>Raw_Data!F122</f>
        <v>Walk-in Showroom</v>
      </c>
      <c r="J122" t="str">
        <f>Raw_Data!G122</f>
        <v>Adver. (TVC/Print/Hoarding/FM)</v>
      </c>
      <c r="K122" t="str">
        <f>IFERROR(VLOOKUP(J122,Source_Assumptions!$A:$C,2,0),"Unmapped")</f>
        <v>Traditional Advertising</v>
      </c>
      <c r="L122" t="str">
        <f>Raw_Data!H122</f>
        <v>5TH GEN CITY PE</v>
      </c>
      <c r="M122" t="str">
        <f>IFERROR(VLOOKUP(L122,Model_Assumptions!$A:$D,2,0),"Unmapped")</f>
        <v>Mid-size Sedan</v>
      </c>
      <c r="N122" t="str">
        <f>IFERROR(VLOOKUP(L122,Model_Assumptions!$A:$D,3,0),"Unmapped")</f>
        <v>Petrol</v>
      </c>
      <c r="O122">
        <f>IFERROR(VLOOKUP(L122,Model_Assumptions!$A:$D,4,0),0)</f>
        <v>1250000</v>
      </c>
      <c r="P122">
        <f>IFERROR(VLOOKUP(J122,Source_Assumptions!$A:$C,3,0),0)</f>
        <v>1200</v>
      </c>
    </row>
    <row r="123" spans="1:16" x14ac:dyDescent="0.3">
      <c r="A123">
        <f>Raw_Data!A123</f>
        <v>122</v>
      </c>
      <c r="B123" s="2">
        <f>Raw_Data!B123</f>
        <v>44641.7342824074</v>
      </c>
      <c r="C123">
        <f>YEAR(Raw_Data!B123)</f>
        <v>2022</v>
      </c>
      <c r="D123" t="str">
        <f>IF(MONTH(Raw_Data!B123)&gt;=4,YEAR(Raw_Data!B123)&amp;"-"&amp;RIGHT(YEAR(Raw_Data!B123)+1,2),YEAR(Raw_Data!B123)-1&amp;"-"&amp;RIGHT(YEAR(Raw_Data!B123),2))</f>
        <v>2021-22</v>
      </c>
      <c r="E123" t="str">
        <f>"Q"&amp;ROUNDUP(MONTH(Raw_Data!B123)/3,0)</f>
        <v>Q1</v>
      </c>
      <c r="F123" t="str">
        <f>TEXT(Raw_Data!B123,"mmm")</f>
        <v>Mar</v>
      </c>
      <c r="G123" t="str">
        <f>TEXT(Raw_Data!B123,"ddd")</f>
        <v>Mon</v>
      </c>
      <c r="H123" t="str">
        <f>Raw_Data!D123</f>
        <v>Invoiced</v>
      </c>
      <c r="I123" t="str">
        <f>Raw_Data!F123</f>
        <v>Tele-in</v>
      </c>
      <c r="J123" t="str">
        <f>Raw_Data!G123</f>
        <v>Referral-CAM</v>
      </c>
      <c r="K123" t="str">
        <f>IFERROR(VLOOKUP(J123,Source_Assumptions!$A:$C,2,0),"Unmapped")</f>
        <v>Referral</v>
      </c>
      <c r="L123" t="str">
        <f>Raw_Data!H123</f>
        <v>AMAZE Petrol</v>
      </c>
      <c r="M123" t="str">
        <f>IFERROR(VLOOKUP(L123,Model_Assumptions!$A:$D,2,0),"Unmapped")</f>
        <v>Sub-4m Sedan</v>
      </c>
      <c r="N123" t="str">
        <f>IFERROR(VLOOKUP(L123,Model_Assumptions!$A:$D,3,0),"Unmapped")</f>
        <v>Petrol</v>
      </c>
      <c r="O123">
        <f>IFERROR(VLOOKUP(L123,Model_Assumptions!$A:$D,4,0),0)</f>
        <v>850000</v>
      </c>
      <c r="P123">
        <f>IFERROR(VLOOKUP(J123,Source_Assumptions!$A:$C,3,0),0)</f>
        <v>150</v>
      </c>
    </row>
    <row r="124" spans="1:16" x14ac:dyDescent="0.3">
      <c r="A124">
        <f>Raw_Data!A124</f>
        <v>123</v>
      </c>
      <c r="B124" s="2">
        <f>Raw_Data!B124</f>
        <v>44642.462025462999</v>
      </c>
      <c r="C124">
        <f>YEAR(Raw_Data!B124)</f>
        <v>2022</v>
      </c>
      <c r="D124" t="str">
        <f>IF(MONTH(Raw_Data!B124)&gt;=4,YEAR(Raw_Data!B124)&amp;"-"&amp;RIGHT(YEAR(Raw_Data!B124)+1,2),YEAR(Raw_Data!B124)-1&amp;"-"&amp;RIGHT(YEAR(Raw_Data!B124),2))</f>
        <v>2021-22</v>
      </c>
      <c r="E124" t="str">
        <f>"Q"&amp;ROUNDUP(MONTH(Raw_Data!B124)/3,0)</f>
        <v>Q1</v>
      </c>
      <c r="F124" t="str">
        <f>TEXT(Raw_Data!B124,"mmm")</f>
        <v>Mar</v>
      </c>
      <c r="G124" t="str">
        <f>TEXT(Raw_Data!B124,"ddd")</f>
        <v>Tue</v>
      </c>
      <c r="H124" t="str">
        <f>Raw_Data!D124</f>
        <v>Invoiced</v>
      </c>
      <c r="I124" t="str">
        <f>Raw_Data!F124</f>
        <v>SMS/ Tele-Out</v>
      </c>
      <c r="J124" t="str">
        <f>Raw_Data!G124</f>
        <v>Database Activity(Teleout/SMS)</v>
      </c>
      <c r="K124" t="str">
        <f>IFERROR(VLOOKUP(J124,Source_Assumptions!$A:$C,2,0),"Unmapped")</f>
        <v>Outbound/Database</v>
      </c>
      <c r="L124" t="str">
        <f>Raw_Data!H124</f>
        <v>5TH GEN CITY PE</v>
      </c>
      <c r="M124" t="str">
        <f>IFERROR(VLOOKUP(L124,Model_Assumptions!$A:$D,2,0),"Unmapped")</f>
        <v>Mid-size Sedan</v>
      </c>
      <c r="N124" t="str">
        <f>IFERROR(VLOOKUP(L124,Model_Assumptions!$A:$D,3,0),"Unmapped")</f>
        <v>Petrol</v>
      </c>
      <c r="O124">
        <f>IFERROR(VLOOKUP(L124,Model_Assumptions!$A:$D,4,0),0)</f>
        <v>1250000</v>
      </c>
      <c r="P124">
        <f>IFERROR(VLOOKUP(J124,Source_Assumptions!$A:$C,3,0),0)</f>
        <v>250</v>
      </c>
    </row>
    <row r="125" spans="1:16" x14ac:dyDescent="0.3">
      <c r="A125">
        <f>Raw_Data!A125</f>
        <v>124</v>
      </c>
      <c r="B125" s="2">
        <f>Raw_Data!B125</f>
        <v>44643.6274305556</v>
      </c>
      <c r="C125">
        <f>YEAR(Raw_Data!B125)</f>
        <v>2022</v>
      </c>
      <c r="D125" t="str">
        <f>IF(MONTH(Raw_Data!B125)&gt;=4,YEAR(Raw_Data!B125)&amp;"-"&amp;RIGHT(YEAR(Raw_Data!B125)+1,2),YEAR(Raw_Data!B125)-1&amp;"-"&amp;RIGHT(YEAR(Raw_Data!B125),2))</f>
        <v>2021-22</v>
      </c>
      <c r="E125" t="str">
        <f>"Q"&amp;ROUNDUP(MONTH(Raw_Data!B125)/3,0)</f>
        <v>Q1</v>
      </c>
      <c r="F125" t="str">
        <f>TEXT(Raw_Data!B125,"mmm")</f>
        <v>Mar</v>
      </c>
      <c r="G125" t="str">
        <f>TEXT(Raw_Data!B125,"ddd")</f>
        <v>Wed</v>
      </c>
      <c r="H125" t="str">
        <f>Raw_Data!D125</f>
        <v>Invoiced</v>
      </c>
      <c r="I125" t="str">
        <f>Raw_Data!F125</f>
        <v>Web Lead</v>
      </c>
      <c r="J125" t="str">
        <f>Raw_Data!G125</f>
        <v>Web</v>
      </c>
      <c r="K125" t="str">
        <f>IFERROR(VLOOKUP(J125,Source_Assumptions!$A:$C,2,0),"Unmapped")</f>
        <v>Digital - Owned</v>
      </c>
      <c r="L125" t="str">
        <f>Raw_Data!H125</f>
        <v>5TH GEN CITY PE</v>
      </c>
      <c r="M125" t="str">
        <f>IFERROR(VLOOKUP(L125,Model_Assumptions!$A:$D,2,0),"Unmapped")</f>
        <v>Mid-size Sedan</v>
      </c>
      <c r="N125" t="str">
        <f>IFERROR(VLOOKUP(L125,Model_Assumptions!$A:$D,3,0),"Unmapped")</f>
        <v>Petrol</v>
      </c>
      <c r="O125">
        <f>IFERROR(VLOOKUP(L125,Model_Assumptions!$A:$D,4,0),0)</f>
        <v>1250000</v>
      </c>
      <c r="P125">
        <f>IFERROR(VLOOKUP(J125,Source_Assumptions!$A:$C,3,0),0)</f>
        <v>300</v>
      </c>
    </row>
    <row r="126" spans="1:16" x14ac:dyDescent="0.3">
      <c r="A126">
        <f>Raw_Data!A126</f>
        <v>125</v>
      </c>
      <c r="B126" s="2">
        <f>Raw_Data!B126</f>
        <v>44644.552812499998</v>
      </c>
      <c r="C126">
        <f>YEAR(Raw_Data!B126)</f>
        <v>2022</v>
      </c>
      <c r="D126" t="str">
        <f>IF(MONTH(Raw_Data!B126)&gt;=4,YEAR(Raw_Data!B126)&amp;"-"&amp;RIGHT(YEAR(Raw_Data!B126)+1,2),YEAR(Raw_Data!B126)-1&amp;"-"&amp;RIGHT(YEAR(Raw_Data!B126),2))</f>
        <v>2021-22</v>
      </c>
      <c r="E126" t="str">
        <f>"Q"&amp;ROUNDUP(MONTH(Raw_Data!B126)/3,0)</f>
        <v>Q1</v>
      </c>
      <c r="F126" t="str">
        <f>TEXT(Raw_Data!B126,"mmm")</f>
        <v>Mar</v>
      </c>
      <c r="G126" t="str">
        <f>TEXT(Raw_Data!B126,"ddd")</f>
        <v>Thu</v>
      </c>
      <c r="H126" t="str">
        <f>Raw_Data!D126</f>
        <v>Invoiced</v>
      </c>
      <c r="I126" t="str">
        <f>Raw_Data!F126</f>
        <v>Tele-in</v>
      </c>
      <c r="J126" t="str">
        <f>Raw_Data!G126</f>
        <v>Dealer Webpage Tele-In</v>
      </c>
      <c r="K126" t="str">
        <f>IFERROR(VLOOKUP(J126,Source_Assumptions!$A:$C,2,0),"Unmapped")</f>
        <v>Digital - Owned</v>
      </c>
      <c r="L126" t="str">
        <f>Raw_Data!H126</f>
        <v>AMAZE Petrol</v>
      </c>
      <c r="M126" t="str">
        <f>IFERROR(VLOOKUP(L126,Model_Assumptions!$A:$D,2,0),"Unmapped")</f>
        <v>Sub-4m Sedan</v>
      </c>
      <c r="N126" t="str">
        <f>IFERROR(VLOOKUP(L126,Model_Assumptions!$A:$D,3,0),"Unmapped")</f>
        <v>Petrol</v>
      </c>
      <c r="O126">
        <f>IFERROR(VLOOKUP(L126,Model_Assumptions!$A:$D,4,0),0)</f>
        <v>850000</v>
      </c>
      <c r="P126">
        <f>IFERROR(VLOOKUP(J126,Source_Assumptions!$A:$C,3,0),0)</f>
        <v>300</v>
      </c>
    </row>
    <row r="127" spans="1:16" x14ac:dyDescent="0.3">
      <c r="A127">
        <f>Raw_Data!A127</f>
        <v>126</v>
      </c>
      <c r="B127" s="2">
        <f>Raw_Data!B127</f>
        <v>44644.559097222198</v>
      </c>
      <c r="C127">
        <f>YEAR(Raw_Data!B127)</f>
        <v>2022</v>
      </c>
      <c r="D127" t="str">
        <f>IF(MONTH(Raw_Data!B127)&gt;=4,YEAR(Raw_Data!B127)&amp;"-"&amp;RIGHT(YEAR(Raw_Data!B127)+1,2),YEAR(Raw_Data!B127)-1&amp;"-"&amp;RIGHT(YEAR(Raw_Data!B127),2))</f>
        <v>2021-22</v>
      </c>
      <c r="E127" t="str">
        <f>"Q"&amp;ROUNDUP(MONTH(Raw_Data!B127)/3,0)</f>
        <v>Q1</v>
      </c>
      <c r="F127" t="str">
        <f>TEXT(Raw_Data!B127,"mmm")</f>
        <v>Mar</v>
      </c>
      <c r="G127" t="str">
        <f>TEXT(Raw_Data!B127,"ddd")</f>
        <v>Thu</v>
      </c>
      <c r="H127" t="str">
        <f>Raw_Data!D127</f>
        <v>Invoiced</v>
      </c>
      <c r="I127" t="str">
        <f>Raw_Data!F127</f>
        <v>Tele-in</v>
      </c>
      <c r="J127" t="str">
        <f>Raw_Data!G127</f>
        <v>Dealer Webpage Tele-In</v>
      </c>
      <c r="K127" t="str">
        <f>IFERROR(VLOOKUP(J127,Source_Assumptions!$A:$C,2,0),"Unmapped")</f>
        <v>Digital - Owned</v>
      </c>
      <c r="L127" t="str">
        <f>Raw_Data!H127</f>
        <v>JAZZ PE</v>
      </c>
      <c r="M127" t="str">
        <f>IFERROR(VLOOKUP(L127,Model_Assumptions!$A:$D,2,0),"Unmapped")</f>
        <v>Hatchback</v>
      </c>
      <c r="N127" t="str">
        <f>IFERROR(VLOOKUP(L127,Model_Assumptions!$A:$D,3,0),"Unmapped")</f>
        <v>Petrol</v>
      </c>
      <c r="O127">
        <f>IFERROR(VLOOKUP(L127,Model_Assumptions!$A:$D,4,0),0)</f>
        <v>800000</v>
      </c>
      <c r="P127">
        <f>IFERROR(VLOOKUP(J127,Source_Assumptions!$A:$C,3,0),0)</f>
        <v>300</v>
      </c>
    </row>
    <row r="128" spans="1:16" x14ac:dyDescent="0.3">
      <c r="A128">
        <f>Raw_Data!A128</f>
        <v>127</v>
      </c>
      <c r="B128" s="2">
        <f>Raw_Data!B128</f>
        <v>44644.725856481498</v>
      </c>
      <c r="C128">
        <f>YEAR(Raw_Data!B128)</f>
        <v>2022</v>
      </c>
      <c r="D128" t="str">
        <f>IF(MONTH(Raw_Data!B128)&gt;=4,YEAR(Raw_Data!B128)&amp;"-"&amp;RIGHT(YEAR(Raw_Data!B128)+1,2),YEAR(Raw_Data!B128)-1&amp;"-"&amp;RIGHT(YEAR(Raw_Data!B128),2))</f>
        <v>2021-22</v>
      </c>
      <c r="E128" t="str">
        <f>"Q"&amp;ROUNDUP(MONTH(Raw_Data!B128)/3,0)</f>
        <v>Q1</v>
      </c>
      <c r="F128" t="str">
        <f>TEXT(Raw_Data!B128,"mmm")</f>
        <v>Mar</v>
      </c>
      <c r="G128" t="str">
        <f>TEXT(Raw_Data!B128,"ddd")</f>
        <v>Thu</v>
      </c>
      <c r="H128" t="str">
        <f>Raw_Data!D128</f>
        <v>Invoiced</v>
      </c>
      <c r="I128" t="str">
        <f>Raw_Data!F128</f>
        <v>Tele-in</v>
      </c>
      <c r="J128" t="str">
        <f>Raw_Data!G128</f>
        <v>Referral-CAM</v>
      </c>
      <c r="K128" t="str">
        <f>IFERROR(VLOOKUP(J128,Source_Assumptions!$A:$C,2,0),"Unmapped")</f>
        <v>Referral</v>
      </c>
      <c r="L128" t="str">
        <f>Raw_Data!H128</f>
        <v>CITY PE</v>
      </c>
      <c r="M128" t="str">
        <f>IFERROR(VLOOKUP(L128,Model_Assumptions!$A:$D,2,0),"Unmapped")</f>
        <v>Mid-size Sedan</v>
      </c>
      <c r="N128" t="str">
        <f>IFERROR(VLOOKUP(L128,Model_Assumptions!$A:$D,3,0),"Unmapped")</f>
        <v>Petrol</v>
      </c>
      <c r="O128">
        <f>IFERROR(VLOOKUP(L128,Model_Assumptions!$A:$D,4,0),0)</f>
        <v>1100000</v>
      </c>
      <c r="P128">
        <f>IFERROR(VLOOKUP(J128,Source_Assumptions!$A:$C,3,0),0)</f>
        <v>150</v>
      </c>
    </row>
    <row r="129" spans="1:16" x14ac:dyDescent="0.3">
      <c r="A129">
        <f>Raw_Data!A129</f>
        <v>128</v>
      </c>
      <c r="B129" s="2">
        <f>Raw_Data!B129</f>
        <v>44645.629293981503</v>
      </c>
      <c r="C129">
        <f>YEAR(Raw_Data!B129)</f>
        <v>2022</v>
      </c>
      <c r="D129" t="str">
        <f>IF(MONTH(Raw_Data!B129)&gt;=4,YEAR(Raw_Data!B129)&amp;"-"&amp;RIGHT(YEAR(Raw_Data!B129)+1,2),YEAR(Raw_Data!B129)-1&amp;"-"&amp;RIGHT(YEAR(Raw_Data!B129),2))</f>
        <v>2021-22</v>
      </c>
      <c r="E129" t="str">
        <f>"Q"&amp;ROUNDUP(MONTH(Raw_Data!B129)/3,0)</f>
        <v>Q1</v>
      </c>
      <c r="F129" t="str">
        <f>TEXT(Raw_Data!B129,"mmm")</f>
        <v>Mar</v>
      </c>
      <c r="G129" t="str">
        <f>TEXT(Raw_Data!B129,"ddd")</f>
        <v>Fri</v>
      </c>
      <c r="H129" t="str">
        <f>Raw_Data!D129</f>
        <v>Invoiced</v>
      </c>
      <c r="I129" t="str">
        <f>Raw_Data!F129</f>
        <v>SMS/ Tele-Out</v>
      </c>
      <c r="J129" t="str">
        <f>Raw_Data!G129</f>
        <v>Database Activity(Teleout/SMS)</v>
      </c>
      <c r="K129" t="str">
        <f>IFERROR(VLOOKUP(J129,Source_Assumptions!$A:$C,2,0),"Unmapped")</f>
        <v>Outbound/Database</v>
      </c>
      <c r="L129" t="str">
        <f>Raw_Data!H129</f>
        <v>JAZZ PE</v>
      </c>
      <c r="M129" t="str">
        <f>IFERROR(VLOOKUP(L129,Model_Assumptions!$A:$D,2,0),"Unmapped")</f>
        <v>Hatchback</v>
      </c>
      <c r="N129" t="str">
        <f>IFERROR(VLOOKUP(L129,Model_Assumptions!$A:$D,3,0),"Unmapped")</f>
        <v>Petrol</v>
      </c>
      <c r="O129">
        <f>IFERROR(VLOOKUP(L129,Model_Assumptions!$A:$D,4,0),0)</f>
        <v>800000</v>
      </c>
      <c r="P129">
        <f>IFERROR(VLOOKUP(J129,Source_Assumptions!$A:$C,3,0),0)</f>
        <v>250</v>
      </c>
    </row>
    <row r="130" spans="1:16" x14ac:dyDescent="0.3">
      <c r="A130">
        <f>Raw_Data!A130</f>
        <v>129</v>
      </c>
      <c r="B130" s="2">
        <f>Raw_Data!B130</f>
        <v>44645.670532407399</v>
      </c>
      <c r="C130">
        <f>YEAR(Raw_Data!B130)</f>
        <v>2022</v>
      </c>
      <c r="D130" t="str">
        <f>IF(MONTH(Raw_Data!B130)&gt;=4,YEAR(Raw_Data!B130)&amp;"-"&amp;RIGHT(YEAR(Raw_Data!B130)+1,2),YEAR(Raw_Data!B130)-1&amp;"-"&amp;RIGHT(YEAR(Raw_Data!B130),2))</f>
        <v>2021-22</v>
      </c>
      <c r="E130" t="str">
        <f>"Q"&amp;ROUNDUP(MONTH(Raw_Data!B130)/3,0)</f>
        <v>Q1</v>
      </c>
      <c r="F130" t="str">
        <f>TEXT(Raw_Data!B130,"mmm")</f>
        <v>Mar</v>
      </c>
      <c r="G130" t="str">
        <f>TEXT(Raw_Data!B130,"ddd")</f>
        <v>Fri</v>
      </c>
      <c r="H130" t="str">
        <f>Raw_Data!D130</f>
        <v>Invoiced</v>
      </c>
      <c r="I130" t="str">
        <f>Raw_Data!F130</f>
        <v>Tele-in</v>
      </c>
      <c r="J130" t="str">
        <f>Raw_Data!G130</f>
        <v>Dealer Webpage Tele-In</v>
      </c>
      <c r="K130" t="str">
        <f>IFERROR(VLOOKUP(J130,Source_Assumptions!$A:$C,2,0),"Unmapped")</f>
        <v>Digital - Owned</v>
      </c>
      <c r="L130" t="str">
        <f>Raw_Data!H130</f>
        <v>5TH GEN CITY PE</v>
      </c>
      <c r="M130" t="str">
        <f>IFERROR(VLOOKUP(L130,Model_Assumptions!$A:$D,2,0),"Unmapped")</f>
        <v>Mid-size Sedan</v>
      </c>
      <c r="N130" t="str">
        <f>IFERROR(VLOOKUP(L130,Model_Assumptions!$A:$D,3,0),"Unmapped")</f>
        <v>Petrol</v>
      </c>
      <c r="O130">
        <f>IFERROR(VLOOKUP(L130,Model_Assumptions!$A:$D,4,0),0)</f>
        <v>1250000</v>
      </c>
      <c r="P130">
        <f>IFERROR(VLOOKUP(J130,Source_Assumptions!$A:$C,3,0),0)</f>
        <v>300</v>
      </c>
    </row>
    <row r="131" spans="1:16" x14ac:dyDescent="0.3">
      <c r="A131">
        <f>Raw_Data!A131</f>
        <v>130</v>
      </c>
      <c r="B131" s="2">
        <f>Raw_Data!B131</f>
        <v>44646.654201388897</v>
      </c>
      <c r="C131">
        <f>YEAR(Raw_Data!B131)</f>
        <v>2022</v>
      </c>
      <c r="D131" t="str">
        <f>IF(MONTH(Raw_Data!B131)&gt;=4,YEAR(Raw_Data!B131)&amp;"-"&amp;RIGHT(YEAR(Raw_Data!B131)+1,2),YEAR(Raw_Data!B131)-1&amp;"-"&amp;RIGHT(YEAR(Raw_Data!B131),2))</f>
        <v>2021-22</v>
      </c>
      <c r="E131" t="str">
        <f>"Q"&amp;ROUNDUP(MONTH(Raw_Data!B131)/3,0)</f>
        <v>Q1</v>
      </c>
      <c r="F131" t="str">
        <f>TEXT(Raw_Data!B131,"mmm")</f>
        <v>Mar</v>
      </c>
      <c r="G131" t="str">
        <f>TEXT(Raw_Data!B131,"ddd")</f>
        <v>Sat</v>
      </c>
      <c r="H131" t="str">
        <f>Raw_Data!D131</f>
        <v>Invoiced</v>
      </c>
      <c r="I131" t="str">
        <f>Raw_Data!F131</f>
        <v>Tele-in</v>
      </c>
      <c r="J131" t="str">
        <f>Raw_Data!G131</f>
        <v>Dealer Webpage Tele-In</v>
      </c>
      <c r="K131" t="str">
        <f>IFERROR(VLOOKUP(J131,Source_Assumptions!$A:$C,2,0),"Unmapped")</f>
        <v>Digital - Owned</v>
      </c>
      <c r="L131" t="str">
        <f>Raw_Data!H131</f>
        <v>AMAZE Petrol</v>
      </c>
      <c r="M131" t="str">
        <f>IFERROR(VLOOKUP(L131,Model_Assumptions!$A:$D,2,0),"Unmapped")</f>
        <v>Sub-4m Sedan</v>
      </c>
      <c r="N131" t="str">
        <f>IFERROR(VLOOKUP(L131,Model_Assumptions!$A:$D,3,0),"Unmapped")</f>
        <v>Petrol</v>
      </c>
      <c r="O131">
        <f>IFERROR(VLOOKUP(L131,Model_Assumptions!$A:$D,4,0),0)</f>
        <v>850000</v>
      </c>
      <c r="P131">
        <f>IFERROR(VLOOKUP(J131,Source_Assumptions!$A:$C,3,0),0)</f>
        <v>300</v>
      </c>
    </row>
    <row r="132" spans="1:16" x14ac:dyDescent="0.3">
      <c r="A132">
        <f>Raw_Data!A132</f>
        <v>131</v>
      </c>
      <c r="B132" s="2">
        <f>Raw_Data!B132</f>
        <v>44648.6706134259</v>
      </c>
      <c r="C132">
        <f>YEAR(Raw_Data!B132)</f>
        <v>2022</v>
      </c>
      <c r="D132" t="str">
        <f>IF(MONTH(Raw_Data!B132)&gt;=4,YEAR(Raw_Data!B132)&amp;"-"&amp;RIGHT(YEAR(Raw_Data!B132)+1,2),YEAR(Raw_Data!B132)-1&amp;"-"&amp;RIGHT(YEAR(Raw_Data!B132),2))</f>
        <v>2021-22</v>
      </c>
      <c r="E132" t="str">
        <f>"Q"&amp;ROUNDUP(MONTH(Raw_Data!B132)/3,0)</f>
        <v>Q1</v>
      </c>
      <c r="F132" t="str">
        <f>TEXT(Raw_Data!B132,"mmm")</f>
        <v>Mar</v>
      </c>
      <c r="G132" t="str">
        <f>TEXT(Raw_Data!B132,"ddd")</f>
        <v>Mon</v>
      </c>
      <c r="H132" t="str">
        <f>Raw_Data!D132</f>
        <v>Invoiced</v>
      </c>
      <c r="I132" t="str">
        <f>Raw_Data!F132</f>
        <v>Tele-in</v>
      </c>
      <c r="J132" t="str">
        <f>Raw_Data!G132</f>
        <v>Dealer Webpage Tele-In</v>
      </c>
      <c r="K132" t="str">
        <f>IFERROR(VLOOKUP(J132,Source_Assumptions!$A:$C,2,0),"Unmapped")</f>
        <v>Digital - Owned</v>
      </c>
      <c r="L132" t="str">
        <f>Raw_Data!H132</f>
        <v>AMAZE Petrol</v>
      </c>
      <c r="M132" t="str">
        <f>IFERROR(VLOOKUP(L132,Model_Assumptions!$A:$D,2,0),"Unmapped")</f>
        <v>Sub-4m Sedan</v>
      </c>
      <c r="N132" t="str">
        <f>IFERROR(VLOOKUP(L132,Model_Assumptions!$A:$D,3,0),"Unmapped")</f>
        <v>Petrol</v>
      </c>
      <c r="O132">
        <f>IFERROR(VLOOKUP(L132,Model_Assumptions!$A:$D,4,0),0)</f>
        <v>850000</v>
      </c>
      <c r="P132">
        <f>IFERROR(VLOOKUP(J132,Source_Assumptions!$A:$C,3,0),0)</f>
        <v>300</v>
      </c>
    </row>
    <row r="133" spans="1:16" x14ac:dyDescent="0.3">
      <c r="A133">
        <f>Raw_Data!A133</f>
        <v>132</v>
      </c>
      <c r="B133" s="2">
        <f>Raw_Data!B133</f>
        <v>44650.514803240701</v>
      </c>
      <c r="C133">
        <f>YEAR(Raw_Data!B133)</f>
        <v>2022</v>
      </c>
      <c r="D133" t="str">
        <f>IF(MONTH(Raw_Data!B133)&gt;=4,YEAR(Raw_Data!B133)&amp;"-"&amp;RIGHT(YEAR(Raw_Data!B133)+1,2),YEAR(Raw_Data!B133)-1&amp;"-"&amp;RIGHT(YEAR(Raw_Data!B133),2))</f>
        <v>2021-22</v>
      </c>
      <c r="E133" t="str">
        <f>"Q"&amp;ROUNDUP(MONTH(Raw_Data!B133)/3,0)</f>
        <v>Q1</v>
      </c>
      <c r="F133" t="str">
        <f>TEXT(Raw_Data!B133,"mmm")</f>
        <v>Mar</v>
      </c>
      <c r="G133" t="str">
        <f>TEXT(Raw_Data!B133,"ddd")</f>
        <v>Wed</v>
      </c>
      <c r="H133" t="str">
        <f>Raw_Data!D133</f>
        <v>Invoiced</v>
      </c>
      <c r="I133" t="str">
        <f>Raw_Data!F133</f>
        <v>Web Lead</v>
      </c>
      <c r="J133" t="str">
        <f>Raw_Data!G133</f>
        <v>Web</v>
      </c>
      <c r="K133" t="str">
        <f>IFERROR(VLOOKUP(J133,Source_Assumptions!$A:$C,2,0),"Unmapped")</f>
        <v>Digital - Owned</v>
      </c>
      <c r="L133" t="str">
        <f>Raw_Data!H133</f>
        <v>AMAZE Petrol</v>
      </c>
      <c r="M133" t="str">
        <f>IFERROR(VLOOKUP(L133,Model_Assumptions!$A:$D,2,0),"Unmapped")</f>
        <v>Sub-4m Sedan</v>
      </c>
      <c r="N133" t="str">
        <f>IFERROR(VLOOKUP(L133,Model_Assumptions!$A:$D,3,0),"Unmapped")</f>
        <v>Petrol</v>
      </c>
      <c r="O133">
        <f>IFERROR(VLOOKUP(L133,Model_Assumptions!$A:$D,4,0),0)</f>
        <v>850000</v>
      </c>
      <c r="P133">
        <f>IFERROR(VLOOKUP(J133,Source_Assumptions!$A:$C,3,0),0)</f>
        <v>300</v>
      </c>
    </row>
    <row r="134" spans="1:16" x14ac:dyDescent="0.3">
      <c r="A134">
        <f>Raw_Data!A134</f>
        <v>133</v>
      </c>
      <c r="B134" s="2">
        <f>Raw_Data!B134</f>
        <v>44650.518611111103</v>
      </c>
      <c r="C134">
        <f>YEAR(Raw_Data!B134)</f>
        <v>2022</v>
      </c>
      <c r="D134" t="str">
        <f>IF(MONTH(Raw_Data!B134)&gt;=4,YEAR(Raw_Data!B134)&amp;"-"&amp;RIGHT(YEAR(Raw_Data!B134)+1,2),YEAR(Raw_Data!B134)-1&amp;"-"&amp;RIGHT(YEAR(Raw_Data!B134),2))</f>
        <v>2021-22</v>
      </c>
      <c r="E134" t="str">
        <f>"Q"&amp;ROUNDUP(MONTH(Raw_Data!B134)/3,0)</f>
        <v>Q1</v>
      </c>
      <c r="F134" t="str">
        <f>TEXT(Raw_Data!B134,"mmm")</f>
        <v>Mar</v>
      </c>
      <c r="G134" t="str">
        <f>TEXT(Raw_Data!B134,"ddd")</f>
        <v>Wed</v>
      </c>
      <c r="H134" t="str">
        <f>Raw_Data!D134</f>
        <v>Invoiced</v>
      </c>
      <c r="I134" t="str">
        <f>Raw_Data!F134</f>
        <v>Walk-in Showroom</v>
      </c>
      <c r="J134" t="str">
        <f>Raw_Data!G134</f>
        <v>Adver. (TVC/Print/Hoarding/FM)</v>
      </c>
      <c r="K134" t="str">
        <f>IFERROR(VLOOKUP(J134,Source_Assumptions!$A:$C,2,0),"Unmapped")</f>
        <v>Traditional Advertising</v>
      </c>
      <c r="L134" t="str">
        <f>Raw_Data!H134</f>
        <v>AMAZE Petrol</v>
      </c>
      <c r="M134" t="str">
        <f>IFERROR(VLOOKUP(L134,Model_Assumptions!$A:$D,2,0),"Unmapped")</f>
        <v>Sub-4m Sedan</v>
      </c>
      <c r="N134" t="str">
        <f>IFERROR(VLOOKUP(L134,Model_Assumptions!$A:$D,3,0),"Unmapped")</f>
        <v>Petrol</v>
      </c>
      <c r="O134">
        <f>IFERROR(VLOOKUP(L134,Model_Assumptions!$A:$D,4,0),0)</f>
        <v>850000</v>
      </c>
      <c r="P134">
        <f>IFERROR(VLOOKUP(J134,Source_Assumptions!$A:$C,3,0),0)</f>
        <v>1200</v>
      </c>
    </row>
    <row r="135" spans="1:16" x14ac:dyDescent="0.3">
      <c r="A135">
        <f>Raw_Data!A135</f>
        <v>134</v>
      </c>
      <c r="B135" s="2">
        <f>Raw_Data!B135</f>
        <v>44650.700775463003</v>
      </c>
      <c r="C135">
        <f>YEAR(Raw_Data!B135)</f>
        <v>2022</v>
      </c>
      <c r="D135" t="str">
        <f>IF(MONTH(Raw_Data!B135)&gt;=4,YEAR(Raw_Data!B135)&amp;"-"&amp;RIGHT(YEAR(Raw_Data!B135)+1,2),YEAR(Raw_Data!B135)-1&amp;"-"&amp;RIGHT(YEAR(Raw_Data!B135),2))</f>
        <v>2021-22</v>
      </c>
      <c r="E135" t="str">
        <f>"Q"&amp;ROUNDUP(MONTH(Raw_Data!B135)/3,0)</f>
        <v>Q1</v>
      </c>
      <c r="F135" t="str">
        <f>TEXT(Raw_Data!B135,"mmm")</f>
        <v>Mar</v>
      </c>
      <c r="G135" t="str">
        <f>TEXT(Raw_Data!B135,"ddd")</f>
        <v>Wed</v>
      </c>
      <c r="H135" t="str">
        <f>Raw_Data!D135</f>
        <v>Invoiced</v>
      </c>
      <c r="I135" t="str">
        <f>Raw_Data!F135</f>
        <v>Walk-in Showroom</v>
      </c>
      <c r="J135" t="str">
        <f>Raw_Data!G135</f>
        <v>Adver. (TVC/Print/Hoarding/FM)</v>
      </c>
      <c r="K135" t="str">
        <f>IFERROR(VLOOKUP(J135,Source_Assumptions!$A:$C,2,0),"Unmapped")</f>
        <v>Traditional Advertising</v>
      </c>
      <c r="L135" t="str">
        <f>Raw_Data!H135</f>
        <v>5TH GEN CITY PE</v>
      </c>
      <c r="M135" t="str">
        <f>IFERROR(VLOOKUP(L135,Model_Assumptions!$A:$D,2,0),"Unmapped")</f>
        <v>Mid-size Sedan</v>
      </c>
      <c r="N135" t="str">
        <f>IFERROR(VLOOKUP(L135,Model_Assumptions!$A:$D,3,0),"Unmapped")</f>
        <v>Petrol</v>
      </c>
      <c r="O135">
        <f>IFERROR(VLOOKUP(L135,Model_Assumptions!$A:$D,4,0),0)</f>
        <v>1250000</v>
      </c>
      <c r="P135">
        <f>IFERROR(VLOOKUP(J135,Source_Assumptions!$A:$C,3,0),0)</f>
        <v>1200</v>
      </c>
    </row>
    <row r="136" spans="1:16" x14ac:dyDescent="0.3">
      <c r="A136">
        <f>Raw_Data!A136</f>
        <v>135</v>
      </c>
      <c r="B136" s="2">
        <f>Raw_Data!B136</f>
        <v>44650.731527777803</v>
      </c>
      <c r="C136">
        <f>YEAR(Raw_Data!B136)</f>
        <v>2022</v>
      </c>
      <c r="D136" t="str">
        <f>IF(MONTH(Raw_Data!B136)&gt;=4,YEAR(Raw_Data!B136)&amp;"-"&amp;RIGHT(YEAR(Raw_Data!B136)+1,2),YEAR(Raw_Data!B136)-1&amp;"-"&amp;RIGHT(YEAR(Raw_Data!B136),2))</f>
        <v>2021-22</v>
      </c>
      <c r="E136" t="str">
        <f>"Q"&amp;ROUNDUP(MONTH(Raw_Data!B136)/3,0)</f>
        <v>Q1</v>
      </c>
      <c r="F136" t="str">
        <f>TEXT(Raw_Data!B136,"mmm")</f>
        <v>Mar</v>
      </c>
      <c r="G136" t="str">
        <f>TEXT(Raw_Data!B136,"ddd")</f>
        <v>Wed</v>
      </c>
      <c r="H136" t="str">
        <f>Raw_Data!D136</f>
        <v>Invoiced</v>
      </c>
      <c r="I136" t="str">
        <f>Raw_Data!F136</f>
        <v>Walk-in Showroom</v>
      </c>
      <c r="J136" t="str">
        <f>Raw_Data!G136</f>
        <v>Adver. (TVC/Print/Hoarding/FM)</v>
      </c>
      <c r="K136" t="str">
        <f>IFERROR(VLOOKUP(J136,Source_Assumptions!$A:$C,2,0),"Unmapped")</f>
        <v>Traditional Advertising</v>
      </c>
      <c r="L136" t="str">
        <f>Raw_Data!H136</f>
        <v>AMAZE Petrol</v>
      </c>
      <c r="M136" t="str">
        <f>IFERROR(VLOOKUP(L136,Model_Assumptions!$A:$D,2,0),"Unmapped")</f>
        <v>Sub-4m Sedan</v>
      </c>
      <c r="N136" t="str">
        <f>IFERROR(VLOOKUP(L136,Model_Assumptions!$A:$D,3,0),"Unmapped")</f>
        <v>Petrol</v>
      </c>
      <c r="O136">
        <f>IFERROR(VLOOKUP(L136,Model_Assumptions!$A:$D,4,0),0)</f>
        <v>850000</v>
      </c>
      <c r="P136">
        <f>IFERROR(VLOOKUP(J136,Source_Assumptions!$A:$C,3,0),0)</f>
        <v>1200</v>
      </c>
    </row>
    <row r="137" spans="1:16" x14ac:dyDescent="0.3">
      <c r="A137">
        <f>Raw_Data!A137</f>
        <v>136</v>
      </c>
      <c r="B137" s="2">
        <f>Raw_Data!B137</f>
        <v>44651.4302314815</v>
      </c>
      <c r="C137">
        <f>YEAR(Raw_Data!B137)</f>
        <v>2022</v>
      </c>
      <c r="D137" t="str">
        <f>IF(MONTH(Raw_Data!B137)&gt;=4,YEAR(Raw_Data!B137)&amp;"-"&amp;RIGHT(YEAR(Raw_Data!B137)+1,2),YEAR(Raw_Data!B137)-1&amp;"-"&amp;RIGHT(YEAR(Raw_Data!B137),2))</f>
        <v>2021-22</v>
      </c>
      <c r="E137" t="str">
        <f>"Q"&amp;ROUNDUP(MONTH(Raw_Data!B137)/3,0)</f>
        <v>Q1</v>
      </c>
      <c r="F137" t="str">
        <f>TEXT(Raw_Data!B137,"mmm")</f>
        <v>Mar</v>
      </c>
      <c r="G137" t="str">
        <f>TEXT(Raw_Data!B137,"ddd")</f>
        <v>Thu</v>
      </c>
      <c r="H137" t="str">
        <f>Raw_Data!D137</f>
        <v>Invoiced</v>
      </c>
      <c r="I137" t="str">
        <f>Raw_Data!F137</f>
        <v>Tele-in</v>
      </c>
      <c r="J137" t="str">
        <f>Raw_Data!G137</f>
        <v>Dealer Webpage Tele-In</v>
      </c>
      <c r="K137" t="str">
        <f>IFERROR(VLOOKUP(J137,Source_Assumptions!$A:$C,2,0),"Unmapped")</f>
        <v>Digital - Owned</v>
      </c>
      <c r="L137" t="str">
        <f>Raw_Data!H137</f>
        <v>AMAZE Petrol</v>
      </c>
      <c r="M137" t="str">
        <f>IFERROR(VLOOKUP(L137,Model_Assumptions!$A:$D,2,0),"Unmapped")</f>
        <v>Sub-4m Sedan</v>
      </c>
      <c r="N137" t="str">
        <f>IFERROR(VLOOKUP(L137,Model_Assumptions!$A:$D,3,0),"Unmapped")</f>
        <v>Petrol</v>
      </c>
      <c r="O137">
        <f>IFERROR(VLOOKUP(L137,Model_Assumptions!$A:$D,4,0),0)</f>
        <v>850000</v>
      </c>
      <c r="P137">
        <f>IFERROR(VLOOKUP(J137,Source_Assumptions!$A:$C,3,0),0)</f>
        <v>300</v>
      </c>
    </row>
    <row r="138" spans="1:16" x14ac:dyDescent="0.3">
      <c r="A138">
        <f>Raw_Data!A138</f>
        <v>137</v>
      </c>
      <c r="B138" s="2">
        <f>Raw_Data!B138</f>
        <v>44651.445115740702</v>
      </c>
      <c r="C138">
        <f>YEAR(Raw_Data!B138)</f>
        <v>2022</v>
      </c>
      <c r="D138" t="str">
        <f>IF(MONTH(Raw_Data!B138)&gt;=4,YEAR(Raw_Data!B138)&amp;"-"&amp;RIGHT(YEAR(Raw_Data!B138)+1,2),YEAR(Raw_Data!B138)-1&amp;"-"&amp;RIGHT(YEAR(Raw_Data!B138),2))</f>
        <v>2021-22</v>
      </c>
      <c r="E138" t="str">
        <f>"Q"&amp;ROUNDUP(MONTH(Raw_Data!B138)/3,0)</f>
        <v>Q1</v>
      </c>
      <c r="F138" t="str">
        <f>TEXT(Raw_Data!B138,"mmm")</f>
        <v>Mar</v>
      </c>
      <c r="G138" t="str">
        <f>TEXT(Raw_Data!B138,"ddd")</f>
        <v>Thu</v>
      </c>
      <c r="H138" t="str">
        <f>Raw_Data!D138</f>
        <v>Invoiced</v>
      </c>
      <c r="I138" t="str">
        <f>Raw_Data!F138</f>
        <v>Tele-in</v>
      </c>
      <c r="J138" t="str">
        <f>Raw_Data!G138</f>
        <v>Referral-CAM</v>
      </c>
      <c r="K138" t="str">
        <f>IFERROR(VLOOKUP(J138,Source_Assumptions!$A:$C,2,0),"Unmapped")</f>
        <v>Referral</v>
      </c>
      <c r="L138" t="str">
        <f>Raw_Data!H138</f>
        <v>5TH GEN CITY PE</v>
      </c>
      <c r="M138" t="str">
        <f>IFERROR(VLOOKUP(L138,Model_Assumptions!$A:$D,2,0),"Unmapped")</f>
        <v>Mid-size Sedan</v>
      </c>
      <c r="N138" t="str">
        <f>IFERROR(VLOOKUP(L138,Model_Assumptions!$A:$D,3,0),"Unmapped")</f>
        <v>Petrol</v>
      </c>
      <c r="O138">
        <f>IFERROR(VLOOKUP(L138,Model_Assumptions!$A:$D,4,0),0)</f>
        <v>1250000</v>
      </c>
      <c r="P138">
        <f>IFERROR(VLOOKUP(J138,Source_Assumptions!$A:$C,3,0),0)</f>
        <v>150</v>
      </c>
    </row>
    <row r="139" spans="1:16" x14ac:dyDescent="0.3">
      <c r="A139">
        <f>Raw_Data!A139</f>
        <v>138</v>
      </c>
      <c r="B139" s="2">
        <f>Raw_Data!B139</f>
        <v>44651.495671296303</v>
      </c>
      <c r="C139">
        <f>YEAR(Raw_Data!B139)</f>
        <v>2022</v>
      </c>
      <c r="D139" t="str">
        <f>IF(MONTH(Raw_Data!B139)&gt;=4,YEAR(Raw_Data!B139)&amp;"-"&amp;RIGHT(YEAR(Raw_Data!B139)+1,2),YEAR(Raw_Data!B139)-1&amp;"-"&amp;RIGHT(YEAR(Raw_Data!B139),2))</f>
        <v>2021-22</v>
      </c>
      <c r="E139" t="str">
        <f>"Q"&amp;ROUNDUP(MONTH(Raw_Data!B139)/3,0)</f>
        <v>Q1</v>
      </c>
      <c r="F139" t="str">
        <f>TEXT(Raw_Data!B139,"mmm")</f>
        <v>Mar</v>
      </c>
      <c r="G139" t="str">
        <f>TEXT(Raw_Data!B139,"ddd")</f>
        <v>Thu</v>
      </c>
      <c r="H139" t="str">
        <f>Raw_Data!D139</f>
        <v>Invoiced</v>
      </c>
      <c r="I139" t="str">
        <f>Raw_Data!F139</f>
        <v>Tele-in</v>
      </c>
      <c r="J139" t="str">
        <f>Raw_Data!G139</f>
        <v>Dealer Webpage Tele-In</v>
      </c>
      <c r="K139" t="str">
        <f>IFERROR(VLOOKUP(J139,Source_Assumptions!$A:$C,2,0),"Unmapped")</f>
        <v>Digital - Owned</v>
      </c>
      <c r="L139" t="str">
        <f>Raw_Data!H139</f>
        <v>5TH GEN CITY PE</v>
      </c>
      <c r="M139" t="str">
        <f>IFERROR(VLOOKUP(L139,Model_Assumptions!$A:$D,2,0),"Unmapped")</f>
        <v>Mid-size Sedan</v>
      </c>
      <c r="N139" t="str">
        <f>IFERROR(VLOOKUP(L139,Model_Assumptions!$A:$D,3,0),"Unmapped")</f>
        <v>Petrol</v>
      </c>
      <c r="O139">
        <f>IFERROR(VLOOKUP(L139,Model_Assumptions!$A:$D,4,0),0)</f>
        <v>1250000</v>
      </c>
      <c r="P139">
        <f>IFERROR(VLOOKUP(J139,Source_Assumptions!$A:$C,3,0),0)</f>
        <v>300</v>
      </c>
    </row>
    <row r="140" spans="1:16" x14ac:dyDescent="0.3">
      <c r="A140">
        <f>Raw_Data!A140</f>
        <v>139</v>
      </c>
      <c r="B140" s="2">
        <f>Raw_Data!B140</f>
        <v>44651.503206018497</v>
      </c>
      <c r="C140">
        <f>YEAR(Raw_Data!B140)</f>
        <v>2022</v>
      </c>
      <c r="D140" t="str">
        <f>IF(MONTH(Raw_Data!B140)&gt;=4,YEAR(Raw_Data!B140)&amp;"-"&amp;RIGHT(YEAR(Raw_Data!B140)+1,2),YEAR(Raw_Data!B140)-1&amp;"-"&amp;RIGHT(YEAR(Raw_Data!B140),2))</f>
        <v>2021-22</v>
      </c>
      <c r="E140" t="str">
        <f>"Q"&amp;ROUNDUP(MONTH(Raw_Data!B140)/3,0)</f>
        <v>Q1</v>
      </c>
      <c r="F140" t="str">
        <f>TEXT(Raw_Data!B140,"mmm")</f>
        <v>Mar</v>
      </c>
      <c r="G140" t="str">
        <f>TEXT(Raw_Data!B140,"ddd")</f>
        <v>Thu</v>
      </c>
      <c r="H140" t="str">
        <f>Raw_Data!D140</f>
        <v>Invoiced</v>
      </c>
      <c r="I140" t="str">
        <f>Raw_Data!F140</f>
        <v>Web Lead</v>
      </c>
      <c r="J140" t="str">
        <f>Raw_Data!G140</f>
        <v>Web</v>
      </c>
      <c r="K140" t="str">
        <f>IFERROR(VLOOKUP(J140,Source_Assumptions!$A:$C,2,0),"Unmapped")</f>
        <v>Digital - Owned</v>
      </c>
      <c r="L140" t="str">
        <f>Raw_Data!H140</f>
        <v>5TH GEN CITY PE</v>
      </c>
      <c r="M140" t="str">
        <f>IFERROR(VLOOKUP(L140,Model_Assumptions!$A:$D,2,0),"Unmapped")</f>
        <v>Mid-size Sedan</v>
      </c>
      <c r="N140" t="str">
        <f>IFERROR(VLOOKUP(L140,Model_Assumptions!$A:$D,3,0),"Unmapped")</f>
        <v>Petrol</v>
      </c>
      <c r="O140">
        <f>IFERROR(VLOOKUP(L140,Model_Assumptions!$A:$D,4,0),0)</f>
        <v>1250000</v>
      </c>
      <c r="P140">
        <f>IFERROR(VLOOKUP(J140,Source_Assumptions!$A:$C,3,0),0)</f>
        <v>300</v>
      </c>
    </row>
    <row r="141" spans="1:16" x14ac:dyDescent="0.3">
      <c r="A141">
        <f>Raw_Data!A141</f>
        <v>140</v>
      </c>
      <c r="B141" s="2">
        <f>Raw_Data!B141</f>
        <v>44651.547986111102</v>
      </c>
      <c r="C141">
        <f>YEAR(Raw_Data!B141)</f>
        <v>2022</v>
      </c>
      <c r="D141" t="str">
        <f>IF(MONTH(Raw_Data!B141)&gt;=4,YEAR(Raw_Data!B141)&amp;"-"&amp;RIGHT(YEAR(Raw_Data!B141)+1,2),YEAR(Raw_Data!B141)-1&amp;"-"&amp;RIGHT(YEAR(Raw_Data!B141),2))</f>
        <v>2021-22</v>
      </c>
      <c r="E141" t="str">
        <f>"Q"&amp;ROUNDUP(MONTH(Raw_Data!B141)/3,0)</f>
        <v>Q1</v>
      </c>
      <c r="F141" t="str">
        <f>TEXT(Raw_Data!B141,"mmm")</f>
        <v>Mar</v>
      </c>
      <c r="G141" t="str">
        <f>TEXT(Raw_Data!B141,"ddd")</f>
        <v>Thu</v>
      </c>
      <c r="H141" t="str">
        <f>Raw_Data!D141</f>
        <v>Invoiced</v>
      </c>
      <c r="I141" t="str">
        <f>Raw_Data!F141</f>
        <v>Tele-in</v>
      </c>
      <c r="J141" t="str">
        <f>Raw_Data!G141</f>
        <v>Referral-CAM</v>
      </c>
      <c r="K141" t="str">
        <f>IFERROR(VLOOKUP(J141,Source_Assumptions!$A:$C,2,0),"Unmapped")</f>
        <v>Referral</v>
      </c>
      <c r="L141" t="str">
        <f>Raw_Data!H141</f>
        <v>5TH GEN CITY PE</v>
      </c>
      <c r="M141" t="str">
        <f>IFERROR(VLOOKUP(L141,Model_Assumptions!$A:$D,2,0),"Unmapped")</f>
        <v>Mid-size Sedan</v>
      </c>
      <c r="N141" t="str">
        <f>IFERROR(VLOOKUP(L141,Model_Assumptions!$A:$D,3,0),"Unmapped")</f>
        <v>Petrol</v>
      </c>
      <c r="O141">
        <f>IFERROR(VLOOKUP(L141,Model_Assumptions!$A:$D,4,0),0)</f>
        <v>1250000</v>
      </c>
      <c r="P141">
        <f>IFERROR(VLOOKUP(J141,Source_Assumptions!$A:$C,3,0),0)</f>
        <v>150</v>
      </c>
    </row>
    <row r="142" spans="1:16" x14ac:dyDescent="0.3">
      <c r="A142">
        <f>Raw_Data!A142</f>
        <v>141</v>
      </c>
      <c r="B142" s="2">
        <f>Raw_Data!B142</f>
        <v>44656.554386574098</v>
      </c>
      <c r="C142">
        <f>YEAR(Raw_Data!B142)</f>
        <v>2022</v>
      </c>
      <c r="D142" t="str">
        <f>IF(MONTH(Raw_Data!B142)&gt;=4,YEAR(Raw_Data!B142)&amp;"-"&amp;RIGHT(YEAR(Raw_Data!B142)+1,2),YEAR(Raw_Data!B142)-1&amp;"-"&amp;RIGHT(YEAR(Raw_Data!B142),2))</f>
        <v>2022-23</v>
      </c>
      <c r="E142" t="str">
        <f>"Q"&amp;ROUNDUP(MONTH(Raw_Data!B142)/3,0)</f>
        <v>Q2</v>
      </c>
      <c r="F142" t="str">
        <f>TEXT(Raw_Data!B142,"mmm")</f>
        <v>Apr</v>
      </c>
      <c r="G142" t="str">
        <f>TEXT(Raw_Data!B142,"ddd")</f>
        <v>Tue</v>
      </c>
      <c r="H142" t="str">
        <f>Raw_Data!D142</f>
        <v>Invoiced</v>
      </c>
      <c r="I142" t="str">
        <f>Raw_Data!F142</f>
        <v>SMS/ Tele-Out</v>
      </c>
      <c r="J142" t="str">
        <f>Raw_Data!G142</f>
        <v>Database Activity(Teleout/SMS)</v>
      </c>
      <c r="K142" t="str">
        <f>IFERROR(VLOOKUP(J142,Source_Assumptions!$A:$C,2,0),"Unmapped")</f>
        <v>Outbound/Database</v>
      </c>
      <c r="L142" t="str">
        <f>Raw_Data!H142</f>
        <v>5TH GEN CITY PE</v>
      </c>
      <c r="M142" t="str">
        <f>IFERROR(VLOOKUP(L142,Model_Assumptions!$A:$D,2,0),"Unmapped")</f>
        <v>Mid-size Sedan</v>
      </c>
      <c r="N142" t="str">
        <f>IFERROR(VLOOKUP(L142,Model_Assumptions!$A:$D,3,0),"Unmapped")</f>
        <v>Petrol</v>
      </c>
      <c r="O142">
        <f>IFERROR(VLOOKUP(L142,Model_Assumptions!$A:$D,4,0),0)</f>
        <v>1250000</v>
      </c>
      <c r="P142">
        <f>IFERROR(VLOOKUP(J142,Source_Assumptions!$A:$C,3,0),0)</f>
        <v>250</v>
      </c>
    </row>
    <row r="143" spans="1:16" x14ac:dyDescent="0.3">
      <c r="A143">
        <f>Raw_Data!A143</f>
        <v>142</v>
      </c>
      <c r="B143" s="2">
        <f>Raw_Data!B143</f>
        <v>44656.582974536999</v>
      </c>
      <c r="C143">
        <f>YEAR(Raw_Data!B143)</f>
        <v>2022</v>
      </c>
      <c r="D143" t="str">
        <f>IF(MONTH(Raw_Data!B143)&gt;=4,YEAR(Raw_Data!B143)&amp;"-"&amp;RIGHT(YEAR(Raw_Data!B143)+1,2),YEAR(Raw_Data!B143)-1&amp;"-"&amp;RIGHT(YEAR(Raw_Data!B143),2))</f>
        <v>2022-23</v>
      </c>
      <c r="E143" t="str">
        <f>"Q"&amp;ROUNDUP(MONTH(Raw_Data!B143)/3,0)</f>
        <v>Q2</v>
      </c>
      <c r="F143" t="str">
        <f>TEXT(Raw_Data!B143,"mmm")</f>
        <v>Apr</v>
      </c>
      <c r="G143" t="str">
        <f>TEXT(Raw_Data!B143,"ddd")</f>
        <v>Tue</v>
      </c>
      <c r="H143" t="str">
        <f>Raw_Data!D143</f>
        <v>Invoiced</v>
      </c>
      <c r="I143" t="str">
        <f>Raw_Data!F143</f>
        <v>Tele-in</v>
      </c>
      <c r="J143" t="str">
        <f>Raw_Data!G143</f>
        <v>Web</v>
      </c>
      <c r="K143" t="str">
        <f>IFERROR(VLOOKUP(J143,Source_Assumptions!$A:$C,2,0),"Unmapped")</f>
        <v>Digital - Owned</v>
      </c>
      <c r="L143" t="str">
        <f>Raw_Data!H143</f>
        <v>5TH GEN CITY PE</v>
      </c>
      <c r="M143" t="str">
        <f>IFERROR(VLOOKUP(L143,Model_Assumptions!$A:$D,2,0),"Unmapped")</f>
        <v>Mid-size Sedan</v>
      </c>
      <c r="N143" t="str">
        <f>IFERROR(VLOOKUP(L143,Model_Assumptions!$A:$D,3,0),"Unmapped")</f>
        <v>Petrol</v>
      </c>
      <c r="O143">
        <f>IFERROR(VLOOKUP(L143,Model_Assumptions!$A:$D,4,0),0)</f>
        <v>1250000</v>
      </c>
      <c r="P143">
        <f>IFERROR(VLOOKUP(J143,Source_Assumptions!$A:$C,3,0),0)</f>
        <v>300</v>
      </c>
    </row>
    <row r="144" spans="1:16" x14ac:dyDescent="0.3">
      <c r="A144">
        <f>Raw_Data!A144</f>
        <v>143</v>
      </c>
      <c r="B144" s="2">
        <f>Raw_Data!B144</f>
        <v>44657.487326388902</v>
      </c>
      <c r="C144">
        <f>YEAR(Raw_Data!B144)</f>
        <v>2022</v>
      </c>
      <c r="D144" t="str">
        <f>IF(MONTH(Raw_Data!B144)&gt;=4,YEAR(Raw_Data!B144)&amp;"-"&amp;RIGHT(YEAR(Raw_Data!B144)+1,2),YEAR(Raw_Data!B144)-1&amp;"-"&amp;RIGHT(YEAR(Raw_Data!B144),2))</f>
        <v>2022-23</v>
      </c>
      <c r="E144" t="str">
        <f>"Q"&amp;ROUNDUP(MONTH(Raw_Data!B144)/3,0)</f>
        <v>Q2</v>
      </c>
      <c r="F144" t="str">
        <f>TEXT(Raw_Data!B144,"mmm")</f>
        <v>Apr</v>
      </c>
      <c r="G144" t="str">
        <f>TEXT(Raw_Data!B144,"ddd")</f>
        <v>Wed</v>
      </c>
      <c r="H144" t="str">
        <f>Raw_Data!D144</f>
        <v>Invoiced</v>
      </c>
      <c r="I144" t="str">
        <f>Raw_Data!F144</f>
        <v>Tele-in</v>
      </c>
      <c r="J144" t="str">
        <f>Raw_Data!G144</f>
        <v>Referral (HC/HBLP)</v>
      </c>
      <c r="K144" t="str">
        <f>IFERROR(VLOOKUP(J144,Source_Assumptions!$A:$C,2,0),"Unmapped")</f>
        <v>Referral (Happy Customer)</v>
      </c>
      <c r="L144" t="str">
        <f>Raw_Data!H144</f>
        <v>AMAZE Petrol</v>
      </c>
      <c r="M144" t="str">
        <f>IFERROR(VLOOKUP(L144,Model_Assumptions!$A:$D,2,0),"Unmapped")</f>
        <v>Sub-4m Sedan</v>
      </c>
      <c r="N144" t="str">
        <f>IFERROR(VLOOKUP(L144,Model_Assumptions!$A:$D,3,0),"Unmapped")</f>
        <v>Petrol</v>
      </c>
      <c r="O144">
        <f>IFERROR(VLOOKUP(L144,Model_Assumptions!$A:$D,4,0),0)</f>
        <v>850000</v>
      </c>
      <c r="P144">
        <f>IFERROR(VLOOKUP(J144,Source_Assumptions!$A:$C,3,0),0)</f>
        <v>100</v>
      </c>
    </row>
    <row r="145" spans="1:16" x14ac:dyDescent="0.3">
      <c r="A145">
        <f>Raw_Data!A145</f>
        <v>144</v>
      </c>
      <c r="B145" s="2">
        <f>Raw_Data!B145</f>
        <v>44657.690370370401</v>
      </c>
      <c r="C145">
        <f>YEAR(Raw_Data!B145)</f>
        <v>2022</v>
      </c>
      <c r="D145" t="str">
        <f>IF(MONTH(Raw_Data!B145)&gt;=4,YEAR(Raw_Data!B145)&amp;"-"&amp;RIGHT(YEAR(Raw_Data!B145)+1,2),YEAR(Raw_Data!B145)-1&amp;"-"&amp;RIGHT(YEAR(Raw_Data!B145),2))</f>
        <v>2022-23</v>
      </c>
      <c r="E145" t="str">
        <f>"Q"&amp;ROUNDUP(MONTH(Raw_Data!B145)/3,0)</f>
        <v>Q2</v>
      </c>
      <c r="F145" t="str">
        <f>TEXT(Raw_Data!B145,"mmm")</f>
        <v>Apr</v>
      </c>
      <c r="G145" t="str">
        <f>TEXT(Raw_Data!B145,"ddd")</f>
        <v>Wed</v>
      </c>
      <c r="H145" t="str">
        <f>Raw_Data!D145</f>
        <v>Invoiced</v>
      </c>
      <c r="I145" t="str">
        <f>Raw_Data!F145</f>
        <v>Tele-in</v>
      </c>
      <c r="J145" t="str">
        <f>Raw_Data!G145</f>
        <v>Adver. (TVC/Print/Hoarding/FM)</v>
      </c>
      <c r="K145" t="str">
        <f>IFERROR(VLOOKUP(J145,Source_Assumptions!$A:$C,2,0),"Unmapped")</f>
        <v>Traditional Advertising</v>
      </c>
      <c r="L145" t="str">
        <f>Raw_Data!H145</f>
        <v>AMAZE Petrol</v>
      </c>
      <c r="M145" t="str">
        <f>IFERROR(VLOOKUP(L145,Model_Assumptions!$A:$D,2,0),"Unmapped")</f>
        <v>Sub-4m Sedan</v>
      </c>
      <c r="N145" t="str">
        <f>IFERROR(VLOOKUP(L145,Model_Assumptions!$A:$D,3,0),"Unmapped")</f>
        <v>Petrol</v>
      </c>
      <c r="O145">
        <f>IFERROR(VLOOKUP(L145,Model_Assumptions!$A:$D,4,0),0)</f>
        <v>850000</v>
      </c>
      <c r="P145">
        <f>IFERROR(VLOOKUP(J145,Source_Assumptions!$A:$C,3,0),0)</f>
        <v>1200</v>
      </c>
    </row>
    <row r="146" spans="1:16" x14ac:dyDescent="0.3">
      <c r="A146">
        <f>Raw_Data!A146</f>
        <v>145</v>
      </c>
      <c r="B146" s="2">
        <f>Raw_Data!B146</f>
        <v>44658.678622685198</v>
      </c>
      <c r="C146">
        <f>YEAR(Raw_Data!B146)</f>
        <v>2022</v>
      </c>
      <c r="D146" t="str">
        <f>IF(MONTH(Raw_Data!B146)&gt;=4,YEAR(Raw_Data!B146)&amp;"-"&amp;RIGHT(YEAR(Raw_Data!B146)+1,2),YEAR(Raw_Data!B146)-1&amp;"-"&amp;RIGHT(YEAR(Raw_Data!B146),2))</f>
        <v>2022-23</v>
      </c>
      <c r="E146" t="str">
        <f>"Q"&amp;ROUNDUP(MONTH(Raw_Data!B146)/3,0)</f>
        <v>Q2</v>
      </c>
      <c r="F146" t="str">
        <f>TEXT(Raw_Data!B146,"mmm")</f>
        <v>Apr</v>
      </c>
      <c r="G146" t="str">
        <f>TEXT(Raw_Data!B146,"ddd")</f>
        <v>Thu</v>
      </c>
      <c r="H146" t="str">
        <f>Raw_Data!D146</f>
        <v>Invoiced</v>
      </c>
      <c r="I146" t="str">
        <f>Raw_Data!F146</f>
        <v>SMS/ Tele-Out</v>
      </c>
      <c r="J146" t="str">
        <f>Raw_Data!G146</f>
        <v>Database Activity(Teleout/SMS)</v>
      </c>
      <c r="K146" t="str">
        <f>IFERROR(VLOOKUP(J146,Source_Assumptions!$A:$C,2,0),"Unmapped")</f>
        <v>Outbound/Database</v>
      </c>
      <c r="L146" t="str">
        <f>Raw_Data!H146</f>
        <v>JAZZ PE</v>
      </c>
      <c r="M146" t="str">
        <f>IFERROR(VLOOKUP(L146,Model_Assumptions!$A:$D,2,0),"Unmapped")</f>
        <v>Hatchback</v>
      </c>
      <c r="N146" t="str">
        <f>IFERROR(VLOOKUP(L146,Model_Assumptions!$A:$D,3,0),"Unmapped")</f>
        <v>Petrol</v>
      </c>
      <c r="O146">
        <f>IFERROR(VLOOKUP(L146,Model_Assumptions!$A:$D,4,0),0)</f>
        <v>800000</v>
      </c>
      <c r="P146">
        <f>IFERROR(VLOOKUP(J146,Source_Assumptions!$A:$C,3,0),0)</f>
        <v>250</v>
      </c>
    </row>
    <row r="147" spans="1:16" x14ac:dyDescent="0.3">
      <c r="A147">
        <f>Raw_Data!A147</f>
        <v>146</v>
      </c>
      <c r="B147" s="2">
        <f>Raw_Data!B147</f>
        <v>44659.504791666703</v>
      </c>
      <c r="C147">
        <f>YEAR(Raw_Data!B147)</f>
        <v>2022</v>
      </c>
      <c r="D147" t="str">
        <f>IF(MONTH(Raw_Data!B147)&gt;=4,YEAR(Raw_Data!B147)&amp;"-"&amp;RIGHT(YEAR(Raw_Data!B147)+1,2),YEAR(Raw_Data!B147)-1&amp;"-"&amp;RIGHT(YEAR(Raw_Data!B147),2))</f>
        <v>2022-23</v>
      </c>
      <c r="E147" t="str">
        <f>"Q"&amp;ROUNDUP(MONTH(Raw_Data!B147)/3,0)</f>
        <v>Q2</v>
      </c>
      <c r="F147" t="str">
        <f>TEXT(Raw_Data!B147,"mmm")</f>
        <v>Apr</v>
      </c>
      <c r="G147" t="str">
        <f>TEXT(Raw_Data!B147,"ddd")</f>
        <v>Fri</v>
      </c>
      <c r="H147" t="str">
        <f>Raw_Data!D147</f>
        <v>Invoiced</v>
      </c>
      <c r="I147" t="str">
        <f>Raw_Data!F147</f>
        <v>SMS/ Tele-Out</v>
      </c>
      <c r="J147" t="str">
        <f>Raw_Data!G147</f>
        <v>Database Activity(Teleout/SMS)</v>
      </c>
      <c r="K147" t="str">
        <f>IFERROR(VLOOKUP(J147,Source_Assumptions!$A:$C,2,0),"Unmapped")</f>
        <v>Outbound/Database</v>
      </c>
      <c r="L147" t="str">
        <f>Raw_Data!H147</f>
        <v>5TH GEN CITY PE</v>
      </c>
      <c r="M147" t="str">
        <f>IFERROR(VLOOKUP(L147,Model_Assumptions!$A:$D,2,0),"Unmapped")</f>
        <v>Mid-size Sedan</v>
      </c>
      <c r="N147" t="str">
        <f>IFERROR(VLOOKUP(L147,Model_Assumptions!$A:$D,3,0),"Unmapped")</f>
        <v>Petrol</v>
      </c>
      <c r="O147">
        <f>IFERROR(VLOOKUP(L147,Model_Assumptions!$A:$D,4,0),0)</f>
        <v>1250000</v>
      </c>
      <c r="P147">
        <f>IFERROR(VLOOKUP(J147,Source_Assumptions!$A:$C,3,0),0)</f>
        <v>250</v>
      </c>
    </row>
    <row r="148" spans="1:16" x14ac:dyDescent="0.3">
      <c r="A148">
        <f>Raw_Data!A148</f>
        <v>147</v>
      </c>
      <c r="B148" s="2">
        <f>Raw_Data!B148</f>
        <v>44660.456307870401</v>
      </c>
      <c r="C148">
        <f>YEAR(Raw_Data!B148)</f>
        <v>2022</v>
      </c>
      <c r="D148" t="str">
        <f>IF(MONTH(Raw_Data!B148)&gt;=4,YEAR(Raw_Data!B148)&amp;"-"&amp;RIGHT(YEAR(Raw_Data!B148)+1,2),YEAR(Raw_Data!B148)-1&amp;"-"&amp;RIGHT(YEAR(Raw_Data!B148),2))</f>
        <v>2022-23</v>
      </c>
      <c r="E148" t="str">
        <f>"Q"&amp;ROUNDUP(MONTH(Raw_Data!B148)/3,0)</f>
        <v>Q2</v>
      </c>
      <c r="F148" t="str">
        <f>TEXT(Raw_Data!B148,"mmm")</f>
        <v>Apr</v>
      </c>
      <c r="G148" t="str">
        <f>TEXT(Raw_Data!B148,"ddd")</f>
        <v>Sat</v>
      </c>
      <c r="H148" t="str">
        <f>Raw_Data!D148</f>
        <v>Invoiced</v>
      </c>
      <c r="I148" t="str">
        <f>Raw_Data!F148</f>
        <v>Tele-in</v>
      </c>
      <c r="J148" t="str">
        <f>Raw_Data!G148</f>
        <v>Dealer Webpage Tele-In</v>
      </c>
      <c r="K148" t="str">
        <f>IFERROR(VLOOKUP(J148,Source_Assumptions!$A:$C,2,0),"Unmapped")</f>
        <v>Digital - Owned</v>
      </c>
      <c r="L148" t="str">
        <f>Raw_Data!H148</f>
        <v>JAZZ PE</v>
      </c>
      <c r="M148" t="str">
        <f>IFERROR(VLOOKUP(L148,Model_Assumptions!$A:$D,2,0),"Unmapped")</f>
        <v>Hatchback</v>
      </c>
      <c r="N148" t="str">
        <f>IFERROR(VLOOKUP(L148,Model_Assumptions!$A:$D,3,0),"Unmapped")</f>
        <v>Petrol</v>
      </c>
      <c r="O148">
        <f>IFERROR(VLOOKUP(L148,Model_Assumptions!$A:$D,4,0),0)</f>
        <v>800000</v>
      </c>
      <c r="P148">
        <f>IFERROR(VLOOKUP(J148,Source_Assumptions!$A:$C,3,0),0)</f>
        <v>300</v>
      </c>
    </row>
    <row r="149" spans="1:16" x14ac:dyDescent="0.3">
      <c r="A149">
        <f>Raw_Data!A149</f>
        <v>148</v>
      </c>
      <c r="B149" s="2">
        <f>Raw_Data!B149</f>
        <v>44663.541018518503</v>
      </c>
      <c r="C149">
        <f>YEAR(Raw_Data!B149)</f>
        <v>2022</v>
      </c>
      <c r="D149" t="str">
        <f>IF(MONTH(Raw_Data!B149)&gt;=4,YEAR(Raw_Data!B149)&amp;"-"&amp;RIGHT(YEAR(Raw_Data!B149)+1,2),YEAR(Raw_Data!B149)-1&amp;"-"&amp;RIGHT(YEAR(Raw_Data!B149),2))</f>
        <v>2022-23</v>
      </c>
      <c r="E149" t="str">
        <f>"Q"&amp;ROUNDUP(MONTH(Raw_Data!B149)/3,0)</f>
        <v>Q2</v>
      </c>
      <c r="F149" t="str">
        <f>TEXT(Raw_Data!B149,"mmm")</f>
        <v>Apr</v>
      </c>
      <c r="G149" t="str">
        <f>TEXT(Raw_Data!B149,"ddd")</f>
        <v>Tue</v>
      </c>
      <c r="H149" t="str">
        <f>Raw_Data!D149</f>
        <v>Invoiced</v>
      </c>
      <c r="I149" t="str">
        <f>Raw_Data!F149</f>
        <v>Tele-in</v>
      </c>
      <c r="J149" t="str">
        <f>Raw_Data!G149</f>
        <v>Referral-CAM</v>
      </c>
      <c r="K149" t="str">
        <f>IFERROR(VLOOKUP(J149,Source_Assumptions!$A:$C,2,0),"Unmapped")</f>
        <v>Referral</v>
      </c>
      <c r="L149" t="str">
        <f>Raw_Data!H149</f>
        <v>JAZZ PE</v>
      </c>
      <c r="M149" t="str">
        <f>IFERROR(VLOOKUP(L149,Model_Assumptions!$A:$D,2,0),"Unmapped")</f>
        <v>Hatchback</v>
      </c>
      <c r="N149" t="str">
        <f>IFERROR(VLOOKUP(L149,Model_Assumptions!$A:$D,3,0),"Unmapped")</f>
        <v>Petrol</v>
      </c>
      <c r="O149">
        <f>IFERROR(VLOOKUP(L149,Model_Assumptions!$A:$D,4,0),0)</f>
        <v>800000</v>
      </c>
      <c r="P149">
        <f>IFERROR(VLOOKUP(J149,Source_Assumptions!$A:$C,3,0),0)</f>
        <v>150</v>
      </c>
    </row>
    <row r="150" spans="1:16" x14ac:dyDescent="0.3">
      <c r="A150">
        <f>Raw_Data!A150</f>
        <v>149</v>
      </c>
      <c r="B150" s="2">
        <f>Raw_Data!B150</f>
        <v>44664.543981481504</v>
      </c>
      <c r="C150">
        <f>YEAR(Raw_Data!B150)</f>
        <v>2022</v>
      </c>
      <c r="D150" t="str">
        <f>IF(MONTH(Raw_Data!B150)&gt;=4,YEAR(Raw_Data!B150)&amp;"-"&amp;RIGHT(YEAR(Raw_Data!B150)+1,2),YEAR(Raw_Data!B150)-1&amp;"-"&amp;RIGHT(YEAR(Raw_Data!B150),2))</f>
        <v>2022-23</v>
      </c>
      <c r="E150" t="str">
        <f>"Q"&amp;ROUNDUP(MONTH(Raw_Data!B150)/3,0)</f>
        <v>Q2</v>
      </c>
      <c r="F150" t="str">
        <f>TEXT(Raw_Data!B150,"mmm")</f>
        <v>Apr</v>
      </c>
      <c r="G150" t="str">
        <f>TEXT(Raw_Data!B150,"ddd")</f>
        <v>Wed</v>
      </c>
      <c r="H150" t="str">
        <f>Raw_Data!D150</f>
        <v>Invoiced</v>
      </c>
      <c r="I150" t="str">
        <f>Raw_Data!F150</f>
        <v>Tele-in</v>
      </c>
      <c r="J150" t="str">
        <f>Raw_Data!G150</f>
        <v>Dealer Webpage Tele-In</v>
      </c>
      <c r="K150" t="str">
        <f>IFERROR(VLOOKUP(J150,Source_Assumptions!$A:$C,2,0),"Unmapped")</f>
        <v>Digital - Owned</v>
      </c>
      <c r="L150" t="str">
        <f>Raw_Data!H150</f>
        <v>JAZZ PE</v>
      </c>
      <c r="M150" t="str">
        <f>IFERROR(VLOOKUP(L150,Model_Assumptions!$A:$D,2,0),"Unmapped")</f>
        <v>Hatchback</v>
      </c>
      <c r="N150" t="str">
        <f>IFERROR(VLOOKUP(L150,Model_Assumptions!$A:$D,3,0),"Unmapped")</f>
        <v>Petrol</v>
      </c>
      <c r="O150">
        <f>IFERROR(VLOOKUP(L150,Model_Assumptions!$A:$D,4,0),0)</f>
        <v>800000</v>
      </c>
      <c r="P150">
        <f>IFERROR(VLOOKUP(J150,Source_Assumptions!$A:$C,3,0),0)</f>
        <v>300</v>
      </c>
    </row>
    <row r="151" spans="1:16" x14ac:dyDescent="0.3">
      <c r="A151">
        <f>Raw_Data!A151</f>
        <v>150</v>
      </c>
      <c r="B151" s="2">
        <f>Raw_Data!B151</f>
        <v>44665.486608796302</v>
      </c>
      <c r="C151">
        <f>YEAR(Raw_Data!B151)</f>
        <v>2022</v>
      </c>
      <c r="D151" t="str">
        <f>IF(MONTH(Raw_Data!B151)&gt;=4,YEAR(Raw_Data!B151)&amp;"-"&amp;RIGHT(YEAR(Raw_Data!B151)+1,2),YEAR(Raw_Data!B151)-1&amp;"-"&amp;RIGHT(YEAR(Raw_Data!B151),2))</f>
        <v>2022-23</v>
      </c>
      <c r="E151" t="str">
        <f>"Q"&amp;ROUNDUP(MONTH(Raw_Data!B151)/3,0)</f>
        <v>Q2</v>
      </c>
      <c r="F151" t="str">
        <f>TEXT(Raw_Data!B151,"mmm")</f>
        <v>Apr</v>
      </c>
      <c r="G151" t="str">
        <f>TEXT(Raw_Data!B151,"ddd")</f>
        <v>Thu</v>
      </c>
      <c r="H151" t="str">
        <f>Raw_Data!D151</f>
        <v>Invoiced</v>
      </c>
      <c r="I151" t="str">
        <f>Raw_Data!F151</f>
        <v>Tele-in</v>
      </c>
      <c r="J151" t="str">
        <f>Raw_Data!G151</f>
        <v>Adver. (TVC/Print/Hoarding/FM)</v>
      </c>
      <c r="K151" t="str">
        <f>IFERROR(VLOOKUP(J151,Source_Assumptions!$A:$C,2,0),"Unmapped")</f>
        <v>Traditional Advertising</v>
      </c>
      <c r="L151" t="str">
        <f>Raw_Data!H151</f>
        <v>5TH GEN CITY PE</v>
      </c>
      <c r="M151" t="str">
        <f>IFERROR(VLOOKUP(L151,Model_Assumptions!$A:$D,2,0),"Unmapped")</f>
        <v>Mid-size Sedan</v>
      </c>
      <c r="N151" t="str">
        <f>IFERROR(VLOOKUP(L151,Model_Assumptions!$A:$D,3,0),"Unmapped")</f>
        <v>Petrol</v>
      </c>
      <c r="O151">
        <f>IFERROR(VLOOKUP(L151,Model_Assumptions!$A:$D,4,0),0)</f>
        <v>1250000</v>
      </c>
      <c r="P151">
        <f>IFERROR(VLOOKUP(J151,Source_Assumptions!$A:$C,3,0),0)</f>
        <v>1200</v>
      </c>
    </row>
    <row r="152" spans="1:16" x14ac:dyDescent="0.3">
      <c r="A152">
        <f>Raw_Data!A152</f>
        <v>151</v>
      </c>
      <c r="B152" s="2">
        <f>Raw_Data!B152</f>
        <v>44669.584212962996</v>
      </c>
      <c r="C152">
        <f>YEAR(Raw_Data!B152)</f>
        <v>2022</v>
      </c>
      <c r="D152" t="str">
        <f>IF(MONTH(Raw_Data!B152)&gt;=4,YEAR(Raw_Data!B152)&amp;"-"&amp;RIGHT(YEAR(Raw_Data!B152)+1,2),YEAR(Raw_Data!B152)-1&amp;"-"&amp;RIGHT(YEAR(Raw_Data!B152),2))</f>
        <v>2022-23</v>
      </c>
      <c r="E152" t="str">
        <f>"Q"&amp;ROUNDUP(MONTH(Raw_Data!B152)/3,0)</f>
        <v>Q2</v>
      </c>
      <c r="F152" t="str">
        <f>TEXT(Raw_Data!B152,"mmm")</f>
        <v>Apr</v>
      </c>
      <c r="G152" t="str">
        <f>TEXT(Raw_Data!B152,"ddd")</f>
        <v>Mon</v>
      </c>
      <c r="H152" t="str">
        <f>Raw_Data!D152</f>
        <v>Invoiced</v>
      </c>
      <c r="I152" t="str">
        <f>Raw_Data!F152</f>
        <v>Tele-in</v>
      </c>
      <c r="J152" t="str">
        <f>Raw_Data!G152</f>
        <v>Dealer Webpage Tele-In</v>
      </c>
      <c r="K152" t="str">
        <f>IFERROR(VLOOKUP(J152,Source_Assumptions!$A:$C,2,0),"Unmapped")</f>
        <v>Digital - Owned</v>
      </c>
      <c r="L152" t="str">
        <f>Raw_Data!H152</f>
        <v>5TH GEN CITY PE</v>
      </c>
      <c r="M152" t="str">
        <f>IFERROR(VLOOKUP(L152,Model_Assumptions!$A:$D,2,0),"Unmapped")</f>
        <v>Mid-size Sedan</v>
      </c>
      <c r="N152" t="str">
        <f>IFERROR(VLOOKUP(L152,Model_Assumptions!$A:$D,3,0),"Unmapped")</f>
        <v>Petrol</v>
      </c>
      <c r="O152">
        <f>IFERROR(VLOOKUP(L152,Model_Assumptions!$A:$D,4,0),0)</f>
        <v>1250000</v>
      </c>
      <c r="P152">
        <f>IFERROR(VLOOKUP(J152,Source_Assumptions!$A:$C,3,0),0)</f>
        <v>300</v>
      </c>
    </row>
    <row r="153" spans="1:16" x14ac:dyDescent="0.3">
      <c r="A153">
        <f>Raw_Data!A153</f>
        <v>152</v>
      </c>
      <c r="B153" s="2">
        <f>Raw_Data!B153</f>
        <v>44670.503784722197</v>
      </c>
      <c r="C153">
        <f>YEAR(Raw_Data!B153)</f>
        <v>2022</v>
      </c>
      <c r="D153" t="str">
        <f>IF(MONTH(Raw_Data!B153)&gt;=4,YEAR(Raw_Data!B153)&amp;"-"&amp;RIGHT(YEAR(Raw_Data!B153)+1,2),YEAR(Raw_Data!B153)-1&amp;"-"&amp;RIGHT(YEAR(Raw_Data!B153),2))</f>
        <v>2022-23</v>
      </c>
      <c r="E153" t="str">
        <f>"Q"&amp;ROUNDUP(MONTH(Raw_Data!B153)/3,0)</f>
        <v>Q2</v>
      </c>
      <c r="F153" t="str">
        <f>TEXT(Raw_Data!B153,"mmm")</f>
        <v>Apr</v>
      </c>
      <c r="G153" t="str">
        <f>TEXT(Raw_Data!B153,"ddd")</f>
        <v>Tue</v>
      </c>
      <c r="H153" t="str">
        <f>Raw_Data!D153</f>
        <v>Invoiced</v>
      </c>
      <c r="I153" t="str">
        <f>Raw_Data!F153</f>
        <v>Tele-in</v>
      </c>
      <c r="J153" t="str">
        <f>Raw_Data!G153</f>
        <v>Referral-CAM</v>
      </c>
      <c r="K153" t="str">
        <f>IFERROR(VLOOKUP(J153,Source_Assumptions!$A:$C,2,0),"Unmapped")</f>
        <v>Referral</v>
      </c>
      <c r="L153" t="str">
        <f>Raw_Data!H153</f>
        <v>5TH GEN CITY PE</v>
      </c>
      <c r="M153" t="str">
        <f>IFERROR(VLOOKUP(L153,Model_Assumptions!$A:$D,2,0),"Unmapped")</f>
        <v>Mid-size Sedan</v>
      </c>
      <c r="N153" t="str">
        <f>IFERROR(VLOOKUP(L153,Model_Assumptions!$A:$D,3,0),"Unmapped")</f>
        <v>Petrol</v>
      </c>
      <c r="O153">
        <f>IFERROR(VLOOKUP(L153,Model_Assumptions!$A:$D,4,0),0)</f>
        <v>1250000</v>
      </c>
      <c r="P153">
        <f>IFERROR(VLOOKUP(J153,Source_Assumptions!$A:$C,3,0),0)</f>
        <v>150</v>
      </c>
    </row>
    <row r="154" spans="1:16" x14ac:dyDescent="0.3">
      <c r="A154">
        <f>Raw_Data!A154</f>
        <v>153</v>
      </c>
      <c r="B154" s="2">
        <f>Raw_Data!B154</f>
        <v>44670.575949074097</v>
      </c>
      <c r="C154">
        <f>YEAR(Raw_Data!B154)</f>
        <v>2022</v>
      </c>
      <c r="D154" t="str">
        <f>IF(MONTH(Raw_Data!B154)&gt;=4,YEAR(Raw_Data!B154)&amp;"-"&amp;RIGHT(YEAR(Raw_Data!B154)+1,2),YEAR(Raw_Data!B154)-1&amp;"-"&amp;RIGHT(YEAR(Raw_Data!B154),2))</f>
        <v>2022-23</v>
      </c>
      <c r="E154" t="str">
        <f>"Q"&amp;ROUNDUP(MONTH(Raw_Data!B154)/3,0)</f>
        <v>Q2</v>
      </c>
      <c r="F154" t="str">
        <f>TEXT(Raw_Data!B154,"mmm")</f>
        <v>Apr</v>
      </c>
      <c r="G154" t="str">
        <f>TEXT(Raw_Data!B154,"ddd")</f>
        <v>Tue</v>
      </c>
      <c r="H154" t="str">
        <f>Raw_Data!D154</f>
        <v>Invoiced</v>
      </c>
      <c r="I154" t="str">
        <f>Raw_Data!F154</f>
        <v>Tele-in</v>
      </c>
      <c r="J154" t="str">
        <f>Raw_Data!G154</f>
        <v>Referral (HC/HBLP)</v>
      </c>
      <c r="K154" t="str">
        <f>IFERROR(VLOOKUP(J154,Source_Assumptions!$A:$C,2,0),"Unmapped")</f>
        <v>Referral (Happy Customer)</v>
      </c>
      <c r="L154" t="str">
        <f>Raw_Data!H154</f>
        <v>5TH GEN CITY PE</v>
      </c>
      <c r="M154" t="str">
        <f>IFERROR(VLOOKUP(L154,Model_Assumptions!$A:$D,2,0),"Unmapped")</f>
        <v>Mid-size Sedan</v>
      </c>
      <c r="N154" t="str">
        <f>IFERROR(VLOOKUP(L154,Model_Assumptions!$A:$D,3,0),"Unmapped")</f>
        <v>Petrol</v>
      </c>
      <c r="O154">
        <f>IFERROR(VLOOKUP(L154,Model_Assumptions!$A:$D,4,0),0)</f>
        <v>1250000</v>
      </c>
      <c r="P154">
        <f>IFERROR(VLOOKUP(J154,Source_Assumptions!$A:$C,3,0),0)</f>
        <v>100</v>
      </c>
    </row>
    <row r="155" spans="1:16" x14ac:dyDescent="0.3">
      <c r="A155">
        <f>Raw_Data!A155</f>
        <v>154</v>
      </c>
      <c r="B155" s="2">
        <f>Raw_Data!B155</f>
        <v>44670.6004861111</v>
      </c>
      <c r="C155">
        <f>YEAR(Raw_Data!B155)</f>
        <v>2022</v>
      </c>
      <c r="D155" t="str">
        <f>IF(MONTH(Raw_Data!B155)&gt;=4,YEAR(Raw_Data!B155)&amp;"-"&amp;RIGHT(YEAR(Raw_Data!B155)+1,2),YEAR(Raw_Data!B155)-1&amp;"-"&amp;RIGHT(YEAR(Raw_Data!B155),2))</f>
        <v>2022-23</v>
      </c>
      <c r="E155" t="str">
        <f>"Q"&amp;ROUNDUP(MONTH(Raw_Data!B155)/3,0)</f>
        <v>Q2</v>
      </c>
      <c r="F155" t="str">
        <f>TEXT(Raw_Data!B155,"mmm")</f>
        <v>Apr</v>
      </c>
      <c r="G155" t="str">
        <f>TEXT(Raw_Data!B155,"ddd")</f>
        <v>Tue</v>
      </c>
      <c r="H155" t="str">
        <f>Raw_Data!D155</f>
        <v>Invoiced</v>
      </c>
      <c r="I155" t="str">
        <f>Raw_Data!F155</f>
        <v>Tele-in</v>
      </c>
      <c r="J155" t="str">
        <f>Raw_Data!G155</f>
        <v>Adver. (TVC/Print/Hoarding/FM)</v>
      </c>
      <c r="K155" t="str">
        <f>IFERROR(VLOOKUP(J155,Source_Assumptions!$A:$C,2,0),"Unmapped")</f>
        <v>Traditional Advertising</v>
      </c>
      <c r="L155" t="str">
        <f>Raw_Data!H155</f>
        <v>5TH GEN CITY PE</v>
      </c>
      <c r="M155" t="str">
        <f>IFERROR(VLOOKUP(L155,Model_Assumptions!$A:$D,2,0),"Unmapped")</f>
        <v>Mid-size Sedan</v>
      </c>
      <c r="N155" t="str">
        <f>IFERROR(VLOOKUP(L155,Model_Assumptions!$A:$D,3,0),"Unmapped")</f>
        <v>Petrol</v>
      </c>
      <c r="O155">
        <f>IFERROR(VLOOKUP(L155,Model_Assumptions!$A:$D,4,0),0)</f>
        <v>1250000</v>
      </c>
      <c r="P155">
        <f>IFERROR(VLOOKUP(J155,Source_Assumptions!$A:$C,3,0),0)</f>
        <v>1200</v>
      </c>
    </row>
    <row r="156" spans="1:16" x14ac:dyDescent="0.3">
      <c r="A156">
        <f>Raw_Data!A156</f>
        <v>155</v>
      </c>
      <c r="B156" s="2">
        <f>Raw_Data!B156</f>
        <v>44671.603599536997</v>
      </c>
      <c r="C156">
        <f>YEAR(Raw_Data!B156)</f>
        <v>2022</v>
      </c>
      <c r="D156" t="str">
        <f>IF(MONTH(Raw_Data!B156)&gt;=4,YEAR(Raw_Data!B156)&amp;"-"&amp;RIGHT(YEAR(Raw_Data!B156)+1,2),YEAR(Raw_Data!B156)-1&amp;"-"&amp;RIGHT(YEAR(Raw_Data!B156),2))</f>
        <v>2022-23</v>
      </c>
      <c r="E156" t="str">
        <f>"Q"&amp;ROUNDUP(MONTH(Raw_Data!B156)/3,0)</f>
        <v>Q2</v>
      </c>
      <c r="F156" t="str">
        <f>TEXT(Raw_Data!B156,"mmm")</f>
        <v>Apr</v>
      </c>
      <c r="G156" t="str">
        <f>TEXT(Raw_Data!B156,"ddd")</f>
        <v>Wed</v>
      </c>
      <c r="H156" t="str">
        <f>Raw_Data!D156</f>
        <v>Invoiced</v>
      </c>
      <c r="I156" t="str">
        <f>Raw_Data!F156</f>
        <v>Web Lead</v>
      </c>
      <c r="J156" t="str">
        <f>Raw_Data!G156</f>
        <v>Web_Facebook</v>
      </c>
      <c r="K156" t="str">
        <f>IFERROR(VLOOKUP(J156,Source_Assumptions!$A:$C,2,0),"Unmapped")</f>
        <v>Digital - Paid Social</v>
      </c>
      <c r="L156" t="str">
        <f>Raw_Data!H156</f>
        <v>AMAZE Petrol</v>
      </c>
      <c r="M156" t="str">
        <f>IFERROR(VLOOKUP(L156,Model_Assumptions!$A:$D,2,0),"Unmapped")</f>
        <v>Sub-4m Sedan</v>
      </c>
      <c r="N156" t="str">
        <f>IFERROR(VLOOKUP(L156,Model_Assumptions!$A:$D,3,0),"Unmapped")</f>
        <v>Petrol</v>
      </c>
      <c r="O156">
        <f>IFERROR(VLOOKUP(L156,Model_Assumptions!$A:$D,4,0),0)</f>
        <v>850000</v>
      </c>
      <c r="P156">
        <f>IFERROR(VLOOKUP(J156,Source_Assumptions!$A:$C,3,0),0)</f>
        <v>600</v>
      </c>
    </row>
    <row r="157" spans="1:16" x14ac:dyDescent="0.3">
      <c r="A157">
        <f>Raw_Data!A157</f>
        <v>156</v>
      </c>
      <c r="B157" s="2">
        <f>Raw_Data!B157</f>
        <v>44671.620983796303</v>
      </c>
      <c r="C157">
        <f>YEAR(Raw_Data!B157)</f>
        <v>2022</v>
      </c>
      <c r="D157" t="str">
        <f>IF(MONTH(Raw_Data!B157)&gt;=4,YEAR(Raw_Data!B157)&amp;"-"&amp;RIGHT(YEAR(Raw_Data!B157)+1,2),YEAR(Raw_Data!B157)-1&amp;"-"&amp;RIGHT(YEAR(Raw_Data!B157),2))</f>
        <v>2022-23</v>
      </c>
      <c r="E157" t="str">
        <f>"Q"&amp;ROUNDUP(MONTH(Raw_Data!B157)/3,0)</f>
        <v>Q2</v>
      </c>
      <c r="F157" t="str">
        <f>TEXT(Raw_Data!B157,"mmm")</f>
        <v>Apr</v>
      </c>
      <c r="G157" t="str">
        <f>TEXT(Raw_Data!B157,"ddd")</f>
        <v>Wed</v>
      </c>
      <c r="H157" t="str">
        <f>Raw_Data!D157</f>
        <v>Invoiced</v>
      </c>
      <c r="I157" t="str">
        <f>Raw_Data!F157</f>
        <v>Tele-in</v>
      </c>
      <c r="J157" t="str">
        <f>Raw_Data!G157</f>
        <v>Dealer Webpage Tele-In</v>
      </c>
      <c r="K157" t="str">
        <f>IFERROR(VLOOKUP(J157,Source_Assumptions!$A:$C,2,0),"Unmapped")</f>
        <v>Digital - Owned</v>
      </c>
      <c r="L157" t="str">
        <f>Raw_Data!H157</f>
        <v>JAZZ PE</v>
      </c>
      <c r="M157" t="str">
        <f>IFERROR(VLOOKUP(L157,Model_Assumptions!$A:$D,2,0),"Unmapped")</f>
        <v>Hatchback</v>
      </c>
      <c r="N157" t="str">
        <f>IFERROR(VLOOKUP(L157,Model_Assumptions!$A:$D,3,0),"Unmapped")</f>
        <v>Petrol</v>
      </c>
      <c r="O157">
        <f>IFERROR(VLOOKUP(L157,Model_Assumptions!$A:$D,4,0),0)</f>
        <v>800000</v>
      </c>
      <c r="P157">
        <f>IFERROR(VLOOKUP(J157,Source_Assumptions!$A:$C,3,0),0)</f>
        <v>300</v>
      </c>
    </row>
    <row r="158" spans="1:16" x14ac:dyDescent="0.3">
      <c r="A158">
        <f>Raw_Data!A158</f>
        <v>157</v>
      </c>
      <c r="B158" s="2">
        <f>Raw_Data!B158</f>
        <v>44671.7422337963</v>
      </c>
      <c r="C158">
        <f>YEAR(Raw_Data!B158)</f>
        <v>2022</v>
      </c>
      <c r="D158" t="str">
        <f>IF(MONTH(Raw_Data!B158)&gt;=4,YEAR(Raw_Data!B158)&amp;"-"&amp;RIGHT(YEAR(Raw_Data!B158)+1,2),YEAR(Raw_Data!B158)-1&amp;"-"&amp;RIGHT(YEAR(Raw_Data!B158),2))</f>
        <v>2022-23</v>
      </c>
      <c r="E158" t="str">
        <f>"Q"&amp;ROUNDUP(MONTH(Raw_Data!B158)/3,0)</f>
        <v>Q2</v>
      </c>
      <c r="F158" t="str">
        <f>TEXT(Raw_Data!B158,"mmm")</f>
        <v>Apr</v>
      </c>
      <c r="G158" t="str">
        <f>TEXT(Raw_Data!B158,"ddd")</f>
        <v>Wed</v>
      </c>
      <c r="H158" t="str">
        <f>Raw_Data!D158</f>
        <v>Invoiced</v>
      </c>
      <c r="I158" t="str">
        <f>Raw_Data!F158</f>
        <v>Tele-in</v>
      </c>
      <c r="J158" t="str">
        <f>Raw_Data!G158</f>
        <v>Adver. (TVC/Print/Hoarding/FM)</v>
      </c>
      <c r="K158" t="str">
        <f>IFERROR(VLOOKUP(J158,Source_Assumptions!$A:$C,2,0),"Unmapped")</f>
        <v>Traditional Advertising</v>
      </c>
      <c r="L158" t="str">
        <f>Raw_Data!H158</f>
        <v>5TH GEN CITY PE</v>
      </c>
      <c r="M158" t="str">
        <f>IFERROR(VLOOKUP(L158,Model_Assumptions!$A:$D,2,0),"Unmapped")</f>
        <v>Mid-size Sedan</v>
      </c>
      <c r="N158" t="str">
        <f>IFERROR(VLOOKUP(L158,Model_Assumptions!$A:$D,3,0),"Unmapped")</f>
        <v>Petrol</v>
      </c>
      <c r="O158">
        <f>IFERROR(VLOOKUP(L158,Model_Assumptions!$A:$D,4,0),0)</f>
        <v>1250000</v>
      </c>
      <c r="P158">
        <f>IFERROR(VLOOKUP(J158,Source_Assumptions!$A:$C,3,0),0)</f>
        <v>1200</v>
      </c>
    </row>
    <row r="159" spans="1:16" x14ac:dyDescent="0.3">
      <c r="A159">
        <f>Raw_Data!A159</f>
        <v>158</v>
      </c>
      <c r="B159" s="2">
        <f>Raw_Data!B159</f>
        <v>44671.755254629599</v>
      </c>
      <c r="C159">
        <f>YEAR(Raw_Data!B159)</f>
        <v>2022</v>
      </c>
      <c r="D159" t="str">
        <f>IF(MONTH(Raw_Data!B159)&gt;=4,YEAR(Raw_Data!B159)&amp;"-"&amp;RIGHT(YEAR(Raw_Data!B159)+1,2),YEAR(Raw_Data!B159)-1&amp;"-"&amp;RIGHT(YEAR(Raw_Data!B159),2))</f>
        <v>2022-23</v>
      </c>
      <c r="E159" t="str">
        <f>"Q"&amp;ROUNDUP(MONTH(Raw_Data!B159)/3,0)</f>
        <v>Q2</v>
      </c>
      <c r="F159" t="str">
        <f>TEXT(Raw_Data!B159,"mmm")</f>
        <v>Apr</v>
      </c>
      <c r="G159" t="str">
        <f>TEXT(Raw_Data!B159,"ddd")</f>
        <v>Wed</v>
      </c>
      <c r="H159" t="str">
        <f>Raw_Data!D159</f>
        <v>Invoiced</v>
      </c>
      <c r="I159" t="str">
        <f>Raw_Data!F159</f>
        <v>Tele-in</v>
      </c>
      <c r="J159" t="str">
        <f>Raw_Data!G159</f>
        <v>Dealer Webpage Tele-In</v>
      </c>
      <c r="K159" t="str">
        <f>IFERROR(VLOOKUP(J159,Source_Assumptions!$A:$C,2,0),"Unmapped")</f>
        <v>Digital - Owned</v>
      </c>
      <c r="L159" t="str">
        <f>Raw_Data!H159</f>
        <v>JAZZ PE</v>
      </c>
      <c r="M159" t="str">
        <f>IFERROR(VLOOKUP(L159,Model_Assumptions!$A:$D,2,0),"Unmapped")</f>
        <v>Hatchback</v>
      </c>
      <c r="N159" t="str">
        <f>IFERROR(VLOOKUP(L159,Model_Assumptions!$A:$D,3,0),"Unmapped")</f>
        <v>Petrol</v>
      </c>
      <c r="O159">
        <f>IFERROR(VLOOKUP(L159,Model_Assumptions!$A:$D,4,0),0)</f>
        <v>800000</v>
      </c>
      <c r="P159">
        <f>IFERROR(VLOOKUP(J159,Source_Assumptions!$A:$C,3,0),0)</f>
        <v>300</v>
      </c>
    </row>
    <row r="160" spans="1:16" x14ac:dyDescent="0.3">
      <c r="A160">
        <f>Raw_Data!A160</f>
        <v>159</v>
      </c>
      <c r="B160" s="2">
        <f>Raw_Data!B160</f>
        <v>44672.458379629599</v>
      </c>
      <c r="C160">
        <f>YEAR(Raw_Data!B160)</f>
        <v>2022</v>
      </c>
      <c r="D160" t="str">
        <f>IF(MONTH(Raw_Data!B160)&gt;=4,YEAR(Raw_Data!B160)&amp;"-"&amp;RIGHT(YEAR(Raw_Data!B160)+1,2),YEAR(Raw_Data!B160)-1&amp;"-"&amp;RIGHT(YEAR(Raw_Data!B160),2))</f>
        <v>2022-23</v>
      </c>
      <c r="E160" t="str">
        <f>"Q"&amp;ROUNDUP(MONTH(Raw_Data!B160)/3,0)</f>
        <v>Q2</v>
      </c>
      <c r="F160" t="str">
        <f>TEXT(Raw_Data!B160,"mmm")</f>
        <v>Apr</v>
      </c>
      <c r="G160" t="str">
        <f>TEXT(Raw_Data!B160,"ddd")</f>
        <v>Thu</v>
      </c>
      <c r="H160" t="str">
        <f>Raw_Data!D160</f>
        <v>Invoiced</v>
      </c>
      <c r="I160" t="str">
        <f>Raw_Data!F160</f>
        <v>Tele-in</v>
      </c>
      <c r="J160" t="str">
        <f>Raw_Data!G160</f>
        <v>Referral-CAM</v>
      </c>
      <c r="K160" t="str">
        <f>IFERROR(VLOOKUP(J160,Source_Assumptions!$A:$C,2,0),"Unmapped")</f>
        <v>Referral</v>
      </c>
      <c r="L160" t="str">
        <f>Raw_Data!H160</f>
        <v>CITY PE</v>
      </c>
      <c r="M160" t="str">
        <f>IFERROR(VLOOKUP(L160,Model_Assumptions!$A:$D,2,0),"Unmapped")</f>
        <v>Mid-size Sedan</v>
      </c>
      <c r="N160" t="str">
        <f>IFERROR(VLOOKUP(L160,Model_Assumptions!$A:$D,3,0),"Unmapped")</f>
        <v>Petrol</v>
      </c>
      <c r="O160">
        <f>IFERROR(VLOOKUP(L160,Model_Assumptions!$A:$D,4,0),0)</f>
        <v>1100000</v>
      </c>
      <c r="P160">
        <f>IFERROR(VLOOKUP(J160,Source_Assumptions!$A:$C,3,0),0)</f>
        <v>150</v>
      </c>
    </row>
    <row r="161" spans="1:16" x14ac:dyDescent="0.3">
      <c r="A161">
        <f>Raw_Data!A161</f>
        <v>160</v>
      </c>
      <c r="B161" s="2">
        <f>Raw_Data!B161</f>
        <v>44672.6848032407</v>
      </c>
      <c r="C161">
        <f>YEAR(Raw_Data!B161)</f>
        <v>2022</v>
      </c>
      <c r="D161" t="str">
        <f>IF(MONTH(Raw_Data!B161)&gt;=4,YEAR(Raw_Data!B161)&amp;"-"&amp;RIGHT(YEAR(Raw_Data!B161)+1,2),YEAR(Raw_Data!B161)-1&amp;"-"&amp;RIGHT(YEAR(Raw_Data!B161),2))</f>
        <v>2022-23</v>
      </c>
      <c r="E161" t="str">
        <f>"Q"&amp;ROUNDUP(MONTH(Raw_Data!B161)/3,0)</f>
        <v>Q2</v>
      </c>
      <c r="F161" t="str">
        <f>TEXT(Raw_Data!B161,"mmm")</f>
        <v>Apr</v>
      </c>
      <c r="G161" t="str">
        <f>TEXT(Raw_Data!B161,"ddd")</f>
        <v>Thu</v>
      </c>
      <c r="H161" t="str">
        <f>Raw_Data!D161</f>
        <v>Invoiced</v>
      </c>
      <c r="I161" t="str">
        <f>Raw_Data!F161</f>
        <v>Tele-in</v>
      </c>
      <c r="J161" t="str">
        <f>Raw_Data!G161</f>
        <v>Dealer Webpage Tele-In</v>
      </c>
      <c r="K161" t="str">
        <f>IFERROR(VLOOKUP(J161,Source_Assumptions!$A:$C,2,0),"Unmapped")</f>
        <v>Digital - Owned</v>
      </c>
      <c r="L161" t="str">
        <f>Raw_Data!H161</f>
        <v>AMAZE Petrol</v>
      </c>
      <c r="M161" t="str">
        <f>IFERROR(VLOOKUP(L161,Model_Assumptions!$A:$D,2,0),"Unmapped")</f>
        <v>Sub-4m Sedan</v>
      </c>
      <c r="N161" t="str">
        <f>IFERROR(VLOOKUP(L161,Model_Assumptions!$A:$D,3,0),"Unmapped")</f>
        <v>Petrol</v>
      </c>
      <c r="O161">
        <f>IFERROR(VLOOKUP(L161,Model_Assumptions!$A:$D,4,0),0)</f>
        <v>850000</v>
      </c>
      <c r="P161">
        <f>IFERROR(VLOOKUP(J161,Source_Assumptions!$A:$C,3,0),0)</f>
        <v>300</v>
      </c>
    </row>
    <row r="162" spans="1:16" x14ac:dyDescent="0.3">
      <c r="A162">
        <f>Raw_Data!A162</f>
        <v>161</v>
      </c>
      <c r="B162" s="2">
        <f>Raw_Data!B162</f>
        <v>44673.650798611103</v>
      </c>
      <c r="C162">
        <f>YEAR(Raw_Data!B162)</f>
        <v>2022</v>
      </c>
      <c r="D162" t="str">
        <f>IF(MONTH(Raw_Data!B162)&gt;=4,YEAR(Raw_Data!B162)&amp;"-"&amp;RIGHT(YEAR(Raw_Data!B162)+1,2),YEAR(Raw_Data!B162)-1&amp;"-"&amp;RIGHT(YEAR(Raw_Data!B162),2))</f>
        <v>2022-23</v>
      </c>
      <c r="E162" t="str">
        <f>"Q"&amp;ROUNDUP(MONTH(Raw_Data!B162)/3,0)</f>
        <v>Q2</v>
      </c>
      <c r="F162" t="str">
        <f>TEXT(Raw_Data!B162,"mmm")</f>
        <v>Apr</v>
      </c>
      <c r="G162" t="str">
        <f>TEXT(Raw_Data!B162,"ddd")</f>
        <v>Fri</v>
      </c>
      <c r="H162" t="str">
        <f>Raw_Data!D162</f>
        <v>Invoiced</v>
      </c>
      <c r="I162" t="str">
        <f>Raw_Data!F162</f>
        <v>Tele-in</v>
      </c>
      <c r="J162" t="str">
        <f>Raw_Data!G162</f>
        <v>Dealer Webpage Tele-In</v>
      </c>
      <c r="K162" t="str">
        <f>IFERROR(VLOOKUP(J162,Source_Assumptions!$A:$C,2,0),"Unmapped")</f>
        <v>Digital - Owned</v>
      </c>
      <c r="L162" t="str">
        <f>Raw_Data!H162</f>
        <v>JAZZ PE</v>
      </c>
      <c r="M162" t="str">
        <f>IFERROR(VLOOKUP(L162,Model_Assumptions!$A:$D,2,0),"Unmapped")</f>
        <v>Hatchback</v>
      </c>
      <c r="N162" t="str">
        <f>IFERROR(VLOOKUP(L162,Model_Assumptions!$A:$D,3,0),"Unmapped")</f>
        <v>Petrol</v>
      </c>
      <c r="O162">
        <f>IFERROR(VLOOKUP(L162,Model_Assumptions!$A:$D,4,0),0)</f>
        <v>800000</v>
      </c>
      <c r="P162">
        <f>IFERROR(VLOOKUP(J162,Source_Assumptions!$A:$C,3,0),0)</f>
        <v>300</v>
      </c>
    </row>
    <row r="163" spans="1:16" x14ac:dyDescent="0.3">
      <c r="A163">
        <f>Raw_Data!A163</f>
        <v>162</v>
      </c>
      <c r="B163" s="2">
        <f>Raw_Data!B163</f>
        <v>44673.664270833302</v>
      </c>
      <c r="C163">
        <f>YEAR(Raw_Data!B163)</f>
        <v>2022</v>
      </c>
      <c r="D163" t="str">
        <f>IF(MONTH(Raw_Data!B163)&gt;=4,YEAR(Raw_Data!B163)&amp;"-"&amp;RIGHT(YEAR(Raw_Data!B163)+1,2),YEAR(Raw_Data!B163)-1&amp;"-"&amp;RIGHT(YEAR(Raw_Data!B163),2))</f>
        <v>2022-23</v>
      </c>
      <c r="E163" t="str">
        <f>"Q"&amp;ROUNDUP(MONTH(Raw_Data!B163)/3,0)</f>
        <v>Q2</v>
      </c>
      <c r="F163" t="str">
        <f>TEXT(Raw_Data!B163,"mmm")</f>
        <v>Apr</v>
      </c>
      <c r="G163" t="str">
        <f>TEXT(Raw_Data!B163,"ddd")</f>
        <v>Fri</v>
      </c>
      <c r="H163" t="str">
        <f>Raw_Data!D163</f>
        <v>Invoiced</v>
      </c>
      <c r="I163" t="str">
        <f>Raw_Data!F163</f>
        <v>Tele-in</v>
      </c>
      <c r="J163" t="str">
        <f>Raw_Data!G163</f>
        <v>Referral-CAM</v>
      </c>
      <c r="K163" t="str">
        <f>IFERROR(VLOOKUP(J163,Source_Assumptions!$A:$C,2,0),"Unmapped")</f>
        <v>Referral</v>
      </c>
      <c r="L163" t="str">
        <f>Raw_Data!H163</f>
        <v>5TH GEN CITY DE</v>
      </c>
      <c r="M163" t="str">
        <f>IFERROR(VLOOKUP(L163,Model_Assumptions!$A:$D,2,0),"Unmapped")</f>
        <v>Mid-size Sedan</v>
      </c>
      <c r="N163" t="str">
        <f>IFERROR(VLOOKUP(L163,Model_Assumptions!$A:$D,3,0),"Unmapped")</f>
        <v>Diesel</v>
      </c>
      <c r="O163">
        <f>IFERROR(VLOOKUP(L163,Model_Assumptions!$A:$D,4,0),0)</f>
        <v>1350000</v>
      </c>
      <c r="P163">
        <f>IFERROR(VLOOKUP(J163,Source_Assumptions!$A:$C,3,0),0)</f>
        <v>150</v>
      </c>
    </row>
    <row r="164" spans="1:16" x14ac:dyDescent="0.3">
      <c r="A164">
        <f>Raw_Data!A164</f>
        <v>163</v>
      </c>
      <c r="B164" s="2">
        <f>Raw_Data!B164</f>
        <v>44673.715520833299</v>
      </c>
      <c r="C164">
        <f>YEAR(Raw_Data!B164)</f>
        <v>2022</v>
      </c>
      <c r="D164" t="str">
        <f>IF(MONTH(Raw_Data!B164)&gt;=4,YEAR(Raw_Data!B164)&amp;"-"&amp;RIGHT(YEAR(Raw_Data!B164)+1,2),YEAR(Raw_Data!B164)-1&amp;"-"&amp;RIGHT(YEAR(Raw_Data!B164),2))</f>
        <v>2022-23</v>
      </c>
      <c r="E164" t="str">
        <f>"Q"&amp;ROUNDUP(MONTH(Raw_Data!B164)/3,0)</f>
        <v>Q2</v>
      </c>
      <c r="F164" t="str">
        <f>TEXT(Raw_Data!B164,"mmm")</f>
        <v>Apr</v>
      </c>
      <c r="G164" t="str">
        <f>TEXT(Raw_Data!B164,"ddd")</f>
        <v>Fri</v>
      </c>
      <c r="H164" t="str">
        <f>Raw_Data!D164</f>
        <v>Invoiced</v>
      </c>
      <c r="I164" t="str">
        <f>Raw_Data!F164</f>
        <v>Tele-in</v>
      </c>
      <c r="J164" t="str">
        <f>Raw_Data!G164</f>
        <v>Referral-CAM</v>
      </c>
      <c r="K164" t="str">
        <f>IFERROR(VLOOKUP(J164,Source_Assumptions!$A:$C,2,0),"Unmapped")</f>
        <v>Referral</v>
      </c>
      <c r="L164" t="str">
        <f>Raw_Data!H164</f>
        <v>5TH GEN CITY PE</v>
      </c>
      <c r="M164" t="str">
        <f>IFERROR(VLOOKUP(L164,Model_Assumptions!$A:$D,2,0),"Unmapped")</f>
        <v>Mid-size Sedan</v>
      </c>
      <c r="N164" t="str">
        <f>IFERROR(VLOOKUP(L164,Model_Assumptions!$A:$D,3,0),"Unmapped")</f>
        <v>Petrol</v>
      </c>
      <c r="O164">
        <f>IFERROR(VLOOKUP(L164,Model_Assumptions!$A:$D,4,0),0)</f>
        <v>1250000</v>
      </c>
      <c r="P164">
        <f>IFERROR(VLOOKUP(J164,Source_Assumptions!$A:$C,3,0),0)</f>
        <v>150</v>
      </c>
    </row>
    <row r="165" spans="1:16" x14ac:dyDescent="0.3">
      <c r="A165">
        <f>Raw_Data!A165</f>
        <v>164</v>
      </c>
      <c r="B165" s="2">
        <f>Raw_Data!B165</f>
        <v>44676.650092592601</v>
      </c>
      <c r="C165">
        <f>YEAR(Raw_Data!B165)</f>
        <v>2022</v>
      </c>
      <c r="D165" t="str">
        <f>IF(MONTH(Raw_Data!B165)&gt;=4,YEAR(Raw_Data!B165)&amp;"-"&amp;RIGHT(YEAR(Raw_Data!B165)+1,2),YEAR(Raw_Data!B165)-1&amp;"-"&amp;RIGHT(YEAR(Raw_Data!B165),2))</f>
        <v>2022-23</v>
      </c>
      <c r="E165" t="str">
        <f>"Q"&amp;ROUNDUP(MONTH(Raw_Data!B165)/3,0)</f>
        <v>Q2</v>
      </c>
      <c r="F165" t="str">
        <f>TEXT(Raw_Data!B165,"mmm")</f>
        <v>Apr</v>
      </c>
      <c r="G165" t="str">
        <f>TEXT(Raw_Data!B165,"ddd")</f>
        <v>Mon</v>
      </c>
      <c r="H165" t="str">
        <f>Raw_Data!D165</f>
        <v>Invoiced</v>
      </c>
      <c r="I165" t="str">
        <f>Raw_Data!F165</f>
        <v>Tele-in</v>
      </c>
      <c r="J165" t="str">
        <f>Raw_Data!G165</f>
        <v>Dealer Webpage Tele-In</v>
      </c>
      <c r="K165" t="str">
        <f>IFERROR(VLOOKUP(J165,Source_Assumptions!$A:$C,2,0),"Unmapped")</f>
        <v>Digital - Owned</v>
      </c>
      <c r="L165" t="str">
        <f>Raw_Data!H165</f>
        <v>5TH GEN CITY PE</v>
      </c>
      <c r="M165" t="str">
        <f>IFERROR(VLOOKUP(L165,Model_Assumptions!$A:$D,2,0),"Unmapped")</f>
        <v>Mid-size Sedan</v>
      </c>
      <c r="N165" t="str">
        <f>IFERROR(VLOOKUP(L165,Model_Assumptions!$A:$D,3,0),"Unmapped")</f>
        <v>Petrol</v>
      </c>
      <c r="O165">
        <f>IFERROR(VLOOKUP(L165,Model_Assumptions!$A:$D,4,0),0)</f>
        <v>1250000</v>
      </c>
      <c r="P165">
        <f>IFERROR(VLOOKUP(J165,Source_Assumptions!$A:$C,3,0),0)</f>
        <v>300</v>
      </c>
    </row>
    <row r="166" spans="1:16" x14ac:dyDescent="0.3">
      <c r="A166">
        <f>Raw_Data!A166</f>
        <v>165</v>
      </c>
      <c r="B166" s="2">
        <f>Raw_Data!B166</f>
        <v>44677.444675925901</v>
      </c>
      <c r="C166">
        <f>YEAR(Raw_Data!B166)</f>
        <v>2022</v>
      </c>
      <c r="D166" t="str">
        <f>IF(MONTH(Raw_Data!B166)&gt;=4,YEAR(Raw_Data!B166)&amp;"-"&amp;RIGHT(YEAR(Raw_Data!B166)+1,2),YEAR(Raw_Data!B166)-1&amp;"-"&amp;RIGHT(YEAR(Raw_Data!B166),2))</f>
        <v>2022-23</v>
      </c>
      <c r="E166" t="str">
        <f>"Q"&amp;ROUNDUP(MONTH(Raw_Data!B166)/3,0)</f>
        <v>Q2</v>
      </c>
      <c r="F166" t="str">
        <f>TEXT(Raw_Data!B166,"mmm")</f>
        <v>Apr</v>
      </c>
      <c r="G166" t="str">
        <f>TEXT(Raw_Data!B166,"ddd")</f>
        <v>Tue</v>
      </c>
      <c r="H166" t="str">
        <f>Raw_Data!D166</f>
        <v>Invoiced</v>
      </c>
      <c r="I166" t="str">
        <f>Raw_Data!F166</f>
        <v>Walk-in Showroom</v>
      </c>
      <c r="J166" t="str">
        <f>Raw_Data!G166</f>
        <v>Adver. (TVC/Print/Hoarding/FM)</v>
      </c>
      <c r="K166" t="str">
        <f>IFERROR(VLOOKUP(J166,Source_Assumptions!$A:$C,2,0),"Unmapped")</f>
        <v>Traditional Advertising</v>
      </c>
      <c r="L166" t="str">
        <f>Raw_Data!H166</f>
        <v>5TH GEN CITY PE</v>
      </c>
      <c r="M166" t="str">
        <f>IFERROR(VLOOKUP(L166,Model_Assumptions!$A:$D,2,0),"Unmapped")</f>
        <v>Mid-size Sedan</v>
      </c>
      <c r="N166" t="str">
        <f>IFERROR(VLOOKUP(L166,Model_Assumptions!$A:$D,3,0),"Unmapped")</f>
        <v>Petrol</v>
      </c>
      <c r="O166">
        <f>IFERROR(VLOOKUP(L166,Model_Assumptions!$A:$D,4,0),0)</f>
        <v>1250000</v>
      </c>
      <c r="P166">
        <f>IFERROR(VLOOKUP(J166,Source_Assumptions!$A:$C,3,0),0)</f>
        <v>1200</v>
      </c>
    </row>
    <row r="167" spans="1:16" x14ac:dyDescent="0.3">
      <c r="A167">
        <f>Raw_Data!A167</f>
        <v>166</v>
      </c>
      <c r="B167" s="2">
        <f>Raw_Data!B167</f>
        <v>44677.695937500001</v>
      </c>
      <c r="C167">
        <f>YEAR(Raw_Data!B167)</f>
        <v>2022</v>
      </c>
      <c r="D167" t="str">
        <f>IF(MONTH(Raw_Data!B167)&gt;=4,YEAR(Raw_Data!B167)&amp;"-"&amp;RIGHT(YEAR(Raw_Data!B167)+1,2),YEAR(Raw_Data!B167)-1&amp;"-"&amp;RIGHT(YEAR(Raw_Data!B167),2))</f>
        <v>2022-23</v>
      </c>
      <c r="E167" t="str">
        <f>"Q"&amp;ROUNDUP(MONTH(Raw_Data!B167)/3,0)</f>
        <v>Q2</v>
      </c>
      <c r="F167" t="str">
        <f>TEXT(Raw_Data!B167,"mmm")</f>
        <v>Apr</v>
      </c>
      <c r="G167" t="str">
        <f>TEXT(Raw_Data!B167,"ddd")</f>
        <v>Tue</v>
      </c>
      <c r="H167" t="str">
        <f>Raw_Data!D167</f>
        <v>Invoiced</v>
      </c>
      <c r="I167" t="str">
        <f>Raw_Data!F167</f>
        <v>Walk-in Showroom</v>
      </c>
      <c r="J167" t="str">
        <f>Raw_Data!G167</f>
        <v>Adver. (TVC/Print/Hoarding/FM)</v>
      </c>
      <c r="K167" t="str">
        <f>IFERROR(VLOOKUP(J167,Source_Assumptions!$A:$C,2,0),"Unmapped")</f>
        <v>Traditional Advertising</v>
      </c>
      <c r="L167" t="str">
        <f>Raw_Data!H167</f>
        <v>5TH GEN CITY PE</v>
      </c>
      <c r="M167" t="str">
        <f>IFERROR(VLOOKUP(L167,Model_Assumptions!$A:$D,2,0),"Unmapped")</f>
        <v>Mid-size Sedan</v>
      </c>
      <c r="N167" t="str">
        <f>IFERROR(VLOOKUP(L167,Model_Assumptions!$A:$D,3,0),"Unmapped")</f>
        <v>Petrol</v>
      </c>
      <c r="O167">
        <f>IFERROR(VLOOKUP(L167,Model_Assumptions!$A:$D,4,0),0)</f>
        <v>1250000</v>
      </c>
      <c r="P167">
        <f>IFERROR(VLOOKUP(J167,Source_Assumptions!$A:$C,3,0),0)</f>
        <v>1200</v>
      </c>
    </row>
    <row r="168" spans="1:16" x14ac:dyDescent="0.3">
      <c r="A168">
        <f>Raw_Data!A168</f>
        <v>167</v>
      </c>
      <c r="B168" s="2">
        <f>Raw_Data!B168</f>
        <v>44677.714953703697</v>
      </c>
      <c r="C168">
        <f>YEAR(Raw_Data!B168)</f>
        <v>2022</v>
      </c>
      <c r="D168" t="str">
        <f>IF(MONTH(Raw_Data!B168)&gt;=4,YEAR(Raw_Data!B168)&amp;"-"&amp;RIGHT(YEAR(Raw_Data!B168)+1,2),YEAR(Raw_Data!B168)-1&amp;"-"&amp;RIGHT(YEAR(Raw_Data!B168),2))</f>
        <v>2022-23</v>
      </c>
      <c r="E168" t="str">
        <f>"Q"&amp;ROUNDUP(MONTH(Raw_Data!B168)/3,0)</f>
        <v>Q2</v>
      </c>
      <c r="F168" t="str">
        <f>TEXT(Raw_Data!B168,"mmm")</f>
        <v>Apr</v>
      </c>
      <c r="G168" t="str">
        <f>TEXT(Raw_Data!B168,"ddd")</f>
        <v>Tue</v>
      </c>
      <c r="H168" t="str">
        <f>Raw_Data!D168</f>
        <v>Invoiced</v>
      </c>
      <c r="I168" t="str">
        <f>Raw_Data!F168</f>
        <v>Web Lead</v>
      </c>
      <c r="J168" t="str">
        <f>Raw_Data!G168</f>
        <v>Web_CarDekho</v>
      </c>
      <c r="K168" t="str">
        <f>IFERROR(VLOOKUP(J168,Source_Assumptions!$A:$C,2,0),"Unmapped")</f>
        <v>Digital - Aggregator (Paid)</v>
      </c>
      <c r="L168" t="str">
        <f>Raw_Data!H168</f>
        <v>5TH GEN CITY PE</v>
      </c>
      <c r="M168" t="str">
        <f>IFERROR(VLOOKUP(L168,Model_Assumptions!$A:$D,2,0),"Unmapped")</f>
        <v>Mid-size Sedan</v>
      </c>
      <c r="N168" t="str">
        <f>IFERROR(VLOOKUP(L168,Model_Assumptions!$A:$D,3,0),"Unmapped")</f>
        <v>Petrol</v>
      </c>
      <c r="O168">
        <f>IFERROR(VLOOKUP(L168,Model_Assumptions!$A:$D,4,0),0)</f>
        <v>1250000</v>
      </c>
      <c r="P168">
        <f>IFERROR(VLOOKUP(J168,Source_Assumptions!$A:$C,3,0),0)</f>
        <v>900</v>
      </c>
    </row>
    <row r="169" spans="1:16" x14ac:dyDescent="0.3">
      <c r="A169">
        <f>Raw_Data!A169</f>
        <v>168</v>
      </c>
      <c r="B169" s="2">
        <f>Raw_Data!B169</f>
        <v>44678.500439814801</v>
      </c>
      <c r="C169">
        <f>YEAR(Raw_Data!B169)</f>
        <v>2022</v>
      </c>
      <c r="D169" t="str">
        <f>IF(MONTH(Raw_Data!B169)&gt;=4,YEAR(Raw_Data!B169)&amp;"-"&amp;RIGHT(YEAR(Raw_Data!B169)+1,2),YEAR(Raw_Data!B169)-1&amp;"-"&amp;RIGHT(YEAR(Raw_Data!B169),2))</f>
        <v>2022-23</v>
      </c>
      <c r="E169" t="str">
        <f>"Q"&amp;ROUNDUP(MONTH(Raw_Data!B169)/3,0)</f>
        <v>Q2</v>
      </c>
      <c r="F169" t="str">
        <f>TEXT(Raw_Data!B169,"mmm")</f>
        <v>Apr</v>
      </c>
      <c r="G169" t="str">
        <f>TEXT(Raw_Data!B169,"ddd")</f>
        <v>Wed</v>
      </c>
      <c r="H169" t="str">
        <f>Raw_Data!D169</f>
        <v>Invoiced</v>
      </c>
      <c r="I169" t="str">
        <f>Raw_Data!F169</f>
        <v>Tele-in</v>
      </c>
      <c r="J169" t="str">
        <f>Raw_Data!G169</f>
        <v>Referral-CAM</v>
      </c>
      <c r="K169" t="str">
        <f>IFERROR(VLOOKUP(J169,Source_Assumptions!$A:$C,2,0),"Unmapped")</f>
        <v>Referral</v>
      </c>
      <c r="L169" t="str">
        <f>Raw_Data!H169</f>
        <v>5TH GEN CITY PE</v>
      </c>
      <c r="M169" t="str">
        <f>IFERROR(VLOOKUP(L169,Model_Assumptions!$A:$D,2,0),"Unmapped")</f>
        <v>Mid-size Sedan</v>
      </c>
      <c r="N169" t="str">
        <f>IFERROR(VLOOKUP(L169,Model_Assumptions!$A:$D,3,0),"Unmapped")</f>
        <v>Petrol</v>
      </c>
      <c r="O169">
        <f>IFERROR(VLOOKUP(L169,Model_Assumptions!$A:$D,4,0),0)</f>
        <v>1250000</v>
      </c>
      <c r="P169">
        <f>IFERROR(VLOOKUP(J169,Source_Assumptions!$A:$C,3,0),0)</f>
        <v>150</v>
      </c>
    </row>
    <row r="170" spans="1:16" x14ac:dyDescent="0.3">
      <c r="A170">
        <f>Raw_Data!A170</f>
        <v>169</v>
      </c>
      <c r="B170" s="2">
        <f>Raw_Data!B170</f>
        <v>44678.6184027778</v>
      </c>
      <c r="C170">
        <f>YEAR(Raw_Data!B170)</f>
        <v>2022</v>
      </c>
      <c r="D170" t="str">
        <f>IF(MONTH(Raw_Data!B170)&gt;=4,YEAR(Raw_Data!B170)&amp;"-"&amp;RIGHT(YEAR(Raw_Data!B170)+1,2),YEAR(Raw_Data!B170)-1&amp;"-"&amp;RIGHT(YEAR(Raw_Data!B170),2))</f>
        <v>2022-23</v>
      </c>
      <c r="E170" t="str">
        <f>"Q"&amp;ROUNDUP(MONTH(Raw_Data!B170)/3,0)</f>
        <v>Q2</v>
      </c>
      <c r="F170" t="str">
        <f>TEXT(Raw_Data!B170,"mmm")</f>
        <v>Apr</v>
      </c>
      <c r="G170" t="str">
        <f>TEXT(Raw_Data!B170,"ddd")</f>
        <v>Wed</v>
      </c>
      <c r="H170" t="str">
        <f>Raw_Data!D170</f>
        <v>Invoiced</v>
      </c>
      <c r="I170" t="str">
        <f>Raw_Data!F170</f>
        <v>SMS/ Tele-Out</v>
      </c>
      <c r="J170" t="str">
        <f>Raw_Data!G170</f>
        <v>Database Activity(Teleout/SMS)</v>
      </c>
      <c r="K170" t="str">
        <f>IFERROR(VLOOKUP(J170,Source_Assumptions!$A:$C,2,0),"Unmapped")</f>
        <v>Outbound/Database</v>
      </c>
      <c r="L170" t="str">
        <f>Raw_Data!H170</f>
        <v>5TH GEN CITY PE</v>
      </c>
      <c r="M170" t="str">
        <f>IFERROR(VLOOKUP(L170,Model_Assumptions!$A:$D,2,0),"Unmapped")</f>
        <v>Mid-size Sedan</v>
      </c>
      <c r="N170" t="str">
        <f>IFERROR(VLOOKUP(L170,Model_Assumptions!$A:$D,3,0),"Unmapped")</f>
        <v>Petrol</v>
      </c>
      <c r="O170">
        <f>IFERROR(VLOOKUP(L170,Model_Assumptions!$A:$D,4,0),0)</f>
        <v>1250000</v>
      </c>
      <c r="P170">
        <f>IFERROR(VLOOKUP(J170,Source_Assumptions!$A:$C,3,0),0)</f>
        <v>250</v>
      </c>
    </row>
    <row r="171" spans="1:16" x14ac:dyDescent="0.3">
      <c r="A171">
        <f>Raw_Data!A171</f>
        <v>170</v>
      </c>
      <c r="B171" s="2">
        <f>Raw_Data!B171</f>
        <v>44678.725694444503</v>
      </c>
      <c r="C171">
        <f>YEAR(Raw_Data!B171)</f>
        <v>2022</v>
      </c>
      <c r="D171" t="str">
        <f>IF(MONTH(Raw_Data!B171)&gt;=4,YEAR(Raw_Data!B171)&amp;"-"&amp;RIGHT(YEAR(Raw_Data!B171)+1,2),YEAR(Raw_Data!B171)-1&amp;"-"&amp;RIGHT(YEAR(Raw_Data!B171),2))</f>
        <v>2022-23</v>
      </c>
      <c r="E171" t="str">
        <f>"Q"&amp;ROUNDUP(MONTH(Raw_Data!B171)/3,0)</f>
        <v>Q2</v>
      </c>
      <c r="F171" t="str">
        <f>TEXT(Raw_Data!B171,"mmm")</f>
        <v>Apr</v>
      </c>
      <c r="G171" t="str">
        <f>TEXT(Raw_Data!B171,"ddd")</f>
        <v>Wed</v>
      </c>
      <c r="H171" t="str">
        <f>Raw_Data!D171</f>
        <v>Invoiced</v>
      </c>
      <c r="I171" t="str">
        <f>Raw_Data!F171</f>
        <v>SMS/ Tele-Out</v>
      </c>
      <c r="J171" t="str">
        <f>Raw_Data!G171</f>
        <v>Database Activity(Teleout/SMS)</v>
      </c>
      <c r="K171" t="str">
        <f>IFERROR(VLOOKUP(J171,Source_Assumptions!$A:$C,2,0),"Unmapped")</f>
        <v>Outbound/Database</v>
      </c>
      <c r="L171" t="str">
        <f>Raw_Data!H171</f>
        <v>AMAZE Petrol</v>
      </c>
      <c r="M171" t="str">
        <f>IFERROR(VLOOKUP(L171,Model_Assumptions!$A:$D,2,0),"Unmapped")</f>
        <v>Sub-4m Sedan</v>
      </c>
      <c r="N171" t="str">
        <f>IFERROR(VLOOKUP(L171,Model_Assumptions!$A:$D,3,0),"Unmapped")</f>
        <v>Petrol</v>
      </c>
      <c r="O171">
        <f>IFERROR(VLOOKUP(L171,Model_Assumptions!$A:$D,4,0),0)</f>
        <v>850000</v>
      </c>
      <c r="P171">
        <f>IFERROR(VLOOKUP(J171,Source_Assumptions!$A:$C,3,0),0)</f>
        <v>250</v>
      </c>
    </row>
    <row r="172" spans="1:16" x14ac:dyDescent="0.3">
      <c r="A172">
        <f>Raw_Data!A172</f>
        <v>171</v>
      </c>
      <c r="B172" s="2">
        <f>Raw_Data!B172</f>
        <v>44679.636562500003</v>
      </c>
      <c r="C172">
        <f>YEAR(Raw_Data!B172)</f>
        <v>2022</v>
      </c>
      <c r="D172" t="str">
        <f>IF(MONTH(Raw_Data!B172)&gt;=4,YEAR(Raw_Data!B172)&amp;"-"&amp;RIGHT(YEAR(Raw_Data!B172)+1,2),YEAR(Raw_Data!B172)-1&amp;"-"&amp;RIGHT(YEAR(Raw_Data!B172),2))</f>
        <v>2022-23</v>
      </c>
      <c r="E172" t="str">
        <f>"Q"&amp;ROUNDUP(MONTH(Raw_Data!B172)/3,0)</f>
        <v>Q2</v>
      </c>
      <c r="F172" t="str">
        <f>TEXT(Raw_Data!B172,"mmm")</f>
        <v>Apr</v>
      </c>
      <c r="G172" t="str">
        <f>TEXT(Raw_Data!B172,"ddd")</f>
        <v>Thu</v>
      </c>
      <c r="H172" t="str">
        <f>Raw_Data!D172</f>
        <v>Invoiced</v>
      </c>
      <c r="I172" t="str">
        <f>Raw_Data!F172</f>
        <v>Tele-in</v>
      </c>
      <c r="J172" t="str">
        <f>Raw_Data!G172</f>
        <v>Referral-CAM</v>
      </c>
      <c r="K172" t="str">
        <f>IFERROR(VLOOKUP(J172,Source_Assumptions!$A:$C,2,0),"Unmapped")</f>
        <v>Referral</v>
      </c>
      <c r="L172" t="str">
        <f>Raw_Data!H172</f>
        <v>5TH GEN CITY PE</v>
      </c>
      <c r="M172" t="str">
        <f>IFERROR(VLOOKUP(L172,Model_Assumptions!$A:$D,2,0),"Unmapped")</f>
        <v>Mid-size Sedan</v>
      </c>
      <c r="N172" t="str">
        <f>IFERROR(VLOOKUP(L172,Model_Assumptions!$A:$D,3,0),"Unmapped")</f>
        <v>Petrol</v>
      </c>
      <c r="O172">
        <f>IFERROR(VLOOKUP(L172,Model_Assumptions!$A:$D,4,0),0)</f>
        <v>1250000</v>
      </c>
      <c r="P172">
        <f>IFERROR(VLOOKUP(J172,Source_Assumptions!$A:$C,3,0),0)</f>
        <v>150</v>
      </c>
    </row>
    <row r="173" spans="1:16" x14ac:dyDescent="0.3">
      <c r="A173">
        <f>Raw_Data!A173</f>
        <v>172</v>
      </c>
      <c r="B173" s="2">
        <f>Raw_Data!B173</f>
        <v>44679.686504629601</v>
      </c>
      <c r="C173">
        <f>YEAR(Raw_Data!B173)</f>
        <v>2022</v>
      </c>
      <c r="D173" t="str">
        <f>IF(MONTH(Raw_Data!B173)&gt;=4,YEAR(Raw_Data!B173)&amp;"-"&amp;RIGHT(YEAR(Raw_Data!B173)+1,2),YEAR(Raw_Data!B173)-1&amp;"-"&amp;RIGHT(YEAR(Raw_Data!B173),2))</f>
        <v>2022-23</v>
      </c>
      <c r="E173" t="str">
        <f>"Q"&amp;ROUNDUP(MONTH(Raw_Data!B173)/3,0)</f>
        <v>Q2</v>
      </c>
      <c r="F173" t="str">
        <f>TEXT(Raw_Data!B173,"mmm")</f>
        <v>Apr</v>
      </c>
      <c r="G173" t="str">
        <f>TEXT(Raw_Data!B173,"ddd")</f>
        <v>Thu</v>
      </c>
      <c r="H173" t="str">
        <f>Raw_Data!D173</f>
        <v>Invoiced</v>
      </c>
      <c r="I173" t="str">
        <f>Raw_Data!F173</f>
        <v>SMS/ Tele-Out</v>
      </c>
      <c r="J173" t="str">
        <f>Raw_Data!G173</f>
        <v>Database Activity(Teleout/SMS)</v>
      </c>
      <c r="K173" t="str">
        <f>IFERROR(VLOOKUP(J173,Source_Assumptions!$A:$C,2,0),"Unmapped")</f>
        <v>Outbound/Database</v>
      </c>
      <c r="L173" t="str">
        <f>Raw_Data!H173</f>
        <v>AMAZE Petrol</v>
      </c>
      <c r="M173" t="str">
        <f>IFERROR(VLOOKUP(L173,Model_Assumptions!$A:$D,2,0),"Unmapped")</f>
        <v>Sub-4m Sedan</v>
      </c>
      <c r="N173" t="str">
        <f>IFERROR(VLOOKUP(L173,Model_Assumptions!$A:$D,3,0),"Unmapped")</f>
        <v>Petrol</v>
      </c>
      <c r="O173">
        <f>IFERROR(VLOOKUP(L173,Model_Assumptions!$A:$D,4,0),0)</f>
        <v>850000</v>
      </c>
      <c r="P173">
        <f>IFERROR(VLOOKUP(J173,Source_Assumptions!$A:$C,3,0),0)</f>
        <v>250</v>
      </c>
    </row>
    <row r="174" spans="1:16" x14ac:dyDescent="0.3">
      <c r="A174">
        <f>Raw_Data!A174</f>
        <v>173</v>
      </c>
      <c r="B174" s="2">
        <f>Raw_Data!B174</f>
        <v>44679.714733796303</v>
      </c>
      <c r="C174">
        <f>YEAR(Raw_Data!B174)</f>
        <v>2022</v>
      </c>
      <c r="D174" t="str">
        <f>IF(MONTH(Raw_Data!B174)&gt;=4,YEAR(Raw_Data!B174)&amp;"-"&amp;RIGHT(YEAR(Raw_Data!B174)+1,2),YEAR(Raw_Data!B174)-1&amp;"-"&amp;RIGHT(YEAR(Raw_Data!B174),2))</f>
        <v>2022-23</v>
      </c>
      <c r="E174" t="str">
        <f>"Q"&amp;ROUNDUP(MONTH(Raw_Data!B174)/3,0)</f>
        <v>Q2</v>
      </c>
      <c r="F174" t="str">
        <f>TEXT(Raw_Data!B174,"mmm")</f>
        <v>Apr</v>
      </c>
      <c r="G174" t="str">
        <f>TEXT(Raw_Data!B174,"ddd")</f>
        <v>Thu</v>
      </c>
      <c r="H174" t="str">
        <f>Raw_Data!D174</f>
        <v>Invoiced</v>
      </c>
      <c r="I174" t="str">
        <f>Raw_Data!F174</f>
        <v>SMS/ Tele-Out</v>
      </c>
      <c r="J174" t="str">
        <f>Raw_Data!G174</f>
        <v>Database Activity(Teleout/SMS)</v>
      </c>
      <c r="K174" t="str">
        <f>IFERROR(VLOOKUP(J174,Source_Assumptions!$A:$C,2,0),"Unmapped")</f>
        <v>Outbound/Database</v>
      </c>
      <c r="L174" t="str">
        <f>Raw_Data!H174</f>
        <v>5TH GEN CITY PE</v>
      </c>
      <c r="M174" t="str">
        <f>IFERROR(VLOOKUP(L174,Model_Assumptions!$A:$D,2,0),"Unmapped")</f>
        <v>Mid-size Sedan</v>
      </c>
      <c r="N174" t="str">
        <f>IFERROR(VLOOKUP(L174,Model_Assumptions!$A:$D,3,0),"Unmapped")</f>
        <v>Petrol</v>
      </c>
      <c r="O174">
        <f>IFERROR(VLOOKUP(L174,Model_Assumptions!$A:$D,4,0),0)</f>
        <v>1250000</v>
      </c>
      <c r="P174">
        <f>IFERROR(VLOOKUP(J174,Source_Assumptions!$A:$C,3,0),0)</f>
        <v>250</v>
      </c>
    </row>
    <row r="175" spans="1:16" x14ac:dyDescent="0.3">
      <c r="A175">
        <f>Raw_Data!A175</f>
        <v>174</v>
      </c>
      <c r="B175" s="2">
        <f>Raw_Data!B175</f>
        <v>44679.746342592603</v>
      </c>
      <c r="C175">
        <f>YEAR(Raw_Data!B175)</f>
        <v>2022</v>
      </c>
      <c r="D175" t="str">
        <f>IF(MONTH(Raw_Data!B175)&gt;=4,YEAR(Raw_Data!B175)&amp;"-"&amp;RIGHT(YEAR(Raw_Data!B175)+1,2),YEAR(Raw_Data!B175)-1&amp;"-"&amp;RIGHT(YEAR(Raw_Data!B175),2))</f>
        <v>2022-23</v>
      </c>
      <c r="E175" t="str">
        <f>"Q"&amp;ROUNDUP(MONTH(Raw_Data!B175)/3,0)</f>
        <v>Q2</v>
      </c>
      <c r="F175" t="str">
        <f>TEXT(Raw_Data!B175,"mmm")</f>
        <v>Apr</v>
      </c>
      <c r="G175" t="str">
        <f>TEXT(Raw_Data!B175,"ddd")</f>
        <v>Thu</v>
      </c>
      <c r="H175" t="str">
        <f>Raw_Data!D175</f>
        <v>Invoiced</v>
      </c>
      <c r="I175" t="str">
        <f>Raw_Data!F175</f>
        <v>Tele-in</v>
      </c>
      <c r="J175" t="str">
        <f>Raw_Data!G175</f>
        <v>Dealer Webpage Tele-In</v>
      </c>
      <c r="K175" t="str">
        <f>IFERROR(VLOOKUP(J175,Source_Assumptions!$A:$C,2,0),"Unmapped")</f>
        <v>Digital - Owned</v>
      </c>
      <c r="L175" t="str">
        <f>Raw_Data!H175</f>
        <v>AMAZE Petrol</v>
      </c>
      <c r="M175" t="str">
        <f>IFERROR(VLOOKUP(L175,Model_Assumptions!$A:$D,2,0),"Unmapped")</f>
        <v>Sub-4m Sedan</v>
      </c>
      <c r="N175" t="str">
        <f>IFERROR(VLOOKUP(L175,Model_Assumptions!$A:$D,3,0),"Unmapped")</f>
        <v>Petrol</v>
      </c>
      <c r="O175">
        <f>IFERROR(VLOOKUP(L175,Model_Assumptions!$A:$D,4,0),0)</f>
        <v>850000</v>
      </c>
      <c r="P175">
        <f>IFERROR(VLOOKUP(J175,Source_Assumptions!$A:$C,3,0),0)</f>
        <v>300</v>
      </c>
    </row>
    <row r="176" spans="1:16" x14ac:dyDescent="0.3">
      <c r="A176">
        <f>Raw_Data!A176</f>
        <v>175</v>
      </c>
      <c r="B176" s="2">
        <f>Raw_Data!B176</f>
        <v>44680.405902777798</v>
      </c>
      <c r="C176">
        <f>YEAR(Raw_Data!B176)</f>
        <v>2022</v>
      </c>
      <c r="D176" t="str">
        <f>IF(MONTH(Raw_Data!B176)&gt;=4,YEAR(Raw_Data!B176)&amp;"-"&amp;RIGHT(YEAR(Raw_Data!B176)+1,2),YEAR(Raw_Data!B176)-1&amp;"-"&amp;RIGHT(YEAR(Raw_Data!B176),2))</f>
        <v>2022-23</v>
      </c>
      <c r="E176" t="str">
        <f>"Q"&amp;ROUNDUP(MONTH(Raw_Data!B176)/3,0)</f>
        <v>Q2</v>
      </c>
      <c r="F176" t="str">
        <f>TEXT(Raw_Data!B176,"mmm")</f>
        <v>Apr</v>
      </c>
      <c r="G176" t="str">
        <f>TEXT(Raw_Data!B176,"ddd")</f>
        <v>Fri</v>
      </c>
      <c r="H176" t="str">
        <f>Raw_Data!D176</f>
        <v>Invoiced</v>
      </c>
      <c r="I176" t="str">
        <f>Raw_Data!F176</f>
        <v>Tele-in</v>
      </c>
      <c r="J176" t="str">
        <f>Raw_Data!G176</f>
        <v>Referral (HC/HBLP)</v>
      </c>
      <c r="K176" t="str">
        <f>IFERROR(VLOOKUP(J176,Source_Assumptions!$A:$C,2,0),"Unmapped")</f>
        <v>Referral (Happy Customer)</v>
      </c>
      <c r="L176" t="str">
        <f>Raw_Data!H176</f>
        <v>AMAZE Petrol</v>
      </c>
      <c r="M176" t="str">
        <f>IFERROR(VLOOKUP(L176,Model_Assumptions!$A:$D,2,0),"Unmapped")</f>
        <v>Sub-4m Sedan</v>
      </c>
      <c r="N176" t="str">
        <f>IFERROR(VLOOKUP(L176,Model_Assumptions!$A:$D,3,0),"Unmapped")</f>
        <v>Petrol</v>
      </c>
      <c r="O176">
        <f>IFERROR(VLOOKUP(L176,Model_Assumptions!$A:$D,4,0),0)</f>
        <v>850000</v>
      </c>
      <c r="P176">
        <f>IFERROR(VLOOKUP(J176,Source_Assumptions!$A:$C,3,0),0)</f>
        <v>100</v>
      </c>
    </row>
    <row r="177" spans="1:16" x14ac:dyDescent="0.3">
      <c r="A177">
        <f>Raw_Data!A177</f>
        <v>176</v>
      </c>
      <c r="B177" s="2">
        <f>Raw_Data!B177</f>
        <v>44680.463518518503</v>
      </c>
      <c r="C177">
        <f>YEAR(Raw_Data!B177)</f>
        <v>2022</v>
      </c>
      <c r="D177" t="str">
        <f>IF(MONTH(Raw_Data!B177)&gt;=4,YEAR(Raw_Data!B177)&amp;"-"&amp;RIGHT(YEAR(Raw_Data!B177)+1,2),YEAR(Raw_Data!B177)-1&amp;"-"&amp;RIGHT(YEAR(Raw_Data!B177),2))</f>
        <v>2022-23</v>
      </c>
      <c r="E177" t="str">
        <f>"Q"&amp;ROUNDUP(MONTH(Raw_Data!B177)/3,0)</f>
        <v>Q2</v>
      </c>
      <c r="F177" t="str">
        <f>TEXT(Raw_Data!B177,"mmm")</f>
        <v>Apr</v>
      </c>
      <c r="G177" t="str">
        <f>TEXT(Raw_Data!B177,"ddd")</f>
        <v>Fri</v>
      </c>
      <c r="H177" t="str">
        <f>Raw_Data!D177</f>
        <v>Invoiced</v>
      </c>
      <c r="I177" t="str">
        <f>Raw_Data!F177</f>
        <v>Web Lead</v>
      </c>
      <c r="J177" t="str">
        <f>Raw_Data!G177</f>
        <v>Web</v>
      </c>
      <c r="K177" t="str">
        <f>IFERROR(VLOOKUP(J177,Source_Assumptions!$A:$C,2,0),"Unmapped")</f>
        <v>Digital - Owned</v>
      </c>
      <c r="L177" t="str">
        <f>Raw_Data!H177</f>
        <v>AMAZE Petrol</v>
      </c>
      <c r="M177" t="str">
        <f>IFERROR(VLOOKUP(L177,Model_Assumptions!$A:$D,2,0),"Unmapped")</f>
        <v>Sub-4m Sedan</v>
      </c>
      <c r="N177" t="str">
        <f>IFERROR(VLOOKUP(L177,Model_Assumptions!$A:$D,3,0),"Unmapped")</f>
        <v>Petrol</v>
      </c>
      <c r="O177">
        <f>IFERROR(VLOOKUP(L177,Model_Assumptions!$A:$D,4,0),0)</f>
        <v>850000</v>
      </c>
      <c r="P177">
        <f>IFERROR(VLOOKUP(J177,Source_Assumptions!$A:$C,3,0),0)</f>
        <v>300</v>
      </c>
    </row>
    <row r="178" spans="1:16" x14ac:dyDescent="0.3">
      <c r="A178">
        <f>Raw_Data!A178</f>
        <v>177</v>
      </c>
      <c r="B178" s="2">
        <f>Raw_Data!B178</f>
        <v>44680.4871643519</v>
      </c>
      <c r="C178">
        <f>YEAR(Raw_Data!B178)</f>
        <v>2022</v>
      </c>
      <c r="D178" t="str">
        <f>IF(MONTH(Raw_Data!B178)&gt;=4,YEAR(Raw_Data!B178)&amp;"-"&amp;RIGHT(YEAR(Raw_Data!B178)+1,2),YEAR(Raw_Data!B178)-1&amp;"-"&amp;RIGHT(YEAR(Raw_Data!B178),2))</f>
        <v>2022-23</v>
      </c>
      <c r="E178" t="str">
        <f>"Q"&amp;ROUNDUP(MONTH(Raw_Data!B178)/3,0)</f>
        <v>Q2</v>
      </c>
      <c r="F178" t="str">
        <f>TEXT(Raw_Data!B178,"mmm")</f>
        <v>Apr</v>
      </c>
      <c r="G178" t="str">
        <f>TEXT(Raw_Data!B178,"ddd")</f>
        <v>Fri</v>
      </c>
      <c r="H178" t="str">
        <f>Raw_Data!D178</f>
        <v>Invoiced</v>
      </c>
      <c r="I178" t="str">
        <f>Raw_Data!F178</f>
        <v>Tele-in</v>
      </c>
      <c r="J178" t="str">
        <f>Raw_Data!G178</f>
        <v>Web</v>
      </c>
      <c r="K178" t="str">
        <f>IFERROR(VLOOKUP(J178,Source_Assumptions!$A:$C,2,0),"Unmapped")</f>
        <v>Digital - Owned</v>
      </c>
      <c r="L178" t="str">
        <f>Raw_Data!H178</f>
        <v>AMAZE Petrol</v>
      </c>
      <c r="M178" t="str">
        <f>IFERROR(VLOOKUP(L178,Model_Assumptions!$A:$D,2,0),"Unmapped")</f>
        <v>Sub-4m Sedan</v>
      </c>
      <c r="N178" t="str">
        <f>IFERROR(VLOOKUP(L178,Model_Assumptions!$A:$D,3,0),"Unmapped")</f>
        <v>Petrol</v>
      </c>
      <c r="O178">
        <f>IFERROR(VLOOKUP(L178,Model_Assumptions!$A:$D,4,0),0)</f>
        <v>850000</v>
      </c>
      <c r="P178">
        <f>IFERROR(VLOOKUP(J178,Source_Assumptions!$A:$C,3,0),0)</f>
        <v>300</v>
      </c>
    </row>
    <row r="179" spans="1:16" x14ac:dyDescent="0.3">
      <c r="A179">
        <f>Raw_Data!A179</f>
        <v>178</v>
      </c>
      <c r="B179" s="2">
        <f>Raw_Data!B179</f>
        <v>44680.6816203704</v>
      </c>
      <c r="C179">
        <f>YEAR(Raw_Data!B179)</f>
        <v>2022</v>
      </c>
      <c r="D179" t="str">
        <f>IF(MONTH(Raw_Data!B179)&gt;=4,YEAR(Raw_Data!B179)&amp;"-"&amp;RIGHT(YEAR(Raw_Data!B179)+1,2),YEAR(Raw_Data!B179)-1&amp;"-"&amp;RIGHT(YEAR(Raw_Data!B179),2))</f>
        <v>2022-23</v>
      </c>
      <c r="E179" t="str">
        <f>"Q"&amp;ROUNDUP(MONTH(Raw_Data!B179)/3,0)</f>
        <v>Q2</v>
      </c>
      <c r="F179" t="str">
        <f>TEXT(Raw_Data!B179,"mmm")</f>
        <v>Apr</v>
      </c>
      <c r="G179" t="str">
        <f>TEXT(Raw_Data!B179,"ddd")</f>
        <v>Fri</v>
      </c>
      <c r="H179" t="str">
        <f>Raw_Data!D179</f>
        <v>Invoiced</v>
      </c>
      <c r="I179" t="str">
        <f>Raw_Data!F179</f>
        <v>Walk-in Showroom</v>
      </c>
      <c r="J179" t="str">
        <f>Raw_Data!G179</f>
        <v>Adver. (TVC/Print/Hoarding/FM)</v>
      </c>
      <c r="K179" t="str">
        <f>IFERROR(VLOOKUP(J179,Source_Assumptions!$A:$C,2,0),"Unmapped")</f>
        <v>Traditional Advertising</v>
      </c>
      <c r="L179" t="str">
        <f>Raw_Data!H179</f>
        <v>JAZZ PE</v>
      </c>
      <c r="M179" t="str">
        <f>IFERROR(VLOOKUP(L179,Model_Assumptions!$A:$D,2,0),"Unmapped")</f>
        <v>Hatchback</v>
      </c>
      <c r="N179" t="str">
        <f>IFERROR(VLOOKUP(L179,Model_Assumptions!$A:$D,3,0),"Unmapped")</f>
        <v>Petrol</v>
      </c>
      <c r="O179">
        <f>IFERROR(VLOOKUP(L179,Model_Assumptions!$A:$D,4,0),0)</f>
        <v>800000</v>
      </c>
      <c r="P179">
        <f>IFERROR(VLOOKUP(J179,Source_Assumptions!$A:$C,3,0),0)</f>
        <v>1200</v>
      </c>
    </row>
    <row r="180" spans="1:16" x14ac:dyDescent="0.3">
      <c r="A180">
        <f>Raw_Data!A180</f>
        <v>179</v>
      </c>
      <c r="B180" s="2">
        <f>Raw_Data!B180</f>
        <v>44681.705729166701</v>
      </c>
      <c r="C180">
        <f>YEAR(Raw_Data!B180)</f>
        <v>2022</v>
      </c>
      <c r="D180" t="str">
        <f>IF(MONTH(Raw_Data!B180)&gt;=4,YEAR(Raw_Data!B180)&amp;"-"&amp;RIGHT(YEAR(Raw_Data!B180)+1,2),YEAR(Raw_Data!B180)-1&amp;"-"&amp;RIGHT(YEAR(Raw_Data!B180),2))</f>
        <v>2022-23</v>
      </c>
      <c r="E180" t="str">
        <f>"Q"&amp;ROUNDUP(MONTH(Raw_Data!B180)/3,0)</f>
        <v>Q2</v>
      </c>
      <c r="F180" t="str">
        <f>TEXT(Raw_Data!B180,"mmm")</f>
        <v>Apr</v>
      </c>
      <c r="G180" t="str">
        <f>TEXT(Raw_Data!B180,"ddd")</f>
        <v>Sat</v>
      </c>
      <c r="H180" t="str">
        <f>Raw_Data!D180</f>
        <v>Invoiced</v>
      </c>
      <c r="I180" t="str">
        <f>Raw_Data!F180</f>
        <v>SMS/ Tele-Out</v>
      </c>
      <c r="J180" t="str">
        <f>Raw_Data!G180</f>
        <v>Database Activity(Teleout/SMS)</v>
      </c>
      <c r="K180" t="str">
        <f>IFERROR(VLOOKUP(J180,Source_Assumptions!$A:$C,2,0),"Unmapped")</f>
        <v>Outbound/Database</v>
      </c>
      <c r="L180" t="str">
        <f>Raw_Data!H180</f>
        <v>JAZZ PE</v>
      </c>
      <c r="M180" t="str">
        <f>IFERROR(VLOOKUP(L180,Model_Assumptions!$A:$D,2,0),"Unmapped")</f>
        <v>Hatchback</v>
      </c>
      <c r="N180" t="str">
        <f>IFERROR(VLOOKUP(L180,Model_Assumptions!$A:$D,3,0),"Unmapped")</f>
        <v>Petrol</v>
      </c>
      <c r="O180">
        <f>IFERROR(VLOOKUP(L180,Model_Assumptions!$A:$D,4,0),0)</f>
        <v>800000</v>
      </c>
      <c r="P180">
        <f>IFERROR(VLOOKUP(J180,Source_Assumptions!$A:$C,3,0),0)</f>
        <v>250</v>
      </c>
    </row>
    <row r="181" spans="1:16" x14ac:dyDescent="0.3">
      <c r="A181">
        <f>Raw_Data!A181</f>
        <v>180</v>
      </c>
      <c r="B181" s="2">
        <f>Raw_Data!B181</f>
        <v>44686.620925925898</v>
      </c>
      <c r="C181">
        <f>YEAR(Raw_Data!B181)</f>
        <v>2022</v>
      </c>
      <c r="D181" t="str">
        <f>IF(MONTH(Raw_Data!B181)&gt;=4,YEAR(Raw_Data!B181)&amp;"-"&amp;RIGHT(YEAR(Raw_Data!B181)+1,2),YEAR(Raw_Data!B181)-1&amp;"-"&amp;RIGHT(YEAR(Raw_Data!B181),2))</f>
        <v>2022-23</v>
      </c>
      <c r="E181" t="str">
        <f>"Q"&amp;ROUNDUP(MONTH(Raw_Data!B181)/3,0)</f>
        <v>Q2</v>
      </c>
      <c r="F181" t="str">
        <f>TEXT(Raw_Data!B181,"mmm")</f>
        <v>May</v>
      </c>
      <c r="G181" t="str">
        <f>TEXT(Raw_Data!B181,"ddd")</f>
        <v>Thu</v>
      </c>
      <c r="H181" t="str">
        <f>Raw_Data!D181</f>
        <v>Invoiced</v>
      </c>
      <c r="I181" t="str">
        <f>Raw_Data!F181</f>
        <v>Walk-in Showroom</v>
      </c>
      <c r="J181" t="str">
        <f>Raw_Data!G181</f>
        <v>Adver. (TVC/Print/Hoarding/FM)</v>
      </c>
      <c r="K181" t="str">
        <f>IFERROR(VLOOKUP(J181,Source_Assumptions!$A:$C,2,0),"Unmapped")</f>
        <v>Traditional Advertising</v>
      </c>
      <c r="L181" t="str">
        <f>Raw_Data!H181</f>
        <v>AMAZE Petrol</v>
      </c>
      <c r="M181" t="str">
        <f>IFERROR(VLOOKUP(L181,Model_Assumptions!$A:$D,2,0),"Unmapped")</f>
        <v>Sub-4m Sedan</v>
      </c>
      <c r="N181" t="str">
        <f>IFERROR(VLOOKUP(L181,Model_Assumptions!$A:$D,3,0),"Unmapped")</f>
        <v>Petrol</v>
      </c>
      <c r="O181">
        <f>IFERROR(VLOOKUP(L181,Model_Assumptions!$A:$D,4,0),0)</f>
        <v>850000</v>
      </c>
      <c r="P181">
        <f>IFERROR(VLOOKUP(J181,Source_Assumptions!$A:$C,3,0),0)</f>
        <v>1200</v>
      </c>
    </row>
    <row r="182" spans="1:16" x14ac:dyDescent="0.3">
      <c r="A182">
        <f>Raw_Data!A182</f>
        <v>181</v>
      </c>
      <c r="B182" s="2">
        <f>Raw_Data!B182</f>
        <v>44686.631296296298</v>
      </c>
      <c r="C182">
        <f>YEAR(Raw_Data!B182)</f>
        <v>2022</v>
      </c>
      <c r="D182" t="str">
        <f>IF(MONTH(Raw_Data!B182)&gt;=4,YEAR(Raw_Data!B182)&amp;"-"&amp;RIGHT(YEAR(Raw_Data!B182)+1,2),YEAR(Raw_Data!B182)-1&amp;"-"&amp;RIGHT(YEAR(Raw_Data!B182),2))</f>
        <v>2022-23</v>
      </c>
      <c r="E182" t="str">
        <f>"Q"&amp;ROUNDUP(MONTH(Raw_Data!B182)/3,0)</f>
        <v>Q2</v>
      </c>
      <c r="F182" t="str">
        <f>TEXT(Raw_Data!B182,"mmm")</f>
        <v>May</v>
      </c>
      <c r="G182" t="str">
        <f>TEXT(Raw_Data!B182,"ddd")</f>
        <v>Thu</v>
      </c>
      <c r="H182" t="str">
        <f>Raw_Data!D182</f>
        <v>Invoiced</v>
      </c>
      <c r="I182" t="str">
        <f>Raw_Data!F182</f>
        <v>Tele-in</v>
      </c>
      <c r="J182" t="str">
        <f>Raw_Data!G182</f>
        <v>Dealer Webpage Tele-In</v>
      </c>
      <c r="K182" t="str">
        <f>IFERROR(VLOOKUP(J182,Source_Assumptions!$A:$C,2,0),"Unmapped")</f>
        <v>Digital - Owned</v>
      </c>
      <c r="L182" t="str">
        <f>Raw_Data!H182</f>
        <v>5TH GEN CITY PE</v>
      </c>
      <c r="M182" t="str">
        <f>IFERROR(VLOOKUP(L182,Model_Assumptions!$A:$D,2,0),"Unmapped")</f>
        <v>Mid-size Sedan</v>
      </c>
      <c r="N182" t="str">
        <f>IFERROR(VLOOKUP(L182,Model_Assumptions!$A:$D,3,0),"Unmapped")</f>
        <v>Petrol</v>
      </c>
      <c r="O182">
        <f>IFERROR(VLOOKUP(L182,Model_Assumptions!$A:$D,4,0),0)</f>
        <v>1250000</v>
      </c>
      <c r="P182">
        <f>IFERROR(VLOOKUP(J182,Source_Assumptions!$A:$C,3,0),0)</f>
        <v>300</v>
      </c>
    </row>
    <row r="183" spans="1:16" x14ac:dyDescent="0.3">
      <c r="A183">
        <f>Raw_Data!A183</f>
        <v>182</v>
      </c>
      <c r="B183" s="2">
        <f>Raw_Data!B183</f>
        <v>44686.638055555602</v>
      </c>
      <c r="C183">
        <f>YEAR(Raw_Data!B183)</f>
        <v>2022</v>
      </c>
      <c r="D183" t="str">
        <f>IF(MONTH(Raw_Data!B183)&gt;=4,YEAR(Raw_Data!B183)&amp;"-"&amp;RIGHT(YEAR(Raw_Data!B183)+1,2),YEAR(Raw_Data!B183)-1&amp;"-"&amp;RIGHT(YEAR(Raw_Data!B183),2))</f>
        <v>2022-23</v>
      </c>
      <c r="E183" t="str">
        <f>"Q"&amp;ROUNDUP(MONTH(Raw_Data!B183)/3,0)</f>
        <v>Q2</v>
      </c>
      <c r="F183" t="str">
        <f>TEXT(Raw_Data!B183,"mmm")</f>
        <v>May</v>
      </c>
      <c r="G183" t="str">
        <f>TEXT(Raw_Data!B183,"ddd")</f>
        <v>Thu</v>
      </c>
      <c r="H183" t="str">
        <f>Raw_Data!D183</f>
        <v>Invoiced</v>
      </c>
      <c r="I183" t="str">
        <f>Raw_Data!F183</f>
        <v>Web Lead</v>
      </c>
      <c r="J183" t="str">
        <f>Raw_Data!G183</f>
        <v>Web_Organic</v>
      </c>
      <c r="K183" t="str">
        <f>IFERROR(VLOOKUP(J183,Source_Assumptions!$A:$C,2,0),"Unmapped")</f>
        <v>Digital - Organic</v>
      </c>
      <c r="L183" t="str">
        <f>Raw_Data!H183</f>
        <v>5TH GEN CITY PE</v>
      </c>
      <c r="M183" t="str">
        <f>IFERROR(VLOOKUP(L183,Model_Assumptions!$A:$D,2,0),"Unmapped")</f>
        <v>Mid-size Sedan</v>
      </c>
      <c r="N183" t="str">
        <f>IFERROR(VLOOKUP(L183,Model_Assumptions!$A:$D,3,0),"Unmapped")</f>
        <v>Petrol</v>
      </c>
      <c r="O183">
        <f>IFERROR(VLOOKUP(L183,Model_Assumptions!$A:$D,4,0),0)</f>
        <v>1250000</v>
      </c>
      <c r="P183">
        <f>IFERROR(VLOOKUP(J183,Source_Assumptions!$A:$C,3,0),0)</f>
        <v>100</v>
      </c>
    </row>
    <row r="184" spans="1:16" x14ac:dyDescent="0.3">
      <c r="A184">
        <f>Raw_Data!A184</f>
        <v>183</v>
      </c>
      <c r="B184" s="2">
        <f>Raw_Data!B184</f>
        <v>44687.531875000001</v>
      </c>
      <c r="C184">
        <f>YEAR(Raw_Data!B184)</f>
        <v>2022</v>
      </c>
      <c r="D184" t="str">
        <f>IF(MONTH(Raw_Data!B184)&gt;=4,YEAR(Raw_Data!B184)&amp;"-"&amp;RIGHT(YEAR(Raw_Data!B184)+1,2),YEAR(Raw_Data!B184)-1&amp;"-"&amp;RIGHT(YEAR(Raw_Data!B184),2))</f>
        <v>2022-23</v>
      </c>
      <c r="E184" t="str">
        <f>"Q"&amp;ROUNDUP(MONTH(Raw_Data!B184)/3,0)</f>
        <v>Q2</v>
      </c>
      <c r="F184" t="str">
        <f>TEXT(Raw_Data!B184,"mmm")</f>
        <v>May</v>
      </c>
      <c r="G184" t="str">
        <f>TEXT(Raw_Data!B184,"ddd")</f>
        <v>Fri</v>
      </c>
      <c r="H184" t="str">
        <f>Raw_Data!D184</f>
        <v>Invoiced</v>
      </c>
      <c r="I184" t="str">
        <f>Raw_Data!F184</f>
        <v>Walk-in Showroom</v>
      </c>
      <c r="J184" t="str">
        <f>Raw_Data!G184</f>
        <v>Adver. (TVC/Print/Hoarding/FM)</v>
      </c>
      <c r="K184" t="str">
        <f>IFERROR(VLOOKUP(J184,Source_Assumptions!$A:$C,2,0),"Unmapped")</f>
        <v>Traditional Advertising</v>
      </c>
      <c r="L184" t="str">
        <f>Raw_Data!H184</f>
        <v>AMAZE Petrol</v>
      </c>
      <c r="M184" t="str">
        <f>IFERROR(VLOOKUP(L184,Model_Assumptions!$A:$D,2,0),"Unmapped")</f>
        <v>Sub-4m Sedan</v>
      </c>
      <c r="N184" t="str">
        <f>IFERROR(VLOOKUP(L184,Model_Assumptions!$A:$D,3,0),"Unmapped")</f>
        <v>Petrol</v>
      </c>
      <c r="O184">
        <f>IFERROR(VLOOKUP(L184,Model_Assumptions!$A:$D,4,0),0)</f>
        <v>850000</v>
      </c>
      <c r="P184">
        <f>IFERROR(VLOOKUP(J184,Source_Assumptions!$A:$C,3,0),0)</f>
        <v>1200</v>
      </c>
    </row>
    <row r="185" spans="1:16" x14ac:dyDescent="0.3">
      <c r="A185">
        <f>Raw_Data!A185</f>
        <v>184</v>
      </c>
      <c r="B185" s="2">
        <f>Raw_Data!B185</f>
        <v>44687.635543981502</v>
      </c>
      <c r="C185">
        <f>YEAR(Raw_Data!B185)</f>
        <v>2022</v>
      </c>
      <c r="D185" t="str">
        <f>IF(MONTH(Raw_Data!B185)&gt;=4,YEAR(Raw_Data!B185)&amp;"-"&amp;RIGHT(YEAR(Raw_Data!B185)+1,2),YEAR(Raw_Data!B185)-1&amp;"-"&amp;RIGHT(YEAR(Raw_Data!B185),2))</f>
        <v>2022-23</v>
      </c>
      <c r="E185" t="str">
        <f>"Q"&amp;ROUNDUP(MONTH(Raw_Data!B185)/3,0)</f>
        <v>Q2</v>
      </c>
      <c r="F185" t="str">
        <f>TEXT(Raw_Data!B185,"mmm")</f>
        <v>May</v>
      </c>
      <c r="G185" t="str">
        <f>TEXT(Raw_Data!B185,"ddd")</f>
        <v>Fri</v>
      </c>
      <c r="H185" t="str">
        <f>Raw_Data!D185</f>
        <v>Invoiced</v>
      </c>
      <c r="I185" t="str">
        <f>Raw_Data!F185</f>
        <v>Tele-in</v>
      </c>
      <c r="J185" t="str">
        <f>Raw_Data!G185</f>
        <v>Dealer Webpage Tele-In</v>
      </c>
      <c r="K185" t="str">
        <f>IFERROR(VLOOKUP(J185,Source_Assumptions!$A:$C,2,0),"Unmapped")</f>
        <v>Digital - Owned</v>
      </c>
      <c r="L185" t="str">
        <f>Raw_Data!H185</f>
        <v>5TH GEN CITY PE</v>
      </c>
      <c r="M185" t="str">
        <f>IFERROR(VLOOKUP(L185,Model_Assumptions!$A:$D,2,0),"Unmapped")</f>
        <v>Mid-size Sedan</v>
      </c>
      <c r="N185" t="str">
        <f>IFERROR(VLOOKUP(L185,Model_Assumptions!$A:$D,3,0),"Unmapped")</f>
        <v>Petrol</v>
      </c>
      <c r="O185">
        <f>IFERROR(VLOOKUP(L185,Model_Assumptions!$A:$D,4,0),0)</f>
        <v>1250000</v>
      </c>
      <c r="P185">
        <f>IFERROR(VLOOKUP(J185,Source_Assumptions!$A:$C,3,0),0)</f>
        <v>300</v>
      </c>
    </row>
    <row r="186" spans="1:16" x14ac:dyDescent="0.3">
      <c r="A186">
        <f>Raw_Data!A186</f>
        <v>185</v>
      </c>
      <c r="B186" s="2">
        <f>Raw_Data!B186</f>
        <v>44690.684351851902</v>
      </c>
      <c r="C186">
        <f>YEAR(Raw_Data!B186)</f>
        <v>2022</v>
      </c>
      <c r="D186" t="str">
        <f>IF(MONTH(Raw_Data!B186)&gt;=4,YEAR(Raw_Data!B186)&amp;"-"&amp;RIGHT(YEAR(Raw_Data!B186)+1,2),YEAR(Raw_Data!B186)-1&amp;"-"&amp;RIGHT(YEAR(Raw_Data!B186),2))</f>
        <v>2022-23</v>
      </c>
      <c r="E186" t="str">
        <f>"Q"&amp;ROUNDUP(MONTH(Raw_Data!B186)/3,0)</f>
        <v>Q2</v>
      </c>
      <c r="F186" t="str">
        <f>TEXT(Raw_Data!B186,"mmm")</f>
        <v>May</v>
      </c>
      <c r="G186" t="str">
        <f>TEXT(Raw_Data!B186,"ddd")</f>
        <v>Mon</v>
      </c>
      <c r="H186" t="str">
        <f>Raw_Data!D186</f>
        <v>Invoiced</v>
      </c>
      <c r="I186" t="str">
        <f>Raw_Data!F186</f>
        <v>SMS/ Tele-Out</v>
      </c>
      <c r="J186" t="str">
        <f>Raw_Data!G186</f>
        <v>Database Activity(Teleout/SMS)</v>
      </c>
      <c r="K186" t="str">
        <f>IFERROR(VLOOKUP(J186,Source_Assumptions!$A:$C,2,0),"Unmapped")</f>
        <v>Outbound/Database</v>
      </c>
      <c r="L186" t="str">
        <f>Raw_Data!H186</f>
        <v>5TH GEN CITY PE</v>
      </c>
      <c r="M186" t="str">
        <f>IFERROR(VLOOKUP(L186,Model_Assumptions!$A:$D,2,0),"Unmapped")</f>
        <v>Mid-size Sedan</v>
      </c>
      <c r="N186" t="str">
        <f>IFERROR(VLOOKUP(L186,Model_Assumptions!$A:$D,3,0),"Unmapped")</f>
        <v>Petrol</v>
      </c>
      <c r="O186">
        <f>IFERROR(VLOOKUP(L186,Model_Assumptions!$A:$D,4,0),0)</f>
        <v>1250000</v>
      </c>
      <c r="P186">
        <f>IFERROR(VLOOKUP(J186,Source_Assumptions!$A:$C,3,0),0)</f>
        <v>250</v>
      </c>
    </row>
    <row r="187" spans="1:16" x14ac:dyDescent="0.3">
      <c r="A187">
        <f>Raw_Data!A187</f>
        <v>186</v>
      </c>
      <c r="B187" s="2">
        <f>Raw_Data!B187</f>
        <v>44691.481203703697</v>
      </c>
      <c r="C187">
        <f>YEAR(Raw_Data!B187)</f>
        <v>2022</v>
      </c>
      <c r="D187" t="str">
        <f>IF(MONTH(Raw_Data!B187)&gt;=4,YEAR(Raw_Data!B187)&amp;"-"&amp;RIGHT(YEAR(Raw_Data!B187)+1,2),YEAR(Raw_Data!B187)-1&amp;"-"&amp;RIGHT(YEAR(Raw_Data!B187),2))</f>
        <v>2022-23</v>
      </c>
      <c r="E187" t="str">
        <f>"Q"&amp;ROUNDUP(MONTH(Raw_Data!B187)/3,0)</f>
        <v>Q2</v>
      </c>
      <c r="F187" t="str">
        <f>TEXT(Raw_Data!B187,"mmm")</f>
        <v>May</v>
      </c>
      <c r="G187" t="str">
        <f>TEXT(Raw_Data!B187,"ddd")</f>
        <v>Tue</v>
      </c>
      <c r="H187" t="str">
        <f>Raw_Data!D187</f>
        <v>Invoiced</v>
      </c>
      <c r="I187" t="str">
        <f>Raw_Data!F187</f>
        <v>Tele-in</v>
      </c>
      <c r="J187" t="str">
        <f>Raw_Data!G187</f>
        <v>Dealer Webpage Tele-In</v>
      </c>
      <c r="K187" t="str">
        <f>IFERROR(VLOOKUP(J187,Source_Assumptions!$A:$C,2,0),"Unmapped")</f>
        <v>Digital - Owned</v>
      </c>
      <c r="L187" t="str">
        <f>Raw_Data!H187</f>
        <v>JAZZ PE</v>
      </c>
      <c r="M187" t="str">
        <f>IFERROR(VLOOKUP(L187,Model_Assumptions!$A:$D,2,0),"Unmapped")</f>
        <v>Hatchback</v>
      </c>
      <c r="N187" t="str">
        <f>IFERROR(VLOOKUP(L187,Model_Assumptions!$A:$D,3,0),"Unmapped")</f>
        <v>Petrol</v>
      </c>
      <c r="O187">
        <f>IFERROR(VLOOKUP(L187,Model_Assumptions!$A:$D,4,0),0)</f>
        <v>800000</v>
      </c>
      <c r="P187">
        <f>IFERROR(VLOOKUP(J187,Source_Assumptions!$A:$C,3,0),0)</f>
        <v>300</v>
      </c>
    </row>
    <row r="188" spans="1:16" x14ac:dyDescent="0.3">
      <c r="A188">
        <f>Raw_Data!A188</f>
        <v>187</v>
      </c>
      <c r="B188" s="2">
        <f>Raw_Data!B188</f>
        <v>44691.537708333301</v>
      </c>
      <c r="C188">
        <f>YEAR(Raw_Data!B188)</f>
        <v>2022</v>
      </c>
      <c r="D188" t="str">
        <f>IF(MONTH(Raw_Data!B188)&gt;=4,YEAR(Raw_Data!B188)&amp;"-"&amp;RIGHT(YEAR(Raw_Data!B188)+1,2),YEAR(Raw_Data!B188)-1&amp;"-"&amp;RIGHT(YEAR(Raw_Data!B188),2))</f>
        <v>2022-23</v>
      </c>
      <c r="E188" t="str">
        <f>"Q"&amp;ROUNDUP(MONTH(Raw_Data!B188)/3,0)</f>
        <v>Q2</v>
      </c>
      <c r="F188" t="str">
        <f>TEXT(Raw_Data!B188,"mmm")</f>
        <v>May</v>
      </c>
      <c r="G188" t="str">
        <f>TEXT(Raw_Data!B188,"ddd")</f>
        <v>Tue</v>
      </c>
      <c r="H188" t="str">
        <f>Raw_Data!D188</f>
        <v>Invoiced</v>
      </c>
      <c r="I188" t="str">
        <f>Raw_Data!F188</f>
        <v>Tele-in</v>
      </c>
      <c r="J188" t="str">
        <f>Raw_Data!G188</f>
        <v>Dealer Webpage Tele-In</v>
      </c>
      <c r="K188" t="str">
        <f>IFERROR(VLOOKUP(J188,Source_Assumptions!$A:$C,2,0),"Unmapped")</f>
        <v>Digital - Owned</v>
      </c>
      <c r="L188" t="str">
        <f>Raw_Data!H188</f>
        <v>AMAZE Petrol</v>
      </c>
      <c r="M188" t="str">
        <f>IFERROR(VLOOKUP(L188,Model_Assumptions!$A:$D,2,0),"Unmapped")</f>
        <v>Sub-4m Sedan</v>
      </c>
      <c r="N188" t="str">
        <f>IFERROR(VLOOKUP(L188,Model_Assumptions!$A:$D,3,0),"Unmapped")</f>
        <v>Petrol</v>
      </c>
      <c r="O188">
        <f>IFERROR(VLOOKUP(L188,Model_Assumptions!$A:$D,4,0),0)</f>
        <v>850000</v>
      </c>
      <c r="P188">
        <f>IFERROR(VLOOKUP(J188,Source_Assumptions!$A:$C,3,0),0)</f>
        <v>300</v>
      </c>
    </row>
    <row r="189" spans="1:16" x14ac:dyDescent="0.3">
      <c r="A189">
        <f>Raw_Data!A189</f>
        <v>188</v>
      </c>
      <c r="B189" s="2">
        <f>Raw_Data!B189</f>
        <v>44691.590219907397</v>
      </c>
      <c r="C189">
        <f>YEAR(Raw_Data!B189)</f>
        <v>2022</v>
      </c>
      <c r="D189" t="str">
        <f>IF(MONTH(Raw_Data!B189)&gt;=4,YEAR(Raw_Data!B189)&amp;"-"&amp;RIGHT(YEAR(Raw_Data!B189)+1,2),YEAR(Raw_Data!B189)-1&amp;"-"&amp;RIGHT(YEAR(Raw_Data!B189),2))</f>
        <v>2022-23</v>
      </c>
      <c r="E189" t="str">
        <f>"Q"&amp;ROUNDUP(MONTH(Raw_Data!B189)/3,0)</f>
        <v>Q2</v>
      </c>
      <c r="F189" t="str">
        <f>TEXT(Raw_Data!B189,"mmm")</f>
        <v>May</v>
      </c>
      <c r="G189" t="str">
        <f>TEXT(Raw_Data!B189,"ddd")</f>
        <v>Tue</v>
      </c>
      <c r="H189" t="str">
        <f>Raw_Data!D189</f>
        <v>Invoiced</v>
      </c>
      <c r="I189" t="str">
        <f>Raw_Data!F189</f>
        <v>Walk-in Showroom</v>
      </c>
      <c r="J189" t="str">
        <f>Raw_Data!G189</f>
        <v>Adver. (TVC/Print/Hoarding/FM)</v>
      </c>
      <c r="K189" t="str">
        <f>IFERROR(VLOOKUP(J189,Source_Assumptions!$A:$C,2,0),"Unmapped")</f>
        <v>Traditional Advertising</v>
      </c>
      <c r="L189" t="str">
        <f>Raw_Data!H189</f>
        <v>WR-V DE</v>
      </c>
      <c r="M189" t="str">
        <f>IFERROR(VLOOKUP(L189,Model_Assumptions!$A:$D,2,0),"Unmapped")</f>
        <v>Compact SUV</v>
      </c>
      <c r="N189" t="str">
        <f>IFERROR(VLOOKUP(L189,Model_Assumptions!$A:$D,3,0),"Unmapped")</f>
        <v>Diesel</v>
      </c>
      <c r="O189">
        <f>IFERROR(VLOOKUP(L189,Model_Assumptions!$A:$D,4,0),0)</f>
        <v>1050000</v>
      </c>
      <c r="P189">
        <f>IFERROR(VLOOKUP(J189,Source_Assumptions!$A:$C,3,0),0)</f>
        <v>1200</v>
      </c>
    </row>
    <row r="190" spans="1:16" x14ac:dyDescent="0.3">
      <c r="A190">
        <f>Raw_Data!A190</f>
        <v>189</v>
      </c>
      <c r="B190" s="2">
        <f>Raw_Data!B190</f>
        <v>44691.596087963</v>
      </c>
      <c r="C190">
        <f>YEAR(Raw_Data!B190)</f>
        <v>2022</v>
      </c>
      <c r="D190" t="str">
        <f>IF(MONTH(Raw_Data!B190)&gt;=4,YEAR(Raw_Data!B190)&amp;"-"&amp;RIGHT(YEAR(Raw_Data!B190)+1,2),YEAR(Raw_Data!B190)-1&amp;"-"&amp;RIGHT(YEAR(Raw_Data!B190),2))</f>
        <v>2022-23</v>
      </c>
      <c r="E190" t="str">
        <f>"Q"&amp;ROUNDUP(MONTH(Raw_Data!B190)/3,0)</f>
        <v>Q2</v>
      </c>
      <c r="F190" t="str">
        <f>TEXT(Raw_Data!B190,"mmm")</f>
        <v>May</v>
      </c>
      <c r="G190" t="str">
        <f>TEXT(Raw_Data!B190,"ddd")</f>
        <v>Tue</v>
      </c>
      <c r="H190" t="str">
        <f>Raw_Data!D190</f>
        <v>Invoiced</v>
      </c>
      <c r="I190" t="str">
        <f>Raw_Data!F190</f>
        <v>Tele-in</v>
      </c>
      <c r="J190" t="str">
        <f>Raw_Data!G190</f>
        <v>Referral-CAM</v>
      </c>
      <c r="K190" t="str">
        <f>IFERROR(VLOOKUP(J190,Source_Assumptions!$A:$C,2,0),"Unmapped")</f>
        <v>Referral</v>
      </c>
      <c r="L190" t="str">
        <f>Raw_Data!H190</f>
        <v>AMAZE Petrol</v>
      </c>
      <c r="M190" t="str">
        <f>IFERROR(VLOOKUP(L190,Model_Assumptions!$A:$D,2,0),"Unmapped")</f>
        <v>Sub-4m Sedan</v>
      </c>
      <c r="N190" t="str">
        <f>IFERROR(VLOOKUP(L190,Model_Assumptions!$A:$D,3,0),"Unmapped")</f>
        <v>Petrol</v>
      </c>
      <c r="O190">
        <f>IFERROR(VLOOKUP(L190,Model_Assumptions!$A:$D,4,0),0)</f>
        <v>850000</v>
      </c>
      <c r="P190">
        <f>IFERROR(VLOOKUP(J190,Source_Assumptions!$A:$C,3,0),0)</f>
        <v>150</v>
      </c>
    </row>
    <row r="191" spans="1:16" x14ac:dyDescent="0.3">
      <c r="A191">
        <f>Raw_Data!A191</f>
        <v>190</v>
      </c>
      <c r="B191" s="2">
        <f>Raw_Data!B191</f>
        <v>44692.527638888903</v>
      </c>
      <c r="C191">
        <f>YEAR(Raw_Data!B191)</f>
        <v>2022</v>
      </c>
      <c r="D191" t="str">
        <f>IF(MONTH(Raw_Data!B191)&gt;=4,YEAR(Raw_Data!B191)&amp;"-"&amp;RIGHT(YEAR(Raw_Data!B191)+1,2),YEAR(Raw_Data!B191)-1&amp;"-"&amp;RIGHT(YEAR(Raw_Data!B191),2))</f>
        <v>2022-23</v>
      </c>
      <c r="E191" t="str">
        <f>"Q"&amp;ROUNDUP(MONTH(Raw_Data!B191)/3,0)</f>
        <v>Q2</v>
      </c>
      <c r="F191" t="str">
        <f>TEXT(Raw_Data!B191,"mmm")</f>
        <v>May</v>
      </c>
      <c r="G191" t="str">
        <f>TEXT(Raw_Data!B191,"ddd")</f>
        <v>Wed</v>
      </c>
      <c r="H191" t="str">
        <f>Raw_Data!D191</f>
        <v>Invoiced</v>
      </c>
      <c r="I191" t="str">
        <f>Raw_Data!F191</f>
        <v>Walk-in Showroom</v>
      </c>
      <c r="J191" t="str">
        <f>Raw_Data!G191</f>
        <v>Adver. (TVC/Print/Hoarding/FM)</v>
      </c>
      <c r="K191" t="str">
        <f>IFERROR(VLOOKUP(J191,Source_Assumptions!$A:$C,2,0),"Unmapped")</f>
        <v>Traditional Advertising</v>
      </c>
      <c r="L191" t="str">
        <f>Raw_Data!H191</f>
        <v>JAZZ PE</v>
      </c>
      <c r="M191" t="str">
        <f>IFERROR(VLOOKUP(L191,Model_Assumptions!$A:$D,2,0),"Unmapped")</f>
        <v>Hatchback</v>
      </c>
      <c r="N191" t="str">
        <f>IFERROR(VLOOKUP(L191,Model_Assumptions!$A:$D,3,0),"Unmapped")</f>
        <v>Petrol</v>
      </c>
      <c r="O191">
        <f>IFERROR(VLOOKUP(L191,Model_Assumptions!$A:$D,4,0),0)</f>
        <v>800000</v>
      </c>
      <c r="P191">
        <f>IFERROR(VLOOKUP(J191,Source_Assumptions!$A:$C,3,0),0)</f>
        <v>1200</v>
      </c>
    </row>
    <row r="192" spans="1:16" x14ac:dyDescent="0.3">
      <c r="A192">
        <f>Raw_Data!A192</f>
        <v>191</v>
      </c>
      <c r="B192" s="2">
        <f>Raw_Data!B192</f>
        <v>44693.481111111098</v>
      </c>
      <c r="C192">
        <f>YEAR(Raw_Data!B192)</f>
        <v>2022</v>
      </c>
      <c r="D192" t="str">
        <f>IF(MONTH(Raw_Data!B192)&gt;=4,YEAR(Raw_Data!B192)&amp;"-"&amp;RIGHT(YEAR(Raw_Data!B192)+1,2),YEAR(Raw_Data!B192)-1&amp;"-"&amp;RIGHT(YEAR(Raw_Data!B192),2))</f>
        <v>2022-23</v>
      </c>
      <c r="E192" t="str">
        <f>"Q"&amp;ROUNDUP(MONTH(Raw_Data!B192)/3,0)</f>
        <v>Q2</v>
      </c>
      <c r="F192" t="str">
        <f>TEXT(Raw_Data!B192,"mmm")</f>
        <v>May</v>
      </c>
      <c r="G192" t="str">
        <f>TEXT(Raw_Data!B192,"ddd")</f>
        <v>Thu</v>
      </c>
      <c r="H192" t="str">
        <f>Raw_Data!D192</f>
        <v>Invoiced</v>
      </c>
      <c r="I192" t="str">
        <f>Raw_Data!F192</f>
        <v>SMS/ Tele-Out</v>
      </c>
      <c r="J192" t="str">
        <f>Raw_Data!G192</f>
        <v>Database Activity(Teleout/SMS)</v>
      </c>
      <c r="K192" t="str">
        <f>IFERROR(VLOOKUP(J192,Source_Assumptions!$A:$C,2,0),"Unmapped")</f>
        <v>Outbound/Database</v>
      </c>
      <c r="L192" t="str">
        <f>Raw_Data!H192</f>
        <v>5TH GEN CITY e:HEV</v>
      </c>
      <c r="M192" t="str">
        <f>IFERROR(VLOOKUP(L192,Model_Assumptions!$A:$D,2,0),"Unmapped")</f>
        <v>Mid-size Sedan</v>
      </c>
      <c r="N192" t="str">
        <f>IFERROR(VLOOKUP(L192,Model_Assumptions!$A:$D,3,0),"Unmapped")</f>
        <v>Hybrid</v>
      </c>
      <c r="O192">
        <f>IFERROR(VLOOKUP(L192,Model_Assumptions!$A:$D,4,0),0)</f>
        <v>1950000</v>
      </c>
      <c r="P192">
        <f>IFERROR(VLOOKUP(J192,Source_Assumptions!$A:$C,3,0),0)</f>
        <v>250</v>
      </c>
    </row>
    <row r="193" spans="1:16" x14ac:dyDescent="0.3">
      <c r="A193">
        <f>Raw_Data!A193</f>
        <v>192</v>
      </c>
      <c r="B193" s="2">
        <f>Raw_Data!B193</f>
        <v>44697.625185185199</v>
      </c>
      <c r="C193">
        <f>YEAR(Raw_Data!B193)</f>
        <v>2022</v>
      </c>
      <c r="D193" t="str">
        <f>IF(MONTH(Raw_Data!B193)&gt;=4,YEAR(Raw_Data!B193)&amp;"-"&amp;RIGHT(YEAR(Raw_Data!B193)+1,2),YEAR(Raw_Data!B193)-1&amp;"-"&amp;RIGHT(YEAR(Raw_Data!B193),2))</f>
        <v>2022-23</v>
      </c>
      <c r="E193" t="str">
        <f>"Q"&amp;ROUNDUP(MONTH(Raw_Data!B193)/3,0)</f>
        <v>Q2</v>
      </c>
      <c r="F193" t="str">
        <f>TEXT(Raw_Data!B193,"mmm")</f>
        <v>May</v>
      </c>
      <c r="G193" t="str">
        <f>TEXT(Raw_Data!B193,"ddd")</f>
        <v>Mon</v>
      </c>
      <c r="H193" t="str">
        <f>Raw_Data!D193</f>
        <v>Invoiced</v>
      </c>
      <c r="I193" t="str">
        <f>Raw_Data!F193</f>
        <v>Tele-in</v>
      </c>
      <c r="J193" t="str">
        <f>Raw_Data!G193</f>
        <v>Referral-CAM</v>
      </c>
      <c r="K193" t="str">
        <f>IFERROR(VLOOKUP(J193,Source_Assumptions!$A:$C,2,0),"Unmapped")</f>
        <v>Referral</v>
      </c>
      <c r="L193" t="str">
        <f>Raw_Data!H193</f>
        <v>WR-V PE</v>
      </c>
      <c r="M193" t="str">
        <f>IFERROR(VLOOKUP(L193,Model_Assumptions!$A:$D,2,0),"Unmapped")</f>
        <v>Compact SUV</v>
      </c>
      <c r="N193" t="str">
        <f>IFERROR(VLOOKUP(L193,Model_Assumptions!$A:$D,3,0),"Unmapped")</f>
        <v>Petrol</v>
      </c>
      <c r="O193">
        <f>IFERROR(VLOOKUP(L193,Model_Assumptions!$A:$D,4,0),0)</f>
        <v>950000</v>
      </c>
      <c r="P193">
        <f>IFERROR(VLOOKUP(J193,Source_Assumptions!$A:$C,3,0),0)</f>
        <v>150</v>
      </c>
    </row>
    <row r="194" spans="1:16" x14ac:dyDescent="0.3">
      <c r="A194">
        <f>Raw_Data!A194</f>
        <v>193</v>
      </c>
      <c r="B194" s="2">
        <f>Raw_Data!B194</f>
        <v>44697.631770833301</v>
      </c>
      <c r="C194">
        <f>YEAR(Raw_Data!B194)</f>
        <v>2022</v>
      </c>
      <c r="D194" t="str">
        <f>IF(MONTH(Raw_Data!B194)&gt;=4,YEAR(Raw_Data!B194)&amp;"-"&amp;RIGHT(YEAR(Raw_Data!B194)+1,2),YEAR(Raw_Data!B194)-1&amp;"-"&amp;RIGHT(YEAR(Raw_Data!B194),2))</f>
        <v>2022-23</v>
      </c>
      <c r="E194" t="str">
        <f>"Q"&amp;ROUNDUP(MONTH(Raw_Data!B194)/3,0)</f>
        <v>Q2</v>
      </c>
      <c r="F194" t="str">
        <f>TEXT(Raw_Data!B194,"mmm")</f>
        <v>May</v>
      </c>
      <c r="G194" t="str">
        <f>TEXT(Raw_Data!B194,"ddd")</f>
        <v>Mon</v>
      </c>
      <c r="H194" t="str">
        <f>Raw_Data!D194</f>
        <v>Invoiced</v>
      </c>
      <c r="I194" t="str">
        <f>Raw_Data!F194</f>
        <v>SMS/ Tele-Out</v>
      </c>
      <c r="J194" t="str">
        <f>Raw_Data!G194</f>
        <v>Database Activity(Teleout/SMS)</v>
      </c>
      <c r="K194" t="str">
        <f>IFERROR(VLOOKUP(J194,Source_Assumptions!$A:$C,2,0),"Unmapped")</f>
        <v>Outbound/Database</v>
      </c>
      <c r="L194" t="str">
        <f>Raw_Data!H194</f>
        <v>AMAZE Petrol</v>
      </c>
      <c r="M194" t="str">
        <f>IFERROR(VLOOKUP(L194,Model_Assumptions!$A:$D,2,0),"Unmapped")</f>
        <v>Sub-4m Sedan</v>
      </c>
      <c r="N194" t="str">
        <f>IFERROR(VLOOKUP(L194,Model_Assumptions!$A:$D,3,0),"Unmapped")</f>
        <v>Petrol</v>
      </c>
      <c r="O194">
        <f>IFERROR(VLOOKUP(L194,Model_Assumptions!$A:$D,4,0),0)</f>
        <v>850000</v>
      </c>
      <c r="P194">
        <f>IFERROR(VLOOKUP(J194,Source_Assumptions!$A:$C,3,0),0)</f>
        <v>250</v>
      </c>
    </row>
    <row r="195" spans="1:16" x14ac:dyDescent="0.3">
      <c r="A195">
        <f>Raw_Data!A195</f>
        <v>194</v>
      </c>
      <c r="B195" s="2">
        <f>Raw_Data!B195</f>
        <v>44698.524074074099</v>
      </c>
      <c r="C195">
        <f>YEAR(Raw_Data!B195)</f>
        <v>2022</v>
      </c>
      <c r="D195" t="str">
        <f>IF(MONTH(Raw_Data!B195)&gt;=4,YEAR(Raw_Data!B195)&amp;"-"&amp;RIGHT(YEAR(Raw_Data!B195)+1,2),YEAR(Raw_Data!B195)-1&amp;"-"&amp;RIGHT(YEAR(Raw_Data!B195),2))</f>
        <v>2022-23</v>
      </c>
      <c r="E195" t="str">
        <f>"Q"&amp;ROUNDUP(MONTH(Raw_Data!B195)/3,0)</f>
        <v>Q2</v>
      </c>
      <c r="F195" t="str">
        <f>TEXT(Raw_Data!B195,"mmm")</f>
        <v>May</v>
      </c>
      <c r="G195" t="str">
        <f>TEXT(Raw_Data!B195,"ddd")</f>
        <v>Tue</v>
      </c>
      <c r="H195" t="str">
        <f>Raw_Data!D195</f>
        <v>Invoiced</v>
      </c>
      <c r="I195" t="str">
        <f>Raw_Data!F195</f>
        <v>Tele-in</v>
      </c>
      <c r="J195" t="str">
        <f>Raw_Data!G195</f>
        <v>Referral-CAM</v>
      </c>
      <c r="K195" t="str">
        <f>IFERROR(VLOOKUP(J195,Source_Assumptions!$A:$C,2,0),"Unmapped")</f>
        <v>Referral</v>
      </c>
      <c r="L195" t="str">
        <f>Raw_Data!H195</f>
        <v>AMAZE Petrol</v>
      </c>
      <c r="M195" t="str">
        <f>IFERROR(VLOOKUP(L195,Model_Assumptions!$A:$D,2,0),"Unmapped")</f>
        <v>Sub-4m Sedan</v>
      </c>
      <c r="N195" t="str">
        <f>IFERROR(VLOOKUP(L195,Model_Assumptions!$A:$D,3,0),"Unmapped")</f>
        <v>Petrol</v>
      </c>
      <c r="O195">
        <f>IFERROR(VLOOKUP(L195,Model_Assumptions!$A:$D,4,0),0)</f>
        <v>850000</v>
      </c>
      <c r="P195">
        <f>IFERROR(VLOOKUP(J195,Source_Assumptions!$A:$C,3,0),0)</f>
        <v>150</v>
      </c>
    </row>
    <row r="196" spans="1:16" x14ac:dyDescent="0.3">
      <c r="A196">
        <f>Raw_Data!A196</f>
        <v>195</v>
      </c>
      <c r="B196" s="2">
        <f>Raw_Data!B196</f>
        <v>44698.684965277796</v>
      </c>
      <c r="C196">
        <f>YEAR(Raw_Data!B196)</f>
        <v>2022</v>
      </c>
      <c r="D196" t="str">
        <f>IF(MONTH(Raw_Data!B196)&gt;=4,YEAR(Raw_Data!B196)&amp;"-"&amp;RIGHT(YEAR(Raw_Data!B196)+1,2),YEAR(Raw_Data!B196)-1&amp;"-"&amp;RIGHT(YEAR(Raw_Data!B196),2))</f>
        <v>2022-23</v>
      </c>
      <c r="E196" t="str">
        <f>"Q"&amp;ROUNDUP(MONTH(Raw_Data!B196)/3,0)</f>
        <v>Q2</v>
      </c>
      <c r="F196" t="str">
        <f>TEXT(Raw_Data!B196,"mmm")</f>
        <v>May</v>
      </c>
      <c r="G196" t="str">
        <f>TEXT(Raw_Data!B196,"ddd")</f>
        <v>Tue</v>
      </c>
      <c r="H196" t="str">
        <f>Raw_Data!D196</f>
        <v>Invoiced</v>
      </c>
      <c r="I196" t="str">
        <f>Raw_Data!F196</f>
        <v>Tele-in</v>
      </c>
      <c r="J196" t="str">
        <f>Raw_Data!G196</f>
        <v>Adver. (TVC/Print/Hoarding/FM)</v>
      </c>
      <c r="K196" t="str">
        <f>IFERROR(VLOOKUP(J196,Source_Assumptions!$A:$C,2,0),"Unmapped")</f>
        <v>Traditional Advertising</v>
      </c>
      <c r="L196" t="str">
        <f>Raw_Data!H196</f>
        <v>5TH GEN CITY PE</v>
      </c>
      <c r="M196" t="str">
        <f>IFERROR(VLOOKUP(L196,Model_Assumptions!$A:$D,2,0),"Unmapped")</f>
        <v>Mid-size Sedan</v>
      </c>
      <c r="N196" t="str">
        <f>IFERROR(VLOOKUP(L196,Model_Assumptions!$A:$D,3,0),"Unmapped")</f>
        <v>Petrol</v>
      </c>
      <c r="O196">
        <f>IFERROR(VLOOKUP(L196,Model_Assumptions!$A:$D,4,0),0)</f>
        <v>1250000</v>
      </c>
      <c r="P196">
        <f>IFERROR(VLOOKUP(J196,Source_Assumptions!$A:$C,3,0),0)</f>
        <v>1200</v>
      </c>
    </row>
    <row r="197" spans="1:16" x14ac:dyDescent="0.3">
      <c r="A197">
        <f>Raw_Data!A197</f>
        <v>196</v>
      </c>
      <c r="B197" s="2">
        <f>Raw_Data!B197</f>
        <v>44698.686793981498</v>
      </c>
      <c r="C197">
        <f>YEAR(Raw_Data!B197)</f>
        <v>2022</v>
      </c>
      <c r="D197" t="str">
        <f>IF(MONTH(Raw_Data!B197)&gt;=4,YEAR(Raw_Data!B197)&amp;"-"&amp;RIGHT(YEAR(Raw_Data!B197)+1,2),YEAR(Raw_Data!B197)-1&amp;"-"&amp;RIGHT(YEAR(Raw_Data!B197),2))</f>
        <v>2022-23</v>
      </c>
      <c r="E197" t="str">
        <f>"Q"&amp;ROUNDUP(MONTH(Raw_Data!B197)/3,0)</f>
        <v>Q2</v>
      </c>
      <c r="F197" t="str">
        <f>TEXT(Raw_Data!B197,"mmm")</f>
        <v>May</v>
      </c>
      <c r="G197" t="str">
        <f>TEXT(Raw_Data!B197,"ddd")</f>
        <v>Tue</v>
      </c>
      <c r="H197" t="str">
        <f>Raw_Data!D197</f>
        <v>Invoiced</v>
      </c>
      <c r="I197" t="str">
        <f>Raw_Data!F197</f>
        <v>Tele-in</v>
      </c>
      <c r="J197" t="str">
        <f>Raw_Data!G197</f>
        <v>Dealer Webpage Tele-In</v>
      </c>
      <c r="K197" t="str">
        <f>IFERROR(VLOOKUP(J197,Source_Assumptions!$A:$C,2,0),"Unmapped")</f>
        <v>Digital - Owned</v>
      </c>
      <c r="L197" t="str">
        <f>Raw_Data!H197</f>
        <v>AMAZE Petrol</v>
      </c>
      <c r="M197" t="str">
        <f>IFERROR(VLOOKUP(L197,Model_Assumptions!$A:$D,2,0),"Unmapped")</f>
        <v>Sub-4m Sedan</v>
      </c>
      <c r="N197" t="str">
        <f>IFERROR(VLOOKUP(L197,Model_Assumptions!$A:$D,3,0),"Unmapped")</f>
        <v>Petrol</v>
      </c>
      <c r="O197">
        <f>IFERROR(VLOOKUP(L197,Model_Assumptions!$A:$D,4,0),0)</f>
        <v>850000</v>
      </c>
      <c r="P197">
        <f>IFERROR(VLOOKUP(J197,Source_Assumptions!$A:$C,3,0),0)</f>
        <v>300</v>
      </c>
    </row>
    <row r="198" spans="1:16" x14ac:dyDescent="0.3">
      <c r="A198">
        <f>Raw_Data!A198</f>
        <v>197</v>
      </c>
      <c r="B198" s="2">
        <f>Raw_Data!B198</f>
        <v>44699.649282407401</v>
      </c>
      <c r="C198">
        <f>YEAR(Raw_Data!B198)</f>
        <v>2022</v>
      </c>
      <c r="D198" t="str">
        <f>IF(MONTH(Raw_Data!B198)&gt;=4,YEAR(Raw_Data!B198)&amp;"-"&amp;RIGHT(YEAR(Raw_Data!B198)+1,2),YEAR(Raw_Data!B198)-1&amp;"-"&amp;RIGHT(YEAR(Raw_Data!B198),2))</f>
        <v>2022-23</v>
      </c>
      <c r="E198" t="str">
        <f>"Q"&amp;ROUNDUP(MONTH(Raw_Data!B198)/3,0)</f>
        <v>Q2</v>
      </c>
      <c r="F198" t="str">
        <f>TEXT(Raw_Data!B198,"mmm")</f>
        <v>May</v>
      </c>
      <c r="G198" t="str">
        <f>TEXT(Raw_Data!B198,"ddd")</f>
        <v>Wed</v>
      </c>
      <c r="H198" t="str">
        <f>Raw_Data!D198</f>
        <v>Invoiced</v>
      </c>
      <c r="I198" t="str">
        <f>Raw_Data!F198</f>
        <v>Tele-in</v>
      </c>
      <c r="J198" t="str">
        <f>Raw_Data!G198</f>
        <v>Dealer Webpage Tele-In</v>
      </c>
      <c r="K198" t="str">
        <f>IFERROR(VLOOKUP(J198,Source_Assumptions!$A:$C,2,0),"Unmapped")</f>
        <v>Digital - Owned</v>
      </c>
      <c r="L198" t="str">
        <f>Raw_Data!H198</f>
        <v>AMAZE Petrol</v>
      </c>
      <c r="M198" t="str">
        <f>IFERROR(VLOOKUP(L198,Model_Assumptions!$A:$D,2,0),"Unmapped")</f>
        <v>Sub-4m Sedan</v>
      </c>
      <c r="N198" t="str">
        <f>IFERROR(VLOOKUP(L198,Model_Assumptions!$A:$D,3,0),"Unmapped")</f>
        <v>Petrol</v>
      </c>
      <c r="O198">
        <f>IFERROR(VLOOKUP(L198,Model_Assumptions!$A:$D,4,0),0)</f>
        <v>850000</v>
      </c>
      <c r="P198">
        <f>IFERROR(VLOOKUP(J198,Source_Assumptions!$A:$C,3,0),0)</f>
        <v>300</v>
      </c>
    </row>
    <row r="199" spans="1:16" x14ac:dyDescent="0.3">
      <c r="A199">
        <f>Raw_Data!A199</f>
        <v>198</v>
      </c>
      <c r="B199" s="2">
        <f>Raw_Data!B199</f>
        <v>44699.6636111111</v>
      </c>
      <c r="C199">
        <f>YEAR(Raw_Data!B199)</f>
        <v>2022</v>
      </c>
      <c r="D199" t="str">
        <f>IF(MONTH(Raw_Data!B199)&gt;=4,YEAR(Raw_Data!B199)&amp;"-"&amp;RIGHT(YEAR(Raw_Data!B199)+1,2),YEAR(Raw_Data!B199)-1&amp;"-"&amp;RIGHT(YEAR(Raw_Data!B199),2))</f>
        <v>2022-23</v>
      </c>
      <c r="E199" t="str">
        <f>"Q"&amp;ROUNDUP(MONTH(Raw_Data!B199)/3,0)</f>
        <v>Q2</v>
      </c>
      <c r="F199" t="str">
        <f>TEXT(Raw_Data!B199,"mmm")</f>
        <v>May</v>
      </c>
      <c r="G199" t="str">
        <f>TEXT(Raw_Data!B199,"ddd")</f>
        <v>Wed</v>
      </c>
      <c r="H199" t="str">
        <f>Raw_Data!D199</f>
        <v>Invoiced</v>
      </c>
      <c r="I199" t="str">
        <f>Raw_Data!F199</f>
        <v>SMS/ Tele-Out</v>
      </c>
      <c r="J199" t="str">
        <f>Raw_Data!G199</f>
        <v>Database Activity(Teleout/SMS)</v>
      </c>
      <c r="K199" t="str">
        <f>IFERROR(VLOOKUP(J199,Source_Assumptions!$A:$C,2,0),"Unmapped")</f>
        <v>Outbound/Database</v>
      </c>
      <c r="L199" t="str">
        <f>Raw_Data!H199</f>
        <v>AMAZE Petrol</v>
      </c>
      <c r="M199" t="str">
        <f>IFERROR(VLOOKUP(L199,Model_Assumptions!$A:$D,2,0),"Unmapped")</f>
        <v>Sub-4m Sedan</v>
      </c>
      <c r="N199" t="str">
        <f>IFERROR(VLOOKUP(L199,Model_Assumptions!$A:$D,3,0),"Unmapped")</f>
        <v>Petrol</v>
      </c>
      <c r="O199">
        <f>IFERROR(VLOOKUP(L199,Model_Assumptions!$A:$D,4,0),0)</f>
        <v>850000</v>
      </c>
      <c r="P199">
        <f>IFERROR(VLOOKUP(J199,Source_Assumptions!$A:$C,3,0),0)</f>
        <v>250</v>
      </c>
    </row>
    <row r="200" spans="1:16" x14ac:dyDescent="0.3">
      <c r="A200">
        <f>Raw_Data!A200</f>
        <v>199</v>
      </c>
      <c r="B200" s="2">
        <f>Raw_Data!B200</f>
        <v>44700.5065509259</v>
      </c>
      <c r="C200">
        <f>YEAR(Raw_Data!B200)</f>
        <v>2022</v>
      </c>
      <c r="D200" t="str">
        <f>IF(MONTH(Raw_Data!B200)&gt;=4,YEAR(Raw_Data!B200)&amp;"-"&amp;RIGHT(YEAR(Raw_Data!B200)+1,2),YEAR(Raw_Data!B200)-1&amp;"-"&amp;RIGHT(YEAR(Raw_Data!B200),2))</f>
        <v>2022-23</v>
      </c>
      <c r="E200" t="str">
        <f>"Q"&amp;ROUNDUP(MONTH(Raw_Data!B200)/3,0)</f>
        <v>Q2</v>
      </c>
      <c r="F200" t="str">
        <f>TEXT(Raw_Data!B200,"mmm")</f>
        <v>May</v>
      </c>
      <c r="G200" t="str">
        <f>TEXT(Raw_Data!B200,"ddd")</f>
        <v>Thu</v>
      </c>
      <c r="H200" t="str">
        <f>Raw_Data!D200</f>
        <v>Invoiced</v>
      </c>
      <c r="I200" t="str">
        <f>Raw_Data!F200</f>
        <v>SMS/ Tele-Out</v>
      </c>
      <c r="J200" t="str">
        <f>Raw_Data!G200</f>
        <v>Database Activity(Teleout/SMS)</v>
      </c>
      <c r="K200" t="str">
        <f>IFERROR(VLOOKUP(J200,Source_Assumptions!$A:$C,2,0),"Unmapped")</f>
        <v>Outbound/Database</v>
      </c>
      <c r="L200" t="str">
        <f>Raw_Data!H200</f>
        <v>JAZZ PE</v>
      </c>
      <c r="M200" t="str">
        <f>IFERROR(VLOOKUP(L200,Model_Assumptions!$A:$D,2,0),"Unmapped")</f>
        <v>Hatchback</v>
      </c>
      <c r="N200" t="str">
        <f>IFERROR(VLOOKUP(L200,Model_Assumptions!$A:$D,3,0),"Unmapped")</f>
        <v>Petrol</v>
      </c>
      <c r="O200">
        <f>IFERROR(VLOOKUP(L200,Model_Assumptions!$A:$D,4,0),0)</f>
        <v>800000</v>
      </c>
      <c r="P200">
        <f>IFERROR(VLOOKUP(J200,Source_Assumptions!$A:$C,3,0),0)</f>
        <v>250</v>
      </c>
    </row>
    <row r="201" spans="1:16" x14ac:dyDescent="0.3">
      <c r="A201">
        <f>Raw_Data!A201</f>
        <v>200</v>
      </c>
      <c r="B201" s="2">
        <f>Raw_Data!B201</f>
        <v>44700.648229166698</v>
      </c>
      <c r="C201">
        <f>YEAR(Raw_Data!B201)</f>
        <v>2022</v>
      </c>
      <c r="D201" t="str">
        <f>IF(MONTH(Raw_Data!B201)&gt;=4,YEAR(Raw_Data!B201)&amp;"-"&amp;RIGHT(YEAR(Raw_Data!B201)+1,2),YEAR(Raw_Data!B201)-1&amp;"-"&amp;RIGHT(YEAR(Raw_Data!B201),2))</f>
        <v>2022-23</v>
      </c>
      <c r="E201" t="str">
        <f>"Q"&amp;ROUNDUP(MONTH(Raw_Data!B201)/3,0)</f>
        <v>Q2</v>
      </c>
      <c r="F201" t="str">
        <f>TEXT(Raw_Data!B201,"mmm")</f>
        <v>May</v>
      </c>
      <c r="G201" t="str">
        <f>TEXT(Raw_Data!B201,"ddd")</f>
        <v>Thu</v>
      </c>
      <c r="H201" t="str">
        <f>Raw_Data!D201</f>
        <v>Invoiced</v>
      </c>
      <c r="I201" t="str">
        <f>Raw_Data!F201</f>
        <v>Tele-in</v>
      </c>
      <c r="J201" t="str">
        <f>Raw_Data!G201</f>
        <v>Referral-CAM</v>
      </c>
      <c r="K201" t="str">
        <f>IFERROR(VLOOKUP(J201,Source_Assumptions!$A:$C,2,0),"Unmapped")</f>
        <v>Referral</v>
      </c>
      <c r="L201" t="str">
        <f>Raw_Data!H201</f>
        <v>5TH GEN CITY DE</v>
      </c>
      <c r="M201" t="str">
        <f>IFERROR(VLOOKUP(L201,Model_Assumptions!$A:$D,2,0),"Unmapped")</f>
        <v>Mid-size Sedan</v>
      </c>
      <c r="N201" t="str">
        <f>IFERROR(VLOOKUP(L201,Model_Assumptions!$A:$D,3,0),"Unmapped")</f>
        <v>Diesel</v>
      </c>
      <c r="O201">
        <f>IFERROR(VLOOKUP(L201,Model_Assumptions!$A:$D,4,0),0)</f>
        <v>1350000</v>
      </c>
      <c r="P201">
        <f>IFERROR(VLOOKUP(J201,Source_Assumptions!$A:$C,3,0),0)</f>
        <v>150</v>
      </c>
    </row>
    <row r="202" spans="1:16" x14ac:dyDescent="0.3">
      <c r="A202">
        <f>Raw_Data!A202</f>
        <v>201</v>
      </c>
      <c r="B202" s="2">
        <f>Raw_Data!B202</f>
        <v>44700.701944444401</v>
      </c>
      <c r="C202">
        <f>YEAR(Raw_Data!B202)</f>
        <v>2022</v>
      </c>
      <c r="D202" t="str">
        <f>IF(MONTH(Raw_Data!B202)&gt;=4,YEAR(Raw_Data!B202)&amp;"-"&amp;RIGHT(YEAR(Raw_Data!B202)+1,2),YEAR(Raw_Data!B202)-1&amp;"-"&amp;RIGHT(YEAR(Raw_Data!B202),2))</f>
        <v>2022-23</v>
      </c>
      <c r="E202" t="str">
        <f>"Q"&amp;ROUNDUP(MONTH(Raw_Data!B202)/3,0)</f>
        <v>Q2</v>
      </c>
      <c r="F202" t="str">
        <f>TEXT(Raw_Data!B202,"mmm")</f>
        <v>May</v>
      </c>
      <c r="G202" t="str">
        <f>TEXT(Raw_Data!B202,"ddd")</f>
        <v>Thu</v>
      </c>
      <c r="H202" t="str">
        <f>Raw_Data!D202</f>
        <v>Invoiced</v>
      </c>
      <c r="I202" t="str">
        <f>Raw_Data!F202</f>
        <v>SMS/ Tele-Out</v>
      </c>
      <c r="J202" t="str">
        <f>Raw_Data!G202</f>
        <v>Database Activity(Teleout/SMS)</v>
      </c>
      <c r="K202" t="str">
        <f>IFERROR(VLOOKUP(J202,Source_Assumptions!$A:$C,2,0),"Unmapped")</f>
        <v>Outbound/Database</v>
      </c>
      <c r="L202" t="str">
        <f>Raw_Data!H202</f>
        <v>5TH GEN CITY e:HEV</v>
      </c>
      <c r="M202" t="str">
        <f>IFERROR(VLOOKUP(L202,Model_Assumptions!$A:$D,2,0),"Unmapped")</f>
        <v>Mid-size Sedan</v>
      </c>
      <c r="N202" t="str">
        <f>IFERROR(VLOOKUP(L202,Model_Assumptions!$A:$D,3,0),"Unmapped")</f>
        <v>Hybrid</v>
      </c>
      <c r="O202">
        <f>IFERROR(VLOOKUP(L202,Model_Assumptions!$A:$D,4,0),0)</f>
        <v>1950000</v>
      </c>
      <c r="P202">
        <f>IFERROR(VLOOKUP(J202,Source_Assumptions!$A:$C,3,0),0)</f>
        <v>250</v>
      </c>
    </row>
    <row r="203" spans="1:16" x14ac:dyDescent="0.3">
      <c r="A203">
        <f>Raw_Data!A203</f>
        <v>202</v>
      </c>
      <c r="B203" s="2">
        <f>Raw_Data!B203</f>
        <v>44700.741030092599</v>
      </c>
      <c r="C203">
        <f>YEAR(Raw_Data!B203)</f>
        <v>2022</v>
      </c>
      <c r="D203" t="str">
        <f>IF(MONTH(Raw_Data!B203)&gt;=4,YEAR(Raw_Data!B203)&amp;"-"&amp;RIGHT(YEAR(Raw_Data!B203)+1,2),YEAR(Raw_Data!B203)-1&amp;"-"&amp;RIGHT(YEAR(Raw_Data!B203),2))</f>
        <v>2022-23</v>
      </c>
      <c r="E203" t="str">
        <f>"Q"&amp;ROUNDUP(MONTH(Raw_Data!B203)/3,0)</f>
        <v>Q2</v>
      </c>
      <c r="F203" t="str">
        <f>TEXT(Raw_Data!B203,"mmm")</f>
        <v>May</v>
      </c>
      <c r="G203" t="str">
        <f>TEXT(Raw_Data!B203,"ddd")</f>
        <v>Thu</v>
      </c>
      <c r="H203" t="str">
        <f>Raw_Data!D203</f>
        <v>Invoiced</v>
      </c>
      <c r="I203" t="str">
        <f>Raw_Data!F203</f>
        <v>Tele-in</v>
      </c>
      <c r="J203" t="str">
        <f>Raw_Data!G203</f>
        <v>Referral-CAM</v>
      </c>
      <c r="K203" t="str">
        <f>IFERROR(VLOOKUP(J203,Source_Assumptions!$A:$C,2,0),"Unmapped")</f>
        <v>Referral</v>
      </c>
      <c r="L203" t="str">
        <f>Raw_Data!H203</f>
        <v>CITY PE</v>
      </c>
      <c r="M203" t="str">
        <f>IFERROR(VLOOKUP(L203,Model_Assumptions!$A:$D,2,0),"Unmapped")</f>
        <v>Mid-size Sedan</v>
      </c>
      <c r="N203" t="str">
        <f>IFERROR(VLOOKUP(L203,Model_Assumptions!$A:$D,3,0),"Unmapped")</f>
        <v>Petrol</v>
      </c>
      <c r="O203">
        <f>IFERROR(VLOOKUP(L203,Model_Assumptions!$A:$D,4,0),0)</f>
        <v>1100000</v>
      </c>
      <c r="P203">
        <f>IFERROR(VLOOKUP(J203,Source_Assumptions!$A:$C,3,0),0)</f>
        <v>150</v>
      </c>
    </row>
    <row r="204" spans="1:16" x14ac:dyDescent="0.3">
      <c r="A204">
        <f>Raw_Data!A204</f>
        <v>203</v>
      </c>
      <c r="B204" s="2">
        <f>Raw_Data!B204</f>
        <v>44701.631261574097</v>
      </c>
      <c r="C204">
        <f>YEAR(Raw_Data!B204)</f>
        <v>2022</v>
      </c>
      <c r="D204" t="str">
        <f>IF(MONTH(Raw_Data!B204)&gt;=4,YEAR(Raw_Data!B204)&amp;"-"&amp;RIGHT(YEAR(Raw_Data!B204)+1,2),YEAR(Raw_Data!B204)-1&amp;"-"&amp;RIGHT(YEAR(Raw_Data!B204),2))</f>
        <v>2022-23</v>
      </c>
      <c r="E204" t="str">
        <f>"Q"&amp;ROUNDUP(MONTH(Raw_Data!B204)/3,0)</f>
        <v>Q2</v>
      </c>
      <c r="F204" t="str">
        <f>TEXT(Raw_Data!B204,"mmm")</f>
        <v>May</v>
      </c>
      <c r="G204" t="str">
        <f>TEXT(Raw_Data!B204,"ddd")</f>
        <v>Fri</v>
      </c>
      <c r="H204" t="str">
        <f>Raw_Data!D204</f>
        <v>Invoiced</v>
      </c>
      <c r="I204" t="str">
        <f>Raw_Data!F204</f>
        <v>Walk-in Showroom</v>
      </c>
      <c r="J204" t="str">
        <f>Raw_Data!G204</f>
        <v>Adver. (TVC/Print/Hoarding/FM)</v>
      </c>
      <c r="K204" t="str">
        <f>IFERROR(VLOOKUP(J204,Source_Assumptions!$A:$C,2,0),"Unmapped")</f>
        <v>Traditional Advertising</v>
      </c>
      <c r="L204" t="str">
        <f>Raw_Data!H204</f>
        <v>5TH GEN CITY e:HEV</v>
      </c>
      <c r="M204" t="str">
        <f>IFERROR(VLOOKUP(L204,Model_Assumptions!$A:$D,2,0),"Unmapped")</f>
        <v>Mid-size Sedan</v>
      </c>
      <c r="N204" t="str">
        <f>IFERROR(VLOOKUP(L204,Model_Assumptions!$A:$D,3,0),"Unmapped")</f>
        <v>Hybrid</v>
      </c>
      <c r="O204">
        <f>IFERROR(VLOOKUP(L204,Model_Assumptions!$A:$D,4,0),0)</f>
        <v>1950000</v>
      </c>
      <c r="P204">
        <f>IFERROR(VLOOKUP(J204,Source_Assumptions!$A:$C,3,0),0)</f>
        <v>1200</v>
      </c>
    </row>
    <row r="205" spans="1:16" x14ac:dyDescent="0.3">
      <c r="A205">
        <f>Raw_Data!A205</f>
        <v>204</v>
      </c>
      <c r="B205" s="2">
        <f>Raw_Data!B205</f>
        <v>44704.626597222203</v>
      </c>
      <c r="C205">
        <f>YEAR(Raw_Data!B205)</f>
        <v>2022</v>
      </c>
      <c r="D205" t="str">
        <f>IF(MONTH(Raw_Data!B205)&gt;=4,YEAR(Raw_Data!B205)&amp;"-"&amp;RIGHT(YEAR(Raw_Data!B205)+1,2),YEAR(Raw_Data!B205)-1&amp;"-"&amp;RIGHT(YEAR(Raw_Data!B205),2))</f>
        <v>2022-23</v>
      </c>
      <c r="E205" t="str">
        <f>"Q"&amp;ROUNDUP(MONTH(Raw_Data!B205)/3,0)</f>
        <v>Q2</v>
      </c>
      <c r="F205" t="str">
        <f>TEXT(Raw_Data!B205,"mmm")</f>
        <v>May</v>
      </c>
      <c r="G205" t="str">
        <f>TEXT(Raw_Data!B205,"ddd")</f>
        <v>Mon</v>
      </c>
      <c r="H205" t="str">
        <f>Raw_Data!D205</f>
        <v>Invoiced</v>
      </c>
      <c r="I205" t="str">
        <f>Raw_Data!F205</f>
        <v>Web Lead</v>
      </c>
      <c r="J205" t="str">
        <f>Raw_Data!G205</f>
        <v>Web</v>
      </c>
      <c r="K205" t="str">
        <f>IFERROR(VLOOKUP(J205,Source_Assumptions!$A:$C,2,0),"Unmapped")</f>
        <v>Digital - Owned</v>
      </c>
      <c r="L205" t="str">
        <f>Raw_Data!H205</f>
        <v>5TH GEN CITY PE</v>
      </c>
      <c r="M205" t="str">
        <f>IFERROR(VLOOKUP(L205,Model_Assumptions!$A:$D,2,0),"Unmapped")</f>
        <v>Mid-size Sedan</v>
      </c>
      <c r="N205" t="str">
        <f>IFERROR(VLOOKUP(L205,Model_Assumptions!$A:$D,3,0),"Unmapped")</f>
        <v>Petrol</v>
      </c>
      <c r="O205">
        <f>IFERROR(VLOOKUP(L205,Model_Assumptions!$A:$D,4,0),0)</f>
        <v>1250000</v>
      </c>
      <c r="P205">
        <f>IFERROR(VLOOKUP(J205,Source_Assumptions!$A:$C,3,0),0)</f>
        <v>300</v>
      </c>
    </row>
    <row r="206" spans="1:16" x14ac:dyDescent="0.3">
      <c r="A206">
        <f>Raw_Data!A206</f>
        <v>205</v>
      </c>
      <c r="B206" s="2">
        <f>Raw_Data!B206</f>
        <v>44704.628287036998</v>
      </c>
      <c r="C206">
        <f>YEAR(Raw_Data!B206)</f>
        <v>2022</v>
      </c>
      <c r="D206" t="str">
        <f>IF(MONTH(Raw_Data!B206)&gt;=4,YEAR(Raw_Data!B206)&amp;"-"&amp;RIGHT(YEAR(Raw_Data!B206)+1,2),YEAR(Raw_Data!B206)-1&amp;"-"&amp;RIGHT(YEAR(Raw_Data!B206),2))</f>
        <v>2022-23</v>
      </c>
      <c r="E206" t="str">
        <f>"Q"&amp;ROUNDUP(MONTH(Raw_Data!B206)/3,0)</f>
        <v>Q2</v>
      </c>
      <c r="F206" t="str">
        <f>TEXT(Raw_Data!B206,"mmm")</f>
        <v>May</v>
      </c>
      <c r="G206" t="str">
        <f>TEXT(Raw_Data!B206,"ddd")</f>
        <v>Mon</v>
      </c>
      <c r="H206" t="str">
        <f>Raw_Data!D206</f>
        <v>Invoiced</v>
      </c>
      <c r="I206" t="str">
        <f>Raw_Data!F206</f>
        <v>Web Lead</v>
      </c>
      <c r="J206" t="str">
        <f>Raw_Data!G206</f>
        <v>Web_Facebook</v>
      </c>
      <c r="K206" t="str">
        <f>IFERROR(VLOOKUP(J206,Source_Assumptions!$A:$C,2,0),"Unmapped")</f>
        <v>Digital - Paid Social</v>
      </c>
      <c r="L206" t="str">
        <f>Raw_Data!H206</f>
        <v>AMAZE Petrol</v>
      </c>
      <c r="M206" t="str">
        <f>IFERROR(VLOOKUP(L206,Model_Assumptions!$A:$D,2,0),"Unmapped")</f>
        <v>Sub-4m Sedan</v>
      </c>
      <c r="N206" t="str">
        <f>IFERROR(VLOOKUP(L206,Model_Assumptions!$A:$D,3,0),"Unmapped")</f>
        <v>Petrol</v>
      </c>
      <c r="O206">
        <f>IFERROR(VLOOKUP(L206,Model_Assumptions!$A:$D,4,0),0)</f>
        <v>850000</v>
      </c>
      <c r="P206">
        <f>IFERROR(VLOOKUP(J206,Source_Assumptions!$A:$C,3,0),0)</f>
        <v>600</v>
      </c>
    </row>
    <row r="207" spans="1:16" x14ac:dyDescent="0.3">
      <c r="A207">
        <f>Raw_Data!A207</f>
        <v>206</v>
      </c>
      <c r="B207" s="2">
        <f>Raw_Data!B207</f>
        <v>44704.706574074102</v>
      </c>
      <c r="C207">
        <f>YEAR(Raw_Data!B207)</f>
        <v>2022</v>
      </c>
      <c r="D207" t="str">
        <f>IF(MONTH(Raw_Data!B207)&gt;=4,YEAR(Raw_Data!B207)&amp;"-"&amp;RIGHT(YEAR(Raw_Data!B207)+1,2),YEAR(Raw_Data!B207)-1&amp;"-"&amp;RIGHT(YEAR(Raw_Data!B207),2))</f>
        <v>2022-23</v>
      </c>
      <c r="E207" t="str">
        <f>"Q"&amp;ROUNDUP(MONTH(Raw_Data!B207)/3,0)</f>
        <v>Q2</v>
      </c>
      <c r="F207" t="str">
        <f>TEXT(Raw_Data!B207,"mmm")</f>
        <v>May</v>
      </c>
      <c r="G207" t="str">
        <f>TEXT(Raw_Data!B207,"ddd")</f>
        <v>Mon</v>
      </c>
      <c r="H207" t="str">
        <f>Raw_Data!D207</f>
        <v>Invoiced</v>
      </c>
      <c r="I207" t="str">
        <f>Raw_Data!F207</f>
        <v>Web Lead</v>
      </c>
      <c r="J207" t="str">
        <f>Raw_Data!G207</f>
        <v>Web</v>
      </c>
      <c r="K207" t="str">
        <f>IFERROR(VLOOKUP(J207,Source_Assumptions!$A:$C,2,0),"Unmapped")</f>
        <v>Digital - Owned</v>
      </c>
      <c r="L207" t="str">
        <f>Raw_Data!H207</f>
        <v>5TH GEN CITY DE</v>
      </c>
      <c r="M207" t="str">
        <f>IFERROR(VLOOKUP(L207,Model_Assumptions!$A:$D,2,0),"Unmapped")</f>
        <v>Mid-size Sedan</v>
      </c>
      <c r="N207" t="str">
        <f>IFERROR(VLOOKUP(L207,Model_Assumptions!$A:$D,3,0),"Unmapped")</f>
        <v>Diesel</v>
      </c>
      <c r="O207">
        <f>IFERROR(VLOOKUP(L207,Model_Assumptions!$A:$D,4,0),0)</f>
        <v>1350000</v>
      </c>
      <c r="P207">
        <f>IFERROR(VLOOKUP(J207,Source_Assumptions!$A:$C,3,0),0)</f>
        <v>300</v>
      </c>
    </row>
    <row r="208" spans="1:16" x14ac:dyDescent="0.3">
      <c r="A208">
        <f>Raw_Data!A208</f>
        <v>207</v>
      </c>
      <c r="B208" s="2">
        <f>Raw_Data!B208</f>
        <v>44704.734629629602</v>
      </c>
      <c r="C208">
        <f>YEAR(Raw_Data!B208)</f>
        <v>2022</v>
      </c>
      <c r="D208" t="str">
        <f>IF(MONTH(Raw_Data!B208)&gt;=4,YEAR(Raw_Data!B208)&amp;"-"&amp;RIGHT(YEAR(Raw_Data!B208)+1,2),YEAR(Raw_Data!B208)-1&amp;"-"&amp;RIGHT(YEAR(Raw_Data!B208),2))</f>
        <v>2022-23</v>
      </c>
      <c r="E208" t="str">
        <f>"Q"&amp;ROUNDUP(MONTH(Raw_Data!B208)/3,0)</f>
        <v>Q2</v>
      </c>
      <c r="F208" t="str">
        <f>TEXT(Raw_Data!B208,"mmm")</f>
        <v>May</v>
      </c>
      <c r="G208" t="str">
        <f>TEXT(Raw_Data!B208,"ddd")</f>
        <v>Mon</v>
      </c>
      <c r="H208" t="str">
        <f>Raw_Data!D208</f>
        <v>Invoiced</v>
      </c>
      <c r="I208" t="str">
        <f>Raw_Data!F208</f>
        <v>Web Lead</v>
      </c>
      <c r="J208" t="str">
        <f>Raw_Data!G208</f>
        <v>Web</v>
      </c>
      <c r="K208" t="str">
        <f>IFERROR(VLOOKUP(J208,Source_Assumptions!$A:$C,2,0),"Unmapped")</f>
        <v>Digital - Owned</v>
      </c>
      <c r="L208" t="str">
        <f>Raw_Data!H208</f>
        <v>5TH GEN CITY e:HEV</v>
      </c>
      <c r="M208" t="str">
        <f>IFERROR(VLOOKUP(L208,Model_Assumptions!$A:$D,2,0),"Unmapped")</f>
        <v>Mid-size Sedan</v>
      </c>
      <c r="N208" t="str">
        <f>IFERROR(VLOOKUP(L208,Model_Assumptions!$A:$D,3,0),"Unmapped")</f>
        <v>Hybrid</v>
      </c>
      <c r="O208">
        <f>IFERROR(VLOOKUP(L208,Model_Assumptions!$A:$D,4,0),0)</f>
        <v>1950000</v>
      </c>
      <c r="P208">
        <f>IFERROR(VLOOKUP(J208,Source_Assumptions!$A:$C,3,0),0)</f>
        <v>300</v>
      </c>
    </row>
    <row r="209" spans="1:16" x14ac:dyDescent="0.3">
      <c r="A209">
        <f>Raw_Data!A209</f>
        <v>208</v>
      </c>
      <c r="B209" s="2">
        <f>Raw_Data!B209</f>
        <v>44705.604594907403</v>
      </c>
      <c r="C209">
        <f>YEAR(Raw_Data!B209)</f>
        <v>2022</v>
      </c>
      <c r="D209" t="str">
        <f>IF(MONTH(Raw_Data!B209)&gt;=4,YEAR(Raw_Data!B209)&amp;"-"&amp;RIGHT(YEAR(Raw_Data!B209)+1,2),YEAR(Raw_Data!B209)-1&amp;"-"&amp;RIGHT(YEAR(Raw_Data!B209),2))</f>
        <v>2022-23</v>
      </c>
      <c r="E209" t="str">
        <f>"Q"&amp;ROUNDUP(MONTH(Raw_Data!B209)/3,0)</f>
        <v>Q2</v>
      </c>
      <c r="F209" t="str">
        <f>TEXT(Raw_Data!B209,"mmm")</f>
        <v>May</v>
      </c>
      <c r="G209" t="str">
        <f>TEXT(Raw_Data!B209,"ddd")</f>
        <v>Tue</v>
      </c>
      <c r="H209" t="str">
        <f>Raw_Data!D209</f>
        <v>Invoiced</v>
      </c>
      <c r="I209" t="str">
        <f>Raw_Data!F209</f>
        <v>Tele-in</v>
      </c>
      <c r="J209" t="str">
        <f>Raw_Data!G209</f>
        <v>Dealer Webpage Tele-In</v>
      </c>
      <c r="K209" t="str">
        <f>IFERROR(VLOOKUP(J209,Source_Assumptions!$A:$C,2,0),"Unmapped")</f>
        <v>Digital - Owned</v>
      </c>
      <c r="L209" t="str">
        <f>Raw_Data!H209</f>
        <v>AMAZE Petrol</v>
      </c>
      <c r="M209" t="str">
        <f>IFERROR(VLOOKUP(L209,Model_Assumptions!$A:$D,2,0),"Unmapped")</f>
        <v>Sub-4m Sedan</v>
      </c>
      <c r="N209" t="str">
        <f>IFERROR(VLOOKUP(L209,Model_Assumptions!$A:$D,3,0),"Unmapped")</f>
        <v>Petrol</v>
      </c>
      <c r="O209">
        <f>IFERROR(VLOOKUP(L209,Model_Assumptions!$A:$D,4,0),0)</f>
        <v>850000</v>
      </c>
      <c r="P209">
        <f>IFERROR(VLOOKUP(J209,Source_Assumptions!$A:$C,3,0),0)</f>
        <v>300</v>
      </c>
    </row>
    <row r="210" spans="1:16" x14ac:dyDescent="0.3">
      <c r="A210">
        <f>Raw_Data!A210</f>
        <v>209</v>
      </c>
      <c r="B210" s="2">
        <f>Raw_Data!B210</f>
        <v>44705.6582291667</v>
      </c>
      <c r="C210">
        <f>YEAR(Raw_Data!B210)</f>
        <v>2022</v>
      </c>
      <c r="D210" t="str">
        <f>IF(MONTH(Raw_Data!B210)&gt;=4,YEAR(Raw_Data!B210)&amp;"-"&amp;RIGHT(YEAR(Raw_Data!B210)+1,2),YEAR(Raw_Data!B210)-1&amp;"-"&amp;RIGHT(YEAR(Raw_Data!B210),2))</f>
        <v>2022-23</v>
      </c>
      <c r="E210" t="str">
        <f>"Q"&amp;ROUNDUP(MONTH(Raw_Data!B210)/3,0)</f>
        <v>Q2</v>
      </c>
      <c r="F210" t="str">
        <f>TEXT(Raw_Data!B210,"mmm")</f>
        <v>May</v>
      </c>
      <c r="G210" t="str">
        <f>TEXT(Raw_Data!B210,"ddd")</f>
        <v>Tue</v>
      </c>
      <c r="H210" t="str">
        <f>Raw_Data!D210</f>
        <v>Invoiced</v>
      </c>
      <c r="I210" t="str">
        <f>Raw_Data!F210</f>
        <v>Web Lead</v>
      </c>
      <c r="J210" t="str">
        <f>Raw_Data!G210</f>
        <v>Web</v>
      </c>
      <c r="K210" t="str">
        <f>IFERROR(VLOOKUP(J210,Source_Assumptions!$A:$C,2,0),"Unmapped")</f>
        <v>Digital - Owned</v>
      </c>
      <c r="L210" t="str">
        <f>Raw_Data!H210</f>
        <v>5TH GEN CITY e:HEV</v>
      </c>
      <c r="M210" t="str">
        <f>IFERROR(VLOOKUP(L210,Model_Assumptions!$A:$D,2,0),"Unmapped")</f>
        <v>Mid-size Sedan</v>
      </c>
      <c r="N210" t="str">
        <f>IFERROR(VLOOKUP(L210,Model_Assumptions!$A:$D,3,0),"Unmapped")</f>
        <v>Hybrid</v>
      </c>
      <c r="O210">
        <f>IFERROR(VLOOKUP(L210,Model_Assumptions!$A:$D,4,0),0)</f>
        <v>1950000</v>
      </c>
      <c r="P210">
        <f>IFERROR(VLOOKUP(J210,Source_Assumptions!$A:$C,3,0),0)</f>
        <v>300</v>
      </c>
    </row>
    <row r="211" spans="1:16" x14ac:dyDescent="0.3">
      <c r="A211">
        <f>Raw_Data!A211</f>
        <v>210</v>
      </c>
      <c r="B211" s="2">
        <f>Raw_Data!B211</f>
        <v>44706.657847222203</v>
      </c>
      <c r="C211">
        <f>YEAR(Raw_Data!B211)</f>
        <v>2022</v>
      </c>
      <c r="D211" t="str">
        <f>IF(MONTH(Raw_Data!B211)&gt;=4,YEAR(Raw_Data!B211)&amp;"-"&amp;RIGHT(YEAR(Raw_Data!B211)+1,2),YEAR(Raw_Data!B211)-1&amp;"-"&amp;RIGHT(YEAR(Raw_Data!B211),2))</f>
        <v>2022-23</v>
      </c>
      <c r="E211" t="str">
        <f>"Q"&amp;ROUNDUP(MONTH(Raw_Data!B211)/3,0)</f>
        <v>Q2</v>
      </c>
      <c r="F211" t="str">
        <f>TEXT(Raw_Data!B211,"mmm")</f>
        <v>May</v>
      </c>
      <c r="G211" t="str">
        <f>TEXT(Raw_Data!B211,"ddd")</f>
        <v>Wed</v>
      </c>
      <c r="H211" t="str">
        <f>Raw_Data!D211</f>
        <v>Invoiced</v>
      </c>
      <c r="I211" t="str">
        <f>Raw_Data!F211</f>
        <v>Tele-in</v>
      </c>
      <c r="J211" t="str">
        <f>Raw_Data!G211</f>
        <v>Dealer Webpage Tele-In</v>
      </c>
      <c r="K211" t="str">
        <f>IFERROR(VLOOKUP(J211,Source_Assumptions!$A:$C,2,0),"Unmapped")</f>
        <v>Digital - Owned</v>
      </c>
      <c r="L211" t="str">
        <f>Raw_Data!H211</f>
        <v>5TH GEN CITY PE</v>
      </c>
      <c r="M211" t="str">
        <f>IFERROR(VLOOKUP(L211,Model_Assumptions!$A:$D,2,0),"Unmapped")</f>
        <v>Mid-size Sedan</v>
      </c>
      <c r="N211" t="str">
        <f>IFERROR(VLOOKUP(L211,Model_Assumptions!$A:$D,3,0),"Unmapped")</f>
        <v>Petrol</v>
      </c>
      <c r="O211">
        <f>IFERROR(VLOOKUP(L211,Model_Assumptions!$A:$D,4,0),0)</f>
        <v>1250000</v>
      </c>
      <c r="P211">
        <f>IFERROR(VLOOKUP(J211,Source_Assumptions!$A:$C,3,0),0)</f>
        <v>300</v>
      </c>
    </row>
    <row r="212" spans="1:16" x14ac:dyDescent="0.3">
      <c r="A212">
        <f>Raw_Data!A212</f>
        <v>211</v>
      </c>
      <c r="B212" s="2">
        <f>Raw_Data!B212</f>
        <v>44706.6696296296</v>
      </c>
      <c r="C212">
        <f>YEAR(Raw_Data!B212)</f>
        <v>2022</v>
      </c>
      <c r="D212" t="str">
        <f>IF(MONTH(Raw_Data!B212)&gt;=4,YEAR(Raw_Data!B212)&amp;"-"&amp;RIGHT(YEAR(Raw_Data!B212)+1,2),YEAR(Raw_Data!B212)-1&amp;"-"&amp;RIGHT(YEAR(Raw_Data!B212),2))</f>
        <v>2022-23</v>
      </c>
      <c r="E212" t="str">
        <f>"Q"&amp;ROUNDUP(MONTH(Raw_Data!B212)/3,0)</f>
        <v>Q2</v>
      </c>
      <c r="F212" t="str">
        <f>TEXT(Raw_Data!B212,"mmm")</f>
        <v>May</v>
      </c>
      <c r="G212" t="str">
        <f>TEXT(Raw_Data!B212,"ddd")</f>
        <v>Wed</v>
      </c>
      <c r="H212" t="str">
        <f>Raw_Data!D212</f>
        <v>Invoiced</v>
      </c>
      <c r="I212" t="str">
        <f>Raw_Data!F212</f>
        <v>Walk-in Showroom</v>
      </c>
      <c r="J212" t="str">
        <f>Raw_Data!G212</f>
        <v>Adver. (TVC/Print/Hoarding/FM)</v>
      </c>
      <c r="K212" t="str">
        <f>IFERROR(VLOOKUP(J212,Source_Assumptions!$A:$C,2,0),"Unmapped")</f>
        <v>Traditional Advertising</v>
      </c>
      <c r="L212" t="str">
        <f>Raw_Data!H212</f>
        <v>AMAZE Petrol</v>
      </c>
      <c r="M212" t="str">
        <f>IFERROR(VLOOKUP(L212,Model_Assumptions!$A:$D,2,0),"Unmapped")</f>
        <v>Sub-4m Sedan</v>
      </c>
      <c r="N212" t="str">
        <f>IFERROR(VLOOKUP(L212,Model_Assumptions!$A:$D,3,0),"Unmapped")</f>
        <v>Petrol</v>
      </c>
      <c r="O212">
        <f>IFERROR(VLOOKUP(L212,Model_Assumptions!$A:$D,4,0),0)</f>
        <v>850000</v>
      </c>
      <c r="P212">
        <f>IFERROR(VLOOKUP(J212,Source_Assumptions!$A:$C,3,0),0)</f>
        <v>1200</v>
      </c>
    </row>
    <row r="213" spans="1:16" x14ac:dyDescent="0.3">
      <c r="A213">
        <f>Raw_Data!A213</f>
        <v>212</v>
      </c>
      <c r="B213" s="2">
        <f>Raw_Data!B213</f>
        <v>44707.519780092603</v>
      </c>
      <c r="C213">
        <f>YEAR(Raw_Data!B213)</f>
        <v>2022</v>
      </c>
      <c r="D213" t="str">
        <f>IF(MONTH(Raw_Data!B213)&gt;=4,YEAR(Raw_Data!B213)&amp;"-"&amp;RIGHT(YEAR(Raw_Data!B213)+1,2),YEAR(Raw_Data!B213)-1&amp;"-"&amp;RIGHT(YEAR(Raw_Data!B213),2))</f>
        <v>2022-23</v>
      </c>
      <c r="E213" t="str">
        <f>"Q"&amp;ROUNDUP(MONTH(Raw_Data!B213)/3,0)</f>
        <v>Q2</v>
      </c>
      <c r="F213" t="str">
        <f>TEXT(Raw_Data!B213,"mmm")</f>
        <v>May</v>
      </c>
      <c r="G213" t="str">
        <f>TEXT(Raw_Data!B213,"ddd")</f>
        <v>Thu</v>
      </c>
      <c r="H213" t="str">
        <f>Raw_Data!D213</f>
        <v>Invoiced</v>
      </c>
      <c r="I213" t="str">
        <f>Raw_Data!F213</f>
        <v>Tele-in</v>
      </c>
      <c r="J213" t="str">
        <f>Raw_Data!G213</f>
        <v>Dealer Webpage Tele-In</v>
      </c>
      <c r="K213" t="str">
        <f>IFERROR(VLOOKUP(J213,Source_Assumptions!$A:$C,2,0),"Unmapped")</f>
        <v>Digital - Owned</v>
      </c>
      <c r="L213" t="str">
        <f>Raw_Data!H213</f>
        <v>AMAZE Petrol</v>
      </c>
      <c r="M213" t="str">
        <f>IFERROR(VLOOKUP(L213,Model_Assumptions!$A:$D,2,0),"Unmapped")</f>
        <v>Sub-4m Sedan</v>
      </c>
      <c r="N213" t="str">
        <f>IFERROR(VLOOKUP(L213,Model_Assumptions!$A:$D,3,0),"Unmapped")</f>
        <v>Petrol</v>
      </c>
      <c r="O213">
        <f>IFERROR(VLOOKUP(L213,Model_Assumptions!$A:$D,4,0),0)</f>
        <v>850000</v>
      </c>
      <c r="P213">
        <f>IFERROR(VLOOKUP(J213,Source_Assumptions!$A:$C,3,0),0)</f>
        <v>300</v>
      </c>
    </row>
    <row r="214" spans="1:16" x14ac:dyDescent="0.3">
      <c r="A214">
        <f>Raw_Data!A214</f>
        <v>213</v>
      </c>
      <c r="B214" s="2">
        <f>Raw_Data!B214</f>
        <v>44708.660648148201</v>
      </c>
      <c r="C214">
        <f>YEAR(Raw_Data!B214)</f>
        <v>2022</v>
      </c>
      <c r="D214" t="str">
        <f>IF(MONTH(Raw_Data!B214)&gt;=4,YEAR(Raw_Data!B214)&amp;"-"&amp;RIGHT(YEAR(Raw_Data!B214)+1,2),YEAR(Raw_Data!B214)-1&amp;"-"&amp;RIGHT(YEAR(Raw_Data!B214),2))</f>
        <v>2022-23</v>
      </c>
      <c r="E214" t="str">
        <f>"Q"&amp;ROUNDUP(MONTH(Raw_Data!B214)/3,0)</f>
        <v>Q2</v>
      </c>
      <c r="F214" t="str">
        <f>TEXT(Raw_Data!B214,"mmm")</f>
        <v>May</v>
      </c>
      <c r="G214" t="str">
        <f>TEXT(Raw_Data!B214,"ddd")</f>
        <v>Fri</v>
      </c>
      <c r="H214" t="str">
        <f>Raw_Data!D214</f>
        <v>Invoiced</v>
      </c>
      <c r="I214" t="str">
        <f>Raw_Data!F214</f>
        <v>Web Lead</v>
      </c>
      <c r="J214" t="str">
        <f>Raw_Data!G214</f>
        <v>Web_Organic</v>
      </c>
      <c r="K214" t="str">
        <f>IFERROR(VLOOKUP(J214,Source_Assumptions!$A:$C,2,0),"Unmapped")</f>
        <v>Digital - Organic</v>
      </c>
      <c r="L214" t="str">
        <f>Raw_Data!H214</f>
        <v>5TH GEN CITY PE</v>
      </c>
      <c r="M214" t="str">
        <f>IFERROR(VLOOKUP(L214,Model_Assumptions!$A:$D,2,0),"Unmapped")</f>
        <v>Mid-size Sedan</v>
      </c>
      <c r="N214" t="str">
        <f>IFERROR(VLOOKUP(L214,Model_Assumptions!$A:$D,3,0),"Unmapped")</f>
        <v>Petrol</v>
      </c>
      <c r="O214">
        <f>IFERROR(VLOOKUP(L214,Model_Assumptions!$A:$D,4,0),0)</f>
        <v>1250000</v>
      </c>
      <c r="P214">
        <f>IFERROR(VLOOKUP(J214,Source_Assumptions!$A:$C,3,0),0)</f>
        <v>100</v>
      </c>
    </row>
    <row r="215" spans="1:16" x14ac:dyDescent="0.3">
      <c r="A215">
        <f>Raw_Data!A215</f>
        <v>214</v>
      </c>
      <c r="B215" s="2">
        <f>Raw_Data!B215</f>
        <v>44708.666701388902</v>
      </c>
      <c r="C215">
        <f>YEAR(Raw_Data!B215)</f>
        <v>2022</v>
      </c>
      <c r="D215" t="str">
        <f>IF(MONTH(Raw_Data!B215)&gt;=4,YEAR(Raw_Data!B215)&amp;"-"&amp;RIGHT(YEAR(Raw_Data!B215)+1,2),YEAR(Raw_Data!B215)-1&amp;"-"&amp;RIGHT(YEAR(Raw_Data!B215),2))</f>
        <v>2022-23</v>
      </c>
      <c r="E215" t="str">
        <f>"Q"&amp;ROUNDUP(MONTH(Raw_Data!B215)/3,0)</f>
        <v>Q2</v>
      </c>
      <c r="F215" t="str">
        <f>TEXT(Raw_Data!B215,"mmm")</f>
        <v>May</v>
      </c>
      <c r="G215" t="str">
        <f>TEXT(Raw_Data!B215,"ddd")</f>
        <v>Fri</v>
      </c>
      <c r="H215" t="str">
        <f>Raw_Data!D215</f>
        <v>Invoiced</v>
      </c>
      <c r="I215" t="str">
        <f>Raw_Data!F215</f>
        <v>Walk-in Showroom</v>
      </c>
      <c r="J215" t="str">
        <f>Raw_Data!G215</f>
        <v>Adver. (TVC/Print/Hoarding/FM)</v>
      </c>
      <c r="K215" t="str">
        <f>IFERROR(VLOOKUP(J215,Source_Assumptions!$A:$C,2,0),"Unmapped")</f>
        <v>Traditional Advertising</v>
      </c>
      <c r="L215" t="str">
        <f>Raw_Data!H215</f>
        <v>JAZZ PE</v>
      </c>
      <c r="M215" t="str">
        <f>IFERROR(VLOOKUP(L215,Model_Assumptions!$A:$D,2,0),"Unmapped")</f>
        <v>Hatchback</v>
      </c>
      <c r="N215" t="str">
        <f>IFERROR(VLOOKUP(L215,Model_Assumptions!$A:$D,3,0),"Unmapped")</f>
        <v>Petrol</v>
      </c>
      <c r="O215">
        <f>IFERROR(VLOOKUP(L215,Model_Assumptions!$A:$D,4,0),0)</f>
        <v>800000</v>
      </c>
      <c r="P215">
        <f>IFERROR(VLOOKUP(J215,Source_Assumptions!$A:$C,3,0),0)</f>
        <v>1200</v>
      </c>
    </row>
    <row r="216" spans="1:16" x14ac:dyDescent="0.3">
      <c r="A216">
        <f>Raw_Data!A216</f>
        <v>215</v>
      </c>
      <c r="B216" s="2">
        <f>Raw_Data!B216</f>
        <v>44708.6713310185</v>
      </c>
      <c r="C216">
        <f>YEAR(Raw_Data!B216)</f>
        <v>2022</v>
      </c>
      <c r="D216" t="str">
        <f>IF(MONTH(Raw_Data!B216)&gt;=4,YEAR(Raw_Data!B216)&amp;"-"&amp;RIGHT(YEAR(Raw_Data!B216)+1,2),YEAR(Raw_Data!B216)-1&amp;"-"&amp;RIGHT(YEAR(Raw_Data!B216),2))</f>
        <v>2022-23</v>
      </c>
      <c r="E216" t="str">
        <f>"Q"&amp;ROUNDUP(MONTH(Raw_Data!B216)/3,0)</f>
        <v>Q2</v>
      </c>
      <c r="F216" t="str">
        <f>TEXT(Raw_Data!B216,"mmm")</f>
        <v>May</v>
      </c>
      <c r="G216" t="str">
        <f>TEXT(Raw_Data!B216,"ddd")</f>
        <v>Fri</v>
      </c>
      <c r="H216" t="str">
        <f>Raw_Data!D216</f>
        <v>Invoiced</v>
      </c>
      <c r="I216" t="str">
        <f>Raw_Data!F216</f>
        <v>Tele-in</v>
      </c>
      <c r="J216" t="str">
        <f>Raw_Data!G216</f>
        <v>Dealer Webpage Tele-In</v>
      </c>
      <c r="K216" t="str">
        <f>IFERROR(VLOOKUP(J216,Source_Assumptions!$A:$C,2,0),"Unmapped")</f>
        <v>Digital - Owned</v>
      </c>
      <c r="L216" t="str">
        <f>Raw_Data!H216</f>
        <v>AMAZE Petrol</v>
      </c>
      <c r="M216" t="str">
        <f>IFERROR(VLOOKUP(L216,Model_Assumptions!$A:$D,2,0),"Unmapped")</f>
        <v>Sub-4m Sedan</v>
      </c>
      <c r="N216" t="str">
        <f>IFERROR(VLOOKUP(L216,Model_Assumptions!$A:$D,3,0),"Unmapped")</f>
        <v>Petrol</v>
      </c>
      <c r="O216">
        <f>IFERROR(VLOOKUP(L216,Model_Assumptions!$A:$D,4,0),0)</f>
        <v>850000</v>
      </c>
      <c r="P216">
        <f>IFERROR(VLOOKUP(J216,Source_Assumptions!$A:$C,3,0),0)</f>
        <v>300</v>
      </c>
    </row>
    <row r="217" spans="1:16" x14ac:dyDescent="0.3">
      <c r="A217">
        <f>Raw_Data!A217</f>
        <v>216</v>
      </c>
      <c r="B217" s="2">
        <f>Raw_Data!B217</f>
        <v>44708.706990740699</v>
      </c>
      <c r="C217">
        <f>YEAR(Raw_Data!B217)</f>
        <v>2022</v>
      </c>
      <c r="D217" t="str">
        <f>IF(MONTH(Raw_Data!B217)&gt;=4,YEAR(Raw_Data!B217)&amp;"-"&amp;RIGHT(YEAR(Raw_Data!B217)+1,2),YEAR(Raw_Data!B217)-1&amp;"-"&amp;RIGHT(YEAR(Raw_Data!B217),2))</f>
        <v>2022-23</v>
      </c>
      <c r="E217" t="str">
        <f>"Q"&amp;ROUNDUP(MONTH(Raw_Data!B217)/3,0)</f>
        <v>Q2</v>
      </c>
      <c r="F217" t="str">
        <f>TEXT(Raw_Data!B217,"mmm")</f>
        <v>May</v>
      </c>
      <c r="G217" t="str">
        <f>TEXT(Raw_Data!B217,"ddd")</f>
        <v>Fri</v>
      </c>
      <c r="H217" t="str">
        <f>Raw_Data!D217</f>
        <v>Invoiced</v>
      </c>
      <c r="I217" t="str">
        <f>Raw_Data!F217</f>
        <v>Tele-in</v>
      </c>
      <c r="J217" t="str">
        <f>Raw_Data!G217</f>
        <v>Adver. (TVC/Print/Hoarding/FM)</v>
      </c>
      <c r="K217" t="str">
        <f>IFERROR(VLOOKUP(J217,Source_Assumptions!$A:$C,2,0),"Unmapped")</f>
        <v>Traditional Advertising</v>
      </c>
      <c r="L217" t="str">
        <f>Raw_Data!H217</f>
        <v>AMAZE Petrol</v>
      </c>
      <c r="M217" t="str">
        <f>IFERROR(VLOOKUP(L217,Model_Assumptions!$A:$D,2,0),"Unmapped")</f>
        <v>Sub-4m Sedan</v>
      </c>
      <c r="N217" t="str">
        <f>IFERROR(VLOOKUP(L217,Model_Assumptions!$A:$D,3,0),"Unmapped")</f>
        <v>Petrol</v>
      </c>
      <c r="O217">
        <f>IFERROR(VLOOKUP(L217,Model_Assumptions!$A:$D,4,0),0)</f>
        <v>850000</v>
      </c>
      <c r="P217">
        <f>IFERROR(VLOOKUP(J217,Source_Assumptions!$A:$C,3,0),0)</f>
        <v>1200</v>
      </c>
    </row>
    <row r="218" spans="1:16" x14ac:dyDescent="0.3">
      <c r="A218">
        <f>Raw_Data!A218</f>
        <v>217</v>
      </c>
      <c r="B218" s="2">
        <f>Raw_Data!B218</f>
        <v>44709.467881944503</v>
      </c>
      <c r="C218">
        <f>YEAR(Raw_Data!B218)</f>
        <v>2022</v>
      </c>
      <c r="D218" t="str">
        <f>IF(MONTH(Raw_Data!B218)&gt;=4,YEAR(Raw_Data!B218)&amp;"-"&amp;RIGHT(YEAR(Raw_Data!B218)+1,2),YEAR(Raw_Data!B218)-1&amp;"-"&amp;RIGHT(YEAR(Raw_Data!B218),2))</f>
        <v>2022-23</v>
      </c>
      <c r="E218" t="str">
        <f>"Q"&amp;ROUNDUP(MONTH(Raw_Data!B218)/3,0)</f>
        <v>Q2</v>
      </c>
      <c r="F218" t="str">
        <f>TEXT(Raw_Data!B218,"mmm")</f>
        <v>May</v>
      </c>
      <c r="G218" t="str">
        <f>TEXT(Raw_Data!B218,"ddd")</f>
        <v>Sat</v>
      </c>
      <c r="H218" t="str">
        <f>Raw_Data!D218</f>
        <v>Invoiced</v>
      </c>
      <c r="I218" t="str">
        <f>Raw_Data!F218</f>
        <v>Tele-in</v>
      </c>
      <c r="J218" t="str">
        <f>Raw_Data!G218</f>
        <v>Dealer Webpage Tele-In</v>
      </c>
      <c r="K218" t="str">
        <f>IFERROR(VLOOKUP(J218,Source_Assumptions!$A:$C,2,0),"Unmapped")</f>
        <v>Digital - Owned</v>
      </c>
      <c r="L218" t="str">
        <f>Raw_Data!H218</f>
        <v>5TH GEN CITY PE</v>
      </c>
      <c r="M218" t="str">
        <f>IFERROR(VLOOKUP(L218,Model_Assumptions!$A:$D,2,0),"Unmapped")</f>
        <v>Mid-size Sedan</v>
      </c>
      <c r="N218" t="str">
        <f>IFERROR(VLOOKUP(L218,Model_Assumptions!$A:$D,3,0),"Unmapped")</f>
        <v>Petrol</v>
      </c>
      <c r="O218">
        <f>IFERROR(VLOOKUP(L218,Model_Assumptions!$A:$D,4,0),0)</f>
        <v>1250000</v>
      </c>
      <c r="P218">
        <f>IFERROR(VLOOKUP(J218,Source_Assumptions!$A:$C,3,0),0)</f>
        <v>300</v>
      </c>
    </row>
    <row r="219" spans="1:16" x14ac:dyDescent="0.3">
      <c r="A219">
        <f>Raw_Data!A219</f>
        <v>218</v>
      </c>
      <c r="B219" s="2">
        <f>Raw_Data!B219</f>
        <v>44709.588483796302</v>
      </c>
      <c r="C219">
        <f>YEAR(Raw_Data!B219)</f>
        <v>2022</v>
      </c>
      <c r="D219" t="str">
        <f>IF(MONTH(Raw_Data!B219)&gt;=4,YEAR(Raw_Data!B219)&amp;"-"&amp;RIGHT(YEAR(Raw_Data!B219)+1,2),YEAR(Raw_Data!B219)-1&amp;"-"&amp;RIGHT(YEAR(Raw_Data!B219),2))</f>
        <v>2022-23</v>
      </c>
      <c r="E219" t="str">
        <f>"Q"&amp;ROUNDUP(MONTH(Raw_Data!B219)/3,0)</f>
        <v>Q2</v>
      </c>
      <c r="F219" t="str">
        <f>TEXT(Raw_Data!B219,"mmm")</f>
        <v>May</v>
      </c>
      <c r="G219" t="str">
        <f>TEXT(Raw_Data!B219,"ddd")</f>
        <v>Sat</v>
      </c>
      <c r="H219" t="str">
        <f>Raw_Data!D219</f>
        <v>Invoiced</v>
      </c>
      <c r="I219" t="str">
        <f>Raw_Data!F219</f>
        <v>SMS/ Tele-Out</v>
      </c>
      <c r="J219" t="str">
        <f>Raw_Data!G219</f>
        <v>Database Activity(Teleout/SMS)</v>
      </c>
      <c r="K219" t="str">
        <f>IFERROR(VLOOKUP(J219,Source_Assumptions!$A:$C,2,0),"Unmapped")</f>
        <v>Outbound/Database</v>
      </c>
      <c r="L219" t="str">
        <f>Raw_Data!H219</f>
        <v>5TH GEN CITY PE</v>
      </c>
      <c r="M219" t="str">
        <f>IFERROR(VLOOKUP(L219,Model_Assumptions!$A:$D,2,0),"Unmapped")</f>
        <v>Mid-size Sedan</v>
      </c>
      <c r="N219" t="str">
        <f>IFERROR(VLOOKUP(L219,Model_Assumptions!$A:$D,3,0),"Unmapped")</f>
        <v>Petrol</v>
      </c>
      <c r="O219">
        <f>IFERROR(VLOOKUP(L219,Model_Assumptions!$A:$D,4,0),0)</f>
        <v>1250000</v>
      </c>
      <c r="P219">
        <f>IFERROR(VLOOKUP(J219,Source_Assumptions!$A:$C,3,0),0)</f>
        <v>250</v>
      </c>
    </row>
    <row r="220" spans="1:16" x14ac:dyDescent="0.3">
      <c r="A220">
        <f>Raw_Data!A220</f>
        <v>219</v>
      </c>
      <c r="B220" s="2">
        <f>Raw_Data!B220</f>
        <v>44711.486365740697</v>
      </c>
      <c r="C220">
        <f>YEAR(Raw_Data!B220)</f>
        <v>2022</v>
      </c>
      <c r="D220" t="str">
        <f>IF(MONTH(Raw_Data!B220)&gt;=4,YEAR(Raw_Data!B220)&amp;"-"&amp;RIGHT(YEAR(Raw_Data!B220)+1,2),YEAR(Raw_Data!B220)-1&amp;"-"&amp;RIGHT(YEAR(Raw_Data!B220),2))</f>
        <v>2022-23</v>
      </c>
      <c r="E220" t="str">
        <f>"Q"&amp;ROUNDUP(MONTH(Raw_Data!B220)/3,0)</f>
        <v>Q2</v>
      </c>
      <c r="F220" t="str">
        <f>TEXT(Raw_Data!B220,"mmm")</f>
        <v>May</v>
      </c>
      <c r="G220" t="str">
        <f>TEXT(Raw_Data!B220,"ddd")</f>
        <v>Mon</v>
      </c>
      <c r="H220" t="str">
        <f>Raw_Data!D220</f>
        <v>Invoiced</v>
      </c>
      <c r="I220" t="str">
        <f>Raw_Data!F220</f>
        <v>Web Lead</v>
      </c>
      <c r="J220" t="str">
        <f>Raw_Data!G220</f>
        <v>Dealer Webpage Lead</v>
      </c>
      <c r="K220" t="str">
        <f>IFERROR(VLOOKUP(J220,Source_Assumptions!$A:$C,2,0),"Unmapped")</f>
        <v>Digital - Owned</v>
      </c>
      <c r="L220" t="str">
        <f>Raw_Data!H220</f>
        <v>AMAZE Petrol</v>
      </c>
      <c r="M220" t="str">
        <f>IFERROR(VLOOKUP(L220,Model_Assumptions!$A:$D,2,0),"Unmapped")</f>
        <v>Sub-4m Sedan</v>
      </c>
      <c r="N220" t="str">
        <f>IFERROR(VLOOKUP(L220,Model_Assumptions!$A:$D,3,0),"Unmapped")</f>
        <v>Petrol</v>
      </c>
      <c r="O220">
        <f>IFERROR(VLOOKUP(L220,Model_Assumptions!$A:$D,4,0),0)</f>
        <v>850000</v>
      </c>
      <c r="P220">
        <f>IFERROR(VLOOKUP(J220,Source_Assumptions!$A:$C,3,0),0)</f>
        <v>300</v>
      </c>
    </row>
    <row r="221" spans="1:16" x14ac:dyDescent="0.3">
      <c r="A221">
        <f>Raw_Data!A221</f>
        <v>220</v>
      </c>
      <c r="B221" s="2">
        <f>Raw_Data!B221</f>
        <v>44711.491168981498</v>
      </c>
      <c r="C221">
        <f>YEAR(Raw_Data!B221)</f>
        <v>2022</v>
      </c>
      <c r="D221" t="str">
        <f>IF(MONTH(Raw_Data!B221)&gt;=4,YEAR(Raw_Data!B221)&amp;"-"&amp;RIGHT(YEAR(Raw_Data!B221)+1,2),YEAR(Raw_Data!B221)-1&amp;"-"&amp;RIGHT(YEAR(Raw_Data!B221),2))</f>
        <v>2022-23</v>
      </c>
      <c r="E221" t="str">
        <f>"Q"&amp;ROUNDUP(MONTH(Raw_Data!B221)/3,0)</f>
        <v>Q2</v>
      </c>
      <c r="F221" t="str">
        <f>TEXT(Raw_Data!B221,"mmm")</f>
        <v>May</v>
      </c>
      <c r="G221" t="str">
        <f>TEXT(Raw_Data!B221,"ddd")</f>
        <v>Mon</v>
      </c>
      <c r="H221" t="str">
        <f>Raw_Data!D221</f>
        <v>Invoiced</v>
      </c>
      <c r="I221" t="str">
        <f>Raw_Data!F221</f>
        <v>SMS/ Tele-Out</v>
      </c>
      <c r="J221" t="str">
        <f>Raw_Data!G221</f>
        <v>Database Activity(Teleout/SMS)</v>
      </c>
      <c r="K221" t="str">
        <f>IFERROR(VLOOKUP(J221,Source_Assumptions!$A:$C,2,0),"Unmapped")</f>
        <v>Outbound/Database</v>
      </c>
      <c r="L221" t="str">
        <f>Raw_Data!H221</f>
        <v>WR-V PE</v>
      </c>
      <c r="M221" t="str">
        <f>IFERROR(VLOOKUP(L221,Model_Assumptions!$A:$D,2,0),"Unmapped")</f>
        <v>Compact SUV</v>
      </c>
      <c r="N221" t="str">
        <f>IFERROR(VLOOKUP(L221,Model_Assumptions!$A:$D,3,0),"Unmapped")</f>
        <v>Petrol</v>
      </c>
      <c r="O221">
        <f>IFERROR(VLOOKUP(L221,Model_Assumptions!$A:$D,4,0),0)</f>
        <v>950000</v>
      </c>
      <c r="P221">
        <f>IFERROR(VLOOKUP(J221,Source_Assumptions!$A:$C,3,0),0)</f>
        <v>250</v>
      </c>
    </row>
    <row r="222" spans="1:16" x14ac:dyDescent="0.3">
      <c r="A222">
        <f>Raw_Data!A222</f>
        <v>221</v>
      </c>
      <c r="B222" s="2">
        <f>Raw_Data!B222</f>
        <v>44711.532766203702</v>
      </c>
      <c r="C222">
        <f>YEAR(Raw_Data!B222)</f>
        <v>2022</v>
      </c>
      <c r="D222" t="str">
        <f>IF(MONTH(Raw_Data!B222)&gt;=4,YEAR(Raw_Data!B222)&amp;"-"&amp;RIGHT(YEAR(Raw_Data!B222)+1,2),YEAR(Raw_Data!B222)-1&amp;"-"&amp;RIGHT(YEAR(Raw_Data!B222),2))</f>
        <v>2022-23</v>
      </c>
      <c r="E222" t="str">
        <f>"Q"&amp;ROUNDUP(MONTH(Raw_Data!B222)/3,0)</f>
        <v>Q2</v>
      </c>
      <c r="F222" t="str">
        <f>TEXT(Raw_Data!B222,"mmm")</f>
        <v>May</v>
      </c>
      <c r="G222" t="str">
        <f>TEXT(Raw_Data!B222,"ddd")</f>
        <v>Mon</v>
      </c>
      <c r="H222" t="str">
        <f>Raw_Data!D222</f>
        <v>Invoiced</v>
      </c>
      <c r="I222" t="str">
        <f>Raw_Data!F222</f>
        <v>Web Lead</v>
      </c>
      <c r="J222" t="str">
        <f>Raw_Data!G222</f>
        <v>Web_Facebook</v>
      </c>
      <c r="K222" t="str">
        <f>IFERROR(VLOOKUP(J222,Source_Assumptions!$A:$C,2,0),"Unmapped")</f>
        <v>Digital - Paid Social</v>
      </c>
      <c r="L222" t="str">
        <f>Raw_Data!H222</f>
        <v>CITY PE</v>
      </c>
      <c r="M222" t="str">
        <f>IFERROR(VLOOKUP(L222,Model_Assumptions!$A:$D,2,0),"Unmapped")</f>
        <v>Mid-size Sedan</v>
      </c>
      <c r="N222" t="str">
        <f>IFERROR(VLOOKUP(L222,Model_Assumptions!$A:$D,3,0),"Unmapped")</f>
        <v>Petrol</v>
      </c>
      <c r="O222">
        <f>IFERROR(VLOOKUP(L222,Model_Assumptions!$A:$D,4,0),0)</f>
        <v>1100000</v>
      </c>
      <c r="P222">
        <f>IFERROR(VLOOKUP(J222,Source_Assumptions!$A:$C,3,0),0)</f>
        <v>600</v>
      </c>
    </row>
    <row r="223" spans="1:16" x14ac:dyDescent="0.3">
      <c r="A223">
        <f>Raw_Data!A223</f>
        <v>222</v>
      </c>
      <c r="B223" s="2">
        <f>Raw_Data!B223</f>
        <v>44711.5636689815</v>
      </c>
      <c r="C223">
        <f>YEAR(Raw_Data!B223)</f>
        <v>2022</v>
      </c>
      <c r="D223" t="str">
        <f>IF(MONTH(Raw_Data!B223)&gt;=4,YEAR(Raw_Data!B223)&amp;"-"&amp;RIGHT(YEAR(Raw_Data!B223)+1,2),YEAR(Raw_Data!B223)-1&amp;"-"&amp;RIGHT(YEAR(Raw_Data!B223),2))</f>
        <v>2022-23</v>
      </c>
      <c r="E223" t="str">
        <f>"Q"&amp;ROUNDUP(MONTH(Raw_Data!B223)/3,0)</f>
        <v>Q2</v>
      </c>
      <c r="F223" t="str">
        <f>TEXT(Raw_Data!B223,"mmm")</f>
        <v>May</v>
      </c>
      <c r="G223" t="str">
        <f>TEXT(Raw_Data!B223,"ddd")</f>
        <v>Mon</v>
      </c>
      <c r="H223" t="str">
        <f>Raw_Data!D223</f>
        <v>Invoiced</v>
      </c>
      <c r="I223" t="str">
        <f>Raw_Data!F223</f>
        <v>Tele-in</v>
      </c>
      <c r="J223" t="str">
        <f>Raw_Data!G223</f>
        <v>Dealer Webpage Tele-In</v>
      </c>
      <c r="K223" t="str">
        <f>IFERROR(VLOOKUP(J223,Source_Assumptions!$A:$C,2,0),"Unmapped")</f>
        <v>Digital - Owned</v>
      </c>
      <c r="L223" t="str">
        <f>Raw_Data!H223</f>
        <v>AMAZE Petrol</v>
      </c>
      <c r="M223" t="str">
        <f>IFERROR(VLOOKUP(L223,Model_Assumptions!$A:$D,2,0),"Unmapped")</f>
        <v>Sub-4m Sedan</v>
      </c>
      <c r="N223" t="str">
        <f>IFERROR(VLOOKUP(L223,Model_Assumptions!$A:$D,3,0),"Unmapped")</f>
        <v>Petrol</v>
      </c>
      <c r="O223">
        <f>IFERROR(VLOOKUP(L223,Model_Assumptions!$A:$D,4,0),0)</f>
        <v>850000</v>
      </c>
      <c r="P223">
        <f>IFERROR(VLOOKUP(J223,Source_Assumptions!$A:$C,3,0),0)</f>
        <v>300</v>
      </c>
    </row>
    <row r="224" spans="1:16" x14ac:dyDescent="0.3">
      <c r="A224">
        <f>Raw_Data!A224</f>
        <v>223</v>
      </c>
      <c r="B224" s="2">
        <f>Raw_Data!B224</f>
        <v>44711.597361111097</v>
      </c>
      <c r="C224">
        <f>YEAR(Raw_Data!B224)</f>
        <v>2022</v>
      </c>
      <c r="D224" t="str">
        <f>IF(MONTH(Raw_Data!B224)&gt;=4,YEAR(Raw_Data!B224)&amp;"-"&amp;RIGHT(YEAR(Raw_Data!B224)+1,2),YEAR(Raw_Data!B224)-1&amp;"-"&amp;RIGHT(YEAR(Raw_Data!B224),2))</f>
        <v>2022-23</v>
      </c>
      <c r="E224" t="str">
        <f>"Q"&amp;ROUNDUP(MONTH(Raw_Data!B224)/3,0)</f>
        <v>Q2</v>
      </c>
      <c r="F224" t="str">
        <f>TEXT(Raw_Data!B224,"mmm")</f>
        <v>May</v>
      </c>
      <c r="G224" t="str">
        <f>TEXT(Raw_Data!B224,"ddd")</f>
        <v>Mon</v>
      </c>
      <c r="H224" t="str">
        <f>Raw_Data!D224</f>
        <v>Invoiced</v>
      </c>
      <c r="I224" t="str">
        <f>Raw_Data!F224</f>
        <v>SMS/ Tele-Out</v>
      </c>
      <c r="J224" t="str">
        <f>Raw_Data!G224</f>
        <v>Database Activity(Teleout/SMS)</v>
      </c>
      <c r="K224" t="str">
        <f>IFERROR(VLOOKUP(J224,Source_Assumptions!$A:$C,2,0),"Unmapped")</f>
        <v>Outbound/Database</v>
      </c>
      <c r="L224" t="str">
        <f>Raw_Data!H224</f>
        <v>5TH GEN CITY PE</v>
      </c>
      <c r="M224" t="str">
        <f>IFERROR(VLOOKUP(L224,Model_Assumptions!$A:$D,2,0),"Unmapped")</f>
        <v>Mid-size Sedan</v>
      </c>
      <c r="N224" t="str">
        <f>IFERROR(VLOOKUP(L224,Model_Assumptions!$A:$D,3,0),"Unmapped")</f>
        <v>Petrol</v>
      </c>
      <c r="O224">
        <f>IFERROR(VLOOKUP(L224,Model_Assumptions!$A:$D,4,0),0)</f>
        <v>1250000</v>
      </c>
      <c r="P224">
        <f>IFERROR(VLOOKUP(J224,Source_Assumptions!$A:$C,3,0),0)</f>
        <v>250</v>
      </c>
    </row>
    <row r="225" spans="1:16" x14ac:dyDescent="0.3">
      <c r="A225">
        <f>Raw_Data!A225</f>
        <v>224</v>
      </c>
      <c r="B225" s="2">
        <f>Raw_Data!B225</f>
        <v>44711.715393518498</v>
      </c>
      <c r="C225">
        <f>YEAR(Raw_Data!B225)</f>
        <v>2022</v>
      </c>
      <c r="D225" t="str">
        <f>IF(MONTH(Raw_Data!B225)&gt;=4,YEAR(Raw_Data!B225)&amp;"-"&amp;RIGHT(YEAR(Raw_Data!B225)+1,2),YEAR(Raw_Data!B225)-1&amp;"-"&amp;RIGHT(YEAR(Raw_Data!B225),2))</f>
        <v>2022-23</v>
      </c>
      <c r="E225" t="str">
        <f>"Q"&amp;ROUNDUP(MONTH(Raw_Data!B225)/3,0)</f>
        <v>Q2</v>
      </c>
      <c r="F225" t="str">
        <f>TEXT(Raw_Data!B225,"mmm")</f>
        <v>May</v>
      </c>
      <c r="G225" t="str">
        <f>TEXT(Raw_Data!B225,"ddd")</f>
        <v>Mon</v>
      </c>
      <c r="H225" t="str">
        <f>Raw_Data!D225</f>
        <v>Invoiced</v>
      </c>
      <c r="I225" t="str">
        <f>Raw_Data!F225</f>
        <v>Tele-in</v>
      </c>
      <c r="J225" t="str">
        <f>Raw_Data!G225</f>
        <v>Referral-CAM</v>
      </c>
      <c r="K225" t="str">
        <f>IFERROR(VLOOKUP(J225,Source_Assumptions!$A:$C,2,0),"Unmapped")</f>
        <v>Referral</v>
      </c>
      <c r="L225" t="str">
        <f>Raw_Data!H225</f>
        <v>5TH GEN CITY e:HEV</v>
      </c>
      <c r="M225" t="str">
        <f>IFERROR(VLOOKUP(L225,Model_Assumptions!$A:$D,2,0),"Unmapped")</f>
        <v>Mid-size Sedan</v>
      </c>
      <c r="N225" t="str">
        <f>IFERROR(VLOOKUP(L225,Model_Assumptions!$A:$D,3,0),"Unmapped")</f>
        <v>Hybrid</v>
      </c>
      <c r="O225">
        <f>IFERROR(VLOOKUP(L225,Model_Assumptions!$A:$D,4,0),0)</f>
        <v>1950000</v>
      </c>
      <c r="P225">
        <f>IFERROR(VLOOKUP(J225,Source_Assumptions!$A:$C,3,0),0)</f>
        <v>150</v>
      </c>
    </row>
    <row r="226" spans="1:16" x14ac:dyDescent="0.3">
      <c r="A226">
        <f>Raw_Data!A226</f>
        <v>225</v>
      </c>
      <c r="B226" s="2">
        <f>Raw_Data!B226</f>
        <v>44711.727939814802</v>
      </c>
      <c r="C226">
        <f>YEAR(Raw_Data!B226)</f>
        <v>2022</v>
      </c>
      <c r="D226" t="str">
        <f>IF(MONTH(Raw_Data!B226)&gt;=4,YEAR(Raw_Data!B226)&amp;"-"&amp;RIGHT(YEAR(Raw_Data!B226)+1,2),YEAR(Raw_Data!B226)-1&amp;"-"&amp;RIGHT(YEAR(Raw_Data!B226),2))</f>
        <v>2022-23</v>
      </c>
      <c r="E226" t="str">
        <f>"Q"&amp;ROUNDUP(MONTH(Raw_Data!B226)/3,0)</f>
        <v>Q2</v>
      </c>
      <c r="F226" t="str">
        <f>TEXT(Raw_Data!B226,"mmm")</f>
        <v>May</v>
      </c>
      <c r="G226" t="str">
        <f>TEXT(Raw_Data!B226,"ddd")</f>
        <v>Mon</v>
      </c>
      <c r="H226" t="str">
        <f>Raw_Data!D226</f>
        <v>Invoiced</v>
      </c>
      <c r="I226" t="str">
        <f>Raw_Data!F226</f>
        <v>Web Lead</v>
      </c>
      <c r="J226" t="str">
        <f>Raw_Data!G226</f>
        <v>Web_Facebook</v>
      </c>
      <c r="K226" t="str">
        <f>IFERROR(VLOOKUP(J226,Source_Assumptions!$A:$C,2,0),"Unmapped")</f>
        <v>Digital - Paid Social</v>
      </c>
      <c r="L226" t="str">
        <f>Raw_Data!H226</f>
        <v>AMAZE Petrol</v>
      </c>
      <c r="M226" t="str">
        <f>IFERROR(VLOOKUP(L226,Model_Assumptions!$A:$D,2,0),"Unmapped")</f>
        <v>Sub-4m Sedan</v>
      </c>
      <c r="N226" t="str">
        <f>IFERROR(VLOOKUP(L226,Model_Assumptions!$A:$D,3,0),"Unmapped")</f>
        <v>Petrol</v>
      </c>
      <c r="O226">
        <f>IFERROR(VLOOKUP(L226,Model_Assumptions!$A:$D,4,0),0)</f>
        <v>850000</v>
      </c>
      <c r="P226">
        <f>IFERROR(VLOOKUP(J226,Source_Assumptions!$A:$C,3,0),0)</f>
        <v>600</v>
      </c>
    </row>
    <row r="227" spans="1:16" x14ac:dyDescent="0.3">
      <c r="A227">
        <f>Raw_Data!A227</f>
        <v>226</v>
      </c>
      <c r="B227" s="2">
        <f>Raw_Data!B227</f>
        <v>44712.461597222202</v>
      </c>
      <c r="C227">
        <f>YEAR(Raw_Data!B227)</f>
        <v>2022</v>
      </c>
      <c r="D227" t="str">
        <f>IF(MONTH(Raw_Data!B227)&gt;=4,YEAR(Raw_Data!B227)&amp;"-"&amp;RIGHT(YEAR(Raw_Data!B227)+1,2),YEAR(Raw_Data!B227)-1&amp;"-"&amp;RIGHT(YEAR(Raw_Data!B227),2))</f>
        <v>2022-23</v>
      </c>
      <c r="E227" t="str">
        <f>"Q"&amp;ROUNDUP(MONTH(Raw_Data!B227)/3,0)</f>
        <v>Q2</v>
      </c>
      <c r="F227" t="str">
        <f>TEXT(Raw_Data!B227,"mmm")</f>
        <v>May</v>
      </c>
      <c r="G227" t="str">
        <f>TEXT(Raw_Data!B227,"ddd")</f>
        <v>Tue</v>
      </c>
      <c r="H227" t="str">
        <f>Raw_Data!D227</f>
        <v>Invoiced</v>
      </c>
      <c r="I227" t="str">
        <f>Raw_Data!F227</f>
        <v>Tele-in</v>
      </c>
      <c r="J227" t="str">
        <f>Raw_Data!G227</f>
        <v>Referral-CAM</v>
      </c>
      <c r="K227" t="str">
        <f>IFERROR(VLOOKUP(J227,Source_Assumptions!$A:$C,2,0),"Unmapped")</f>
        <v>Referral</v>
      </c>
      <c r="L227" t="str">
        <f>Raw_Data!H227</f>
        <v>JAZZ PE</v>
      </c>
      <c r="M227" t="str">
        <f>IFERROR(VLOOKUP(L227,Model_Assumptions!$A:$D,2,0),"Unmapped")</f>
        <v>Hatchback</v>
      </c>
      <c r="N227" t="str">
        <f>IFERROR(VLOOKUP(L227,Model_Assumptions!$A:$D,3,0),"Unmapped")</f>
        <v>Petrol</v>
      </c>
      <c r="O227">
        <f>IFERROR(VLOOKUP(L227,Model_Assumptions!$A:$D,4,0),0)</f>
        <v>800000</v>
      </c>
      <c r="P227">
        <f>IFERROR(VLOOKUP(J227,Source_Assumptions!$A:$C,3,0),0)</f>
        <v>150</v>
      </c>
    </row>
    <row r="228" spans="1:16" x14ac:dyDescent="0.3">
      <c r="A228">
        <f>Raw_Data!A228</f>
        <v>227</v>
      </c>
      <c r="B228" s="2">
        <f>Raw_Data!B228</f>
        <v>44712.512858796297</v>
      </c>
      <c r="C228">
        <f>YEAR(Raw_Data!B228)</f>
        <v>2022</v>
      </c>
      <c r="D228" t="str">
        <f>IF(MONTH(Raw_Data!B228)&gt;=4,YEAR(Raw_Data!B228)&amp;"-"&amp;RIGHT(YEAR(Raw_Data!B228)+1,2),YEAR(Raw_Data!B228)-1&amp;"-"&amp;RIGHT(YEAR(Raw_Data!B228),2))</f>
        <v>2022-23</v>
      </c>
      <c r="E228" t="str">
        <f>"Q"&amp;ROUNDUP(MONTH(Raw_Data!B228)/3,0)</f>
        <v>Q2</v>
      </c>
      <c r="F228" t="str">
        <f>TEXT(Raw_Data!B228,"mmm")</f>
        <v>May</v>
      </c>
      <c r="G228" t="str">
        <f>TEXT(Raw_Data!B228,"ddd")</f>
        <v>Tue</v>
      </c>
      <c r="H228" t="str">
        <f>Raw_Data!D228</f>
        <v>Invoiced</v>
      </c>
      <c r="I228" t="str">
        <f>Raw_Data!F228</f>
        <v>SMS/ Tele-Out</v>
      </c>
      <c r="J228" t="str">
        <f>Raw_Data!G228</f>
        <v>Database Activity(Teleout/SMS)</v>
      </c>
      <c r="K228" t="str">
        <f>IFERROR(VLOOKUP(J228,Source_Assumptions!$A:$C,2,0),"Unmapped")</f>
        <v>Outbound/Database</v>
      </c>
      <c r="L228" t="str">
        <f>Raw_Data!H228</f>
        <v>JAZZ PE</v>
      </c>
      <c r="M228" t="str">
        <f>IFERROR(VLOOKUP(L228,Model_Assumptions!$A:$D,2,0),"Unmapped")</f>
        <v>Hatchback</v>
      </c>
      <c r="N228" t="str">
        <f>IFERROR(VLOOKUP(L228,Model_Assumptions!$A:$D,3,0),"Unmapped")</f>
        <v>Petrol</v>
      </c>
      <c r="O228">
        <f>IFERROR(VLOOKUP(L228,Model_Assumptions!$A:$D,4,0),0)</f>
        <v>800000</v>
      </c>
      <c r="P228">
        <f>IFERROR(VLOOKUP(J228,Source_Assumptions!$A:$C,3,0),0)</f>
        <v>250</v>
      </c>
    </row>
    <row r="229" spans="1:16" x14ac:dyDescent="0.3">
      <c r="A229">
        <f>Raw_Data!A229</f>
        <v>228</v>
      </c>
      <c r="B229" s="2">
        <f>Raw_Data!B229</f>
        <v>44712.525671296302</v>
      </c>
      <c r="C229">
        <f>YEAR(Raw_Data!B229)</f>
        <v>2022</v>
      </c>
      <c r="D229" t="str">
        <f>IF(MONTH(Raw_Data!B229)&gt;=4,YEAR(Raw_Data!B229)&amp;"-"&amp;RIGHT(YEAR(Raw_Data!B229)+1,2),YEAR(Raw_Data!B229)-1&amp;"-"&amp;RIGHT(YEAR(Raw_Data!B229),2))</f>
        <v>2022-23</v>
      </c>
      <c r="E229" t="str">
        <f>"Q"&amp;ROUNDUP(MONTH(Raw_Data!B229)/3,0)</f>
        <v>Q2</v>
      </c>
      <c r="F229" t="str">
        <f>TEXT(Raw_Data!B229,"mmm")</f>
        <v>May</v>
      </c>
      <c r="G229" t="str">
        <f>TEXT(Raw_Data!B229,"ddd")</f>
        <v>Tue</v>
      </c>
      <c r="H229" t="str">
        <f>Raw_Data!D229</f>
        <v>Invoiced</v>
      </c>
      <c r="I229" t="str">
        <f>Raw_Data!F229</f>
        <v>Tele-in</v>
      </c>
      <c r="J229" t="str">
        <f>Raw_Data!G229</f>
        <v>Dealer Webpage Tele-In</v>
      </c>
      <c r="K229" t="str">
        <f>IFERROR(VLOOKUP(J229,Source_Assumptions!$A:$C,2,0),"Unmapped")</f>
        <v>Digital - Owned</v>
      </c>
      <c r="L229" t="str">
        <f>Raw_Data!H229</f>
        <v>AMAZE Petrol</v>
      </c>
      <c r="M229" t="str">
        <f>IFERROR(VLOOKUP(L229,Model_Assumptions!$A:$D,2,0),"Unmapped")</f>
        <v>Sub-4m Sedan</v>
      </c>
      <c r="N229" t="str">
        <f>IFERROR(VLOOKUP(L229,Model_Assumptions!$A:$D,3,0),"Unmapped")</f>
        <v>Petrol</v>
      </c>
      <c r="O229">
        <f>IFERROR(VLOOKUP(L229,Model_Assumptions!$A:$D,4,0),0)</f>
        <v>850000</v>
      </c>
      <c r="P229">
        <f>IFERROR(VLOOKUP(J229,Source_Assumptions!$A:$C,3,0),0)</f>
        <v>300</v>
      </c>
    </row>
    <row r="230" spans="1:16" x14ac:dyDescent="0.3">
      <c r="A230">
        <f>Raw_Data!A230</f>
        <v>229</v>
      </c>
      <c r="B230" s="2">
        <f>Raw_Data!B230</f>
        <v>44712.5327314815</v>
      </c>
      <c r="C230">
        <f>YEAR(Raw_Data!B230)</f>
        <v>2022</v>
      </c>
      <c r="D230" t="str">
        <f>IF(MONTH(Raw_Data!B230)&gt;=4,YEAR(Raw_Data!B230)&amp;"-"&amp;RIGHT(YEAR(Raw_Data!B230)+1,2),YEAR(Raw_Data!B230)-1&amp;"-"&amp;RIGHT(YEAR(Raw_Data!B230),2))</f>
        <v>2022-23</v>
      </c>
      <c r="E230" t="str">
        <f>"Q"&amp;ROUNDUP(MONTH(Raw_Data!B230)/3,0)</f>
        <v>Q2</v>
      </c>
      <c r="F230" t="str">
        <f>TEXT(Raw_Data!B230,"mmm")</f>
        <v>May</v>
      </c>
      <c r="G230" t="str">
        <f>TEXT(Raw_Data!B230,"ddd")</f>
        <v>Tue</v>
      </c>
      <c r="H230" t="str">
        <f>Raw_Data!D230</f>
        <v>Invoiced</v>
      </c>
      <c r="I230" t="str">
        <f>Raw_Data!F230</f>
        <v>Tele-in</v>
      </c>
      <c r="J230" t="str">
        <f>Raw_Data!G230</f>
        <v>Dealer Webpage Tele-In</v>
      </c>
      <c r="K230" t="str">
        <f>IFERROR(VLOOKUP(J230,Source_Assumptions!$A:$C,2,0),"Unmapped")</f>
        <v>Digital - Owned</v>
      </c>
      <c r="L230" t="str">
        <f>Raw_Data!H230</f>
        <v>JAZZ PE</v>
      </c>
      <c r="M230" t="str">
        <f>IFERROR(VLOOKUP(L230,Model_Assumptions!$A:$D,2,0),"Unmapped")</f>
        <v>Hatchback</v>
      </c>
      <c r="N230" t="str">
        <f>IFERROR(VLOOKUP(L230,Model_Assumptions!$A:$D,3,0),"Unmapped")</f>
        <v>Petrol</v>
      </c>
      <c r="O230">
        <f>IFERROR(VLOOKUP(L230,Model_Assumptions!$A:$D,4,0),0)</f>
        <v>800000</v>
      </c>
      <c r="P230">
        <f>IFERROR(VLOOKUP(J230,Source_Assumptions!$A:$C,3,0),0)</f>
        <v>300</v>
      </c>
    </row>
    <row r="231" spans="1:16" x14ac:dyDescent="0.3">
      <c r="A231">
        <f>Raw_Data!A231</f>
        <v>230</v>
      </c>
      <c r="B231" s="2">
        <f>Raw_Data!B231</f>
        <v>44712.682766203703</v>
      </c>
      <c r="C231">
        <f>YEAR(Raw_Data!B231)</f>
        <v>2022</v>
      </c>
      <c r="D231" t="str">
        <f>IF(MONTH(Raw_Data!B231)&gt;=4,YEAR(Raw_Data!B231)&amp;"-"&amp;RIGHT(YEAR(Raw_Data!B231)+1,2),YEAR(Raw_Data!B231)-1&amp;"-"&amp;RIGHT(YEAR(Raw_Data!B231),2))</f>
        <v>2022-23</v>
      </c>
      <c r="E231" t="str">
        <f>"Q"&amp;ROUNDUP(MONTH(Raw_Data!B231)/3,0)</f>
        <v>Q2</v>
      </c>
      <c r="F231" t="str">
        <f>TEXT(Raw_Data!B231,"mmm")</f>
        <v>May</v>
      </c>
      <c r="G231" t="str">
        <f>TEXT(Raw_Data!B231,"ddd")</f>
        <v>Tue</v>
      </c>
      <c r="H231" t="str">
        <f>Raw_Data!D231</f>
        <v>Invoiced</v>
      </c>
      <c r="I231" t="str">
        <f>Raw_Data!F231</f>
        <v>Tele-in</v>
      </c>
      <c r="J231" t="str">
        <f>Raw_Data!G231</f>
        <v>Dealer Webpage Tele-In</v>
      </c>
      <c r="K231" t="str">
        <f>IFERROR(VLOOKUP(J231,Source_Assumptions!$A:$C,2,0),"Unmapped")</f>
        <v>Digital - Owned</v>
      </c>
      <c r="L231" t="str">
        <f>Raw_Data!H231</f>
        <v>5TH GEN CITY PE</v>
      </c>
      <c r="M231" t="str">
        <f>IFERROR(VLOOKUP(L231,Model_Assumptions!$A:$D,2,0),"Unmapped")</f>
        <v>Mid-size Sedan</v>
      </c>
      <c r="N231" t="str">
        <f>IFERROR(VLOOKUP(L231,Model_Assumptions!$A:$D,3,0),"Unmapped")</f>
        <v>Petrol</v>
      </c>
      <c r="O231">
        <f>IFERROR(VLOOKUP(L231,Model_Assumptions!$A:$D,4,0),0)</f>
        <v>1250000</v>
      </c>
      <c r="P231">
        <f>IFERROR(VLOOKUP(J231,Source_Assumptions!$A:$C,3,0),0)</f>
        <v>300</v>
      </c>
    </row>
    <row r="232" spans="1:16" x14ac:dyDescent="0.3">
      <c r="A232">
        <f>Raw_Data!A232</f>
        <v>231</v>
      </c>
      <c r="B232" s="2">
        <f>Raw_Data!B232</f>
        <v>44712.690625000003</v>
      </c>
      <c r="C232">
        <f>YEAR(Raw_Data!B232)</f>
        <v>2022</v>
      </c>
      <c r="D232" t="str">
        <f>IF(MONTH(Raw_Data!B232)&gt;=4,YEAR(Raw_Data!B232)&amp;"-"&amp;RIGHT(YEAR(Raw_Data!B232)+1,2),YEAR(Raw_Data!B232)-1&amp;"-"&amp;RIGHT(YEAR(Raw_Data!B232),2))</f>
        <v>2022-23</v>
      </c>
      <c r="E232" t="str">
        <f>"Q"&amp;ROUNDUP(MONTH(Raw_Data!B232)/3,0)</f>
        <v>Q2</v>
      </c>
      <c r="F232" t="str">
        <f>TEXT(Raw_Data!B232,"mmm")</f>
        <v>May</v>
      </c>
      <c r="G232" t="str">
        <f>TEXT(Raw_Data!B232,"ddd")</f>
        <v>Tue</v>
      </c>
      <c r="H232" t="str">
        <f>Raw_Data!D232</f>
        <v>Invoiced</v>
      </c>
      <c r="I232" t="str">
        <f>Raw_Data!F232</f>
        <v>Tele-in</v>
      </c>
      <c r="J232" t="str">
        <f>Raw_Data!G232</f>
        <v>Dealer Webpage Tele-In</v>
      </c>
      <c r="K232" t="str">
        <f>IFERROR(VLOOKUP(J232,Source_Assumptions!$A:$C,2,0),"Unmapped")</f>
        <v>Digital - Owned</v>
      </c>
      <c r="L232" t="str">
        <f>Raw_Data!H232</f>
        <v>AMAZE Petrol</v>
      </c>
      <c r="M232" t="str">
        <f>IFERROR(VLOOKUP(L232,Model_Assumptions!$A:$D,2,0),"Unmapped")</f>
        <v>Sub-4m Sedan</v>
      </c>
      <c r="N232" t="str">
        <f>IFERROR(VLOOKUP(L232,Model_Assumptions!$A:$D,3,0),"Unmapped")</f>
        <v>Petrol</v>
      </c>
      <c r="O232">
        <f>IFERROR(VLOOKUP(L232,Model_Assumptions!$A:$D,4,0),0)</f>
        <v>850000</v>
      </c>
      <c r="P232">
        <f>IFERROR(VLOOKUP(J232,Source_Assumptions!$A:$C,3,0),0)</f>
        <v>300</v>
      </c>
    </row>
    <row r="233" spans="1:16" x14ac:dyDescent="0.3">
      <c r="A233">
        <f>Raw_Data!A233</f>
        <v>232</v>
      </c>
      <c r="B233" s="2">
        <f>Raw_Data!B233</f>
        <v>44713.629965277803</v>
      </c>
      <c r="C233">
        <f>YEAR(Raw_Data!B233)</f>
        <v>2022</v>
      </c>
      <c r="D233" t="str">
        <f>IF(MONTH(Raw_Data!B233)&gt;=4,YEAR(Raw_Data!B233)&amp;"-"&amp;RIGHT(YEAR(Raw_Data!B233)+1,2),YEAR(Raw_Data!B233)-1&amp;"-"&amp;RIGHT(YEAR(Raw_Data!B233),2))</f>
        <v>2022-23</v>
      </c>
      <c r="E233" t="str">
        <f>"Q"&amp;ROUNDUP(MONTH(Raw_Data!B233)/3,0)</f>
        <v>Q2</v>
      </c>
      <c r="F233" t="str">
        <f>TEXT(Raw_Data!B233,"mmm")</f>
        <v>Jun</v>
      </c>
      <c r="G233" t="str">
        <f>TEXT(Raw_Data!B233,"ddd")</f>
        <v>Wed</v>
      </c>
      <c r="H233" t="str">
        <f>Raw_Data!D233</f>
        <v>Invoiced</v>
      </c>
      <c r="I233" t="str">
        <f>Raw_Data!F233</f>
        <v>SMS/ Tele-Out</v>
      </c>
      <c r="J233" t="str">
        <f>Raw_Data!G233</f>
        <v>Database Activity(Teleout/SMS)</v>
      </c>
      <c r="K233" t="str">
        <f>IFERROR(VLOOKUP(J233,Source_Assumptions!$A:$C,2,0),"Unmapped")</f>
        <v>Outbound/Database</v>
      </c>
      <c r="L233" t="str">
        <f>Raw_Data!H233</f>
        <v>5TH GEN CITY PE</v>
      </c>
      <c r="M233" t="str">
        <f>IFERROR(VLOOKUP(L233,Model_Assumptions!$A:$D,2,0),"Unmapped")</f>
        <v>Mid-size Sedan</v>
      </c>
      <c r="N233" t="str">
        <f>IFERROR(VLOOKUP(L233,Model_Assumptions!$A:$D,3,0),"Unmapped")</f>
        <v>Petrol</v>
      </c>
      <c r="O233">
        <f>IFERROR(VLOOKUP(L233,Model_Assumptions!$A:$D,4,0),0)</f>
        <v>1250000</v>
      </c>
      <c r="P233">
        <f>IFERROR(VLOOKUP(J233,Source_Assumptions!$A:$C,3,0),0)</f>
        <v>250</v>
      </c>
    </row>
    <row r="234" spans="1:16" x14ac:dyDescent="0.3">
      <c r="A234">
        <f>Raw_Data!A234</f>
        <v>233</v>
      </c>
      <c r="B234" s="2">
        <f>Raw_Data!B234</f>
        <v>44714.503449074102</v>
      </c>
      <c r="C234">
        <f>YEAR(Raw_Data!B234)</f>
        <v>2022</v>
      </c>
      <c r="D234" t="str">
        <f>IF(MONTH(Raw_Data!B234)&gt;=4,YEAR(Raw_Data!B234)&amp;"-"&amp;RIGHT(YEAR(Raw_Data!B234)+1,2),YEAR(Raw_Data!B234)-1&amp;"-"&amp;RIGHT(YEAR(Raw_Data!B234),2))</f>
        <v>2022-23</v>
      </c>
      <c r="E234" t="str">
        <f>"Q"&amp;ROUNDUP(MONTH(Raw_Data!B234)/3,0)</f>
        <v>Q2</v>
      </c>
      <c r="F234" t="str">
        <f>TEXT(Raw_Data!B234,"mmm")</f>
        <v>Jun</v>
      </c>
      <c r="G234" t="str">
        <f>TEXT(Raw_Data!B234,"ddd")</f>
        <v>Thu</v>
      </c>
      <c r="H234" t="str">
        <f>Raw_Data!D234</f>
        <v>Invoiced</v>
      </c>
      <c r="I234" t="str">
        <f>Raw_Data!F234</f>
        <v>Web Lead</v>
      </c>
      <c r="J234" t="str">
        <f>Raw_Data!G234</f>
        <v>Web</v>
      </c>
      <c r="K234" t="str">
        <f>IFERROR(VLOOKUP(J234,Source_Assumptions!$A:$C,2,0),"Unmapped")</f>
        <v>Digital - Owned</v>
      </c>
      <c r="L234" t="str">
        <f>Raw_Data!H234</f>
        <v>CITY PE</v>
      </c>
      <c r="M234" t="str">
        <f>IFERROR(VLOOKUP(L234,Model_Assumptions!$A:$D,2,0),"Unmapped")</f>
        <v>Mid-size Sedan</v>
      </c>
      <c r="N234" t="str">
        <f>IFERROR(VLOOKUP(L234,Model_Assumptions!$A:$D,3,0),"Unmapped")</f>
        <v>Petrol</v>
      </c>
      <c r="O234">
        <f>IFERROR(VLOOKUP(L234,Model_Assumptions!$A:$D,4,0),0)</f>
        <v>1100000</v>
      </c>
      <c r="P234">
        <f>IFERROR(VLOOKUP(J234,Source_Assumptions!$A:$C,3,0),0)</f>
        <v>300</v>
      </c>
    </row>
    <row r="235" spans="1:16" x14ac:dyDescent="0.3">
      <c r="A235">
        <f>Raw_Data!A235</f>
        <v>234</v>
      </c>
      <c r="B235" s="2">
        <f>Raw_Data!B235</f>
        <v>44714.676226851901</v>
      </c>
      <c r="C235">
        <f>YEAR(Raw_Data!B235)</f>
        <v>2022</v>
      </c>
      <c r="D235" t="str">
        <f>IF(MONTH(Raw_Data!B235)&gt;=4,YEAR(Raw_Data!B235)&amp;"-"&amp;RIGHT(YEAR(Raw_Data!B235)+1,2),YEAR(Raw_Data!B235)-1&amp;"-"&amp;RIGHT(YEAR(Raw_Data!B235),2))</f>
        <v>2022-23</v>
      </c>
      <c r="E235" t="str">
        <f>"Q"&amp;ROUNDUP(MONTH(Raw_Data!B235)/3,0)</f>
        <v>Q2</v>
      </c>
      <c r="F235" t="str">
        <f>TEXT(Raw_Data!B235,"mmm")</f>
        <v>Jun</v>
      </c>
      <c r="G235" t="str">
        <f>TEXT(Raw_Data!B235,"ddd")</f>
        <v>Thu</v>
      </c>
      <c r="H235" t="str">
        <f>Raw_Data!D235</f>
        <v>Invoiced</v>
      </c>
      <c r="I235" t="str">
        <f>Raw_Data!F235</f>
        <v>Web Lead</v>
      </c>
      <c r="J235" t="str">
        <f>Raw_Data!G235</f>
        <v>Web_Facebook</v>
      </c>
      <c r="K235" t="str">
        <f>IFERROR(VLOOKUP(J235,Source_Assumptions!$A:$C,2,0),"Unmapped")</f>
        <v>Digital - Paid Social</v>
      </c>
      <c r="L235" t="str">
        <f>Raw_Data!H235</f>
        <v>WR-V PE</v>
      </c>
      <c r="M235" t="str">
        <f>IFERROR(VLOOKUP(L235,Model_Assumptions!$A:$D,2,0),"Unmapped")</f>
        <v>Compact SUV</v>
      </c>
      <c r="N235" t="str">
        <f>IFERROR(VLOOKUP(L235,Model_Assumptions!$A:$D,3,0),"Unmapped")</f>
        <v>Petrol</v>
      </c>
      <c r="O235">
        <f>IFERROR(VLOOKUP(L235,Model_Assumptions!$A:$D,4,0),0)</f>
        <v>950000</v>
      </c>
      <c r="P235">
        <f>IFERROR(VLOOKUP(J235,Source_Assumptions!$A:$C,3,0),0)</f>
        <v>600</v>
      </c>
    </row>
    <row r="236" spans="1:16" x14ac:dyDescent="0.3">
      <c r="A236">
        <f>Raw_Data!A236</f>
        <v>235</v>
      </c>
      <c r="B236" s="2">
        <f>Raw_Data!B236</f>
        <v>44715.6333101852</v>
      </c>
      <c r="C236">
        <f>YEAR(Raw_Data!B236)</f>
        <v>2022</v>
      </c>
      <c r="D236" t="str">
        <f>IF(MONTH(Raw_Data!B236)&gt;=4,YEAR(Raw_Data!B236)&amp;"-"&amp;RIGHT(YEAR(Raw_Data!B236)+1,2),YEAR(Raw_Data!B236)-1&amp;"-"&amp;RIGHT(YEAR(Raw_Data!B236),2))</f>
        <v>2022-23</v>
      </c>
      <c r="E236" t="str">
        <f>"Q"&amp;ROUNDUP(MONTH(Raw_Data!B236)/3,0)</f>
        <v>Q2</v>
      </c>
      <c r="F236" t="str">
        <f>TEXT(Raw_Data!B236,"mmm")</f>
        <v>Jun</v>
      </c>
      <c r="G236" t="str">
        <f>TEXT(Raw_Data!B236,"ddd")</f>
        <v>Fri</v>
      </c>
      <c r="H236" t="str">
        <f>Raw_Data!D236</f>
        <v>Invoiced</v>
      </c>
      <c r="I236" t="str">
        <f>Raw_Data!F236</f>
        <v>Walk-in Showroom</v>
      </c>
      <c r="J236" t="str">
        <f>Raw_Data!G236</f>
        <v>Adver. (TVC/Print/Hoarding/FM)</v>
      </c>
      <c r="K236" t="str">
        <f>IFERROR(VLOOKUP(J236,Source_Assumptions!$A:$C,2,0),"Unmapped")</f>
        <v>Traditional Advertising</v>
      </c>
      <c r="L236" t="str">
        <f>Raw_Data!H236</f>
        <v>AMAZE Petrol</v>
      </c>
      <c r="M236" t="str">
        <f>IFERROR(VLOOKUP(L236,Model_Assumptions!$A:$D,2,0),"Unmapped")</f>
        <v>Sub-4m Sedan</v>
      </c>
      <c r="N236" t="str">
        <f>IFERROR(VLOOKUP(L236,Model_Assumptions!$A:$D,3,0),"Unmapped")</f>
        <v>Petrol</v>
      </c>
      <c r="O236">
        <f>IFERROR(VLOOKUP(L236,Model_Assumptions!$A:$D,4,0),0)</f>
        <v>850000</v>
      </c>
      <c r="P236">
        <f>IFERROR(VLOOKUP(J236,Source_Assumptions!$A:$C,3,0),0)</f>
        <v>1200</v>
      </c>
    </row>
    <row r="237" spans="1:16" x14ac:dyDescent="0.3">
      <c r="A237">
        <f>Raw_Data!A237</f>
        <v>236</v>
      </c>
      <c r="B237" s="2">
        <f>Raw_Data!B237</f>
        <v>44715.697800925896</v>
      </c>
      <c r="C237">
        <f>YEAR(Raw_Data!B237)</f>
        <v>2022</v>
      </c>
      <c r="D237" t="str">
        <f>IF(MONTH(Raw_Data!B237)&gt;=4,YEAR(Raw_Data!B237)&amp;"-"&amp;RIGHT(YEAR(Raw_Data!B237)+1,2),YEAR(Raw_Data!B237)-1&amp;"-"&amp;RIGHT(YEAR(Raw_Data!B237),2))</f>
        <v>2022-23</v>
      </c>
      <c r="E237" t="str">
        <f>"Q"&amp;ROUNDUP(MONTH(Raw_Data!B237)/3,0)</f>
        <v>Q2</v>
      </c>
      <c r="F237" t="str">
        <f>TEXT(Raw_Data!B237,"mmm")</f>
        <v>Jun</v>
      </c>
      <c r="G237" t="str">
        <f>TEXT(Raw_Data!B237,"ddd")</f>
        <v>Fri</v>
      </c>
      <c r="H237" t="str">
        <f>Raw_Data!D237</f>
        <v>Invoiced</v>
      </c>
      <c r="I237" t="str">
        <f>Raw_Data!F237</f>
        <v>Tele-in</v>
      </c>
      <c r="J237" t="str">
        <f>Raw_Data!G237</f>
        <v>Referral-CAM</v>
      </c>
      <c r="K237" t="str">
        <f>IFERROR(VLOOKUP(J237,Source_Assumptions!$A:$C,2,0),"Unmapped")</f>
        <v>Referral</v>
      </c>
      <c r="L237" t="str">
        <f>Raw_Data!H237</f>
        <v>AMAZE Petrol</v>
      </c>
      <c r="M237" t="str">
        <f>IFERROR(VLOOKUP(L237,Model_Assumptions!$A:$D,2,0),"Unmapped")</f>
        <v>Sub-4m Sedan</v>
      </c>
      <c r="N237" t="str">
        <f>IFERROR(VLOOKUP(L237,Model_Assumptions!$A:$D,3,0),"Unmapped")</f>
        <v>Petrol</v>
      </c>
      <c r="O237">
        <f>IFERROR(VLOOKUP(L237,Model_Assumptions!$A:$D,4,0),0)</f>
        <v>850000</v>
      </c>
      <c r="P237">
        <f>IFERROR(VLOOKUP(J237,Source_Assumptions!$A:$C,3,0),0)</f>
        <v>150</v>
      </c>
    </row>
    <row r="238" spans="1:16" x14ac:dyDescent="0.3">
      <c r="A238">
        <f>Raw_Data!A238</f>
        <v>237</v>
      </c>
      <c r="B238" s="2">
        <f>Raw_Data!B238</f>
        <v>44715.720439814802</v>
      </c>
      <c r="C238">
        <f>YEAR(Raw_Data!B238)</f>
        <v>2022</v>
      </c>
      <c r="D238" t="str">
        <f>IF(MONTH(Raw_Data!B238)&gt;=4,YEAR(Raw_Data!B238)&amp;"-"&amp;RIGHT(YEAR(Raw_Data!B238)+1,2),YEAR(Raw_Data!B238)-1&amp;"-"&amp;RIGHT(YEAR(Raw_Data!B238),2))</f>
        <v>2022-23</v>
      </c>
      <c r="E238" t="str">
        <f>"Q"&amp;ROUNDUP(MONTH(Raw_Data!B238)/3,0)</f>
        <v>Q2</v>
      </c>
      <c r="F238" t="str">
        <f>TEXT(Raw_Data!B238,"mmm")</f>
        <v>Jun</v>
      </c>
      <c r="G238" t="str">
        <f>TEXT(Raw_Data!B238,"ddd")</f>
        <v>Fri</v>
      </c>
      <c r="H238" t="str">
        <f>Raw_Data!D238</f>
        <v>Invoiced</v>
      </c>
      <c r="I238" t="str">
        <f>Raw_Data!F238</f>
        <v>Walk-in Showroom</v>
      </c>
      <c r="J238" t="str">
        <f>Raw_Data!G238</f>
        <v>Adver. (TVC/Print/Hoarding/FM)</v>
      </c>
      <c r="K238" t="str">
        <f>IFERROR(VLOOKUP(J238,Source_Assumptions!$A:$C,2,0),"Unmapped")</f>
        <v>Traditional Advertising</v>
      </c>
      <c r="L238" t="str">
        <f>Raw_Data!H238</f>
        <v>5TH GEN CITY PE</v>
      </c>
      <c r="M238" t="str">
        <f>IFERROR(VLOOKUP(L238,Model_Assumptions!$A:$D,2,0),"Unmapped")</f>
        <v>Mid-size Sedan</v>
      </c>
      <c r="N238" t="str">
        <f>IFERROR(VLOOKUP(L238,Model_Assumptions!$A:$D,3,0),"Unmapped")</f>
        <v>Petrol</v>
      </c>
      <c r="O238">
        <f>IFERROR(VLOOKUP(L238,Model_Assumptions!$A:$D,4,0),0)</f>
        <v>1250000</v>
      </c>
      <c r="P238">
        <f>IFERROR(VLOOKUP(J238,Source_Assumptions!$A:$C,3,0),0)</f>
        <v>1200</v>
      </c>
    </row>
    <row r="239" spans="1:16" x14ac:dyDescent="0.3">
      <c r="A239">
        <f>Raw_Data!A239</f>
        <v>238</v>
      </c>
      <c r="B239" s="2">
        <f>Raw_Data!B239</f>
        <v>44715.7276388889</v>
      </c>
      <c r="C239">
        <f>YEAR(Raw_Data!B239)</f>
        <v>2022</v>
      </c>
      <c r="D239" t="str">
        <f>IF(MONTH(Raw_Data!B239)&gt;=4,YEAR(Raw_Data!B239)&amp;"-"&amp;RIGHT(YEAR(Raw_Data!B239)+1,2),YEAR(Raw_Data!B239)-1&amp;"-"&amp;RIGHT(YEAR(Raw_Data!B239),2))</f>
        <v>2022-23</v>
      </c>
      <c r="E239" t="str">
        <f>"Q"&amp;ROUNDUP(MONTH(Raw_Data!B239)/3,0)</f>
        <v>Q2</v>
      </c>
      <c r="F239" t="str">
        <f>TEXT(Raw_Data!B239,"mmm")</f>
        <v>Jun</v>
      </c>
      <c r="G239" t="str">
        <f>TEXT(Raw_Data!B239,"ddd")</f>
        <v>Fri</v>
      </c>
      <c r="H239" t="str">
        <f>Raw_Data!D239</f>
        <v>Invoiced</v>
      </c>
      <c r="I239" t="str">
        <f>Raw_Data!F239</f>
        <v>Walk-in Showroom</v>
      </c>
      <c r="J239" t="str">
        <f>Raw_Data!G239</f>
        <v>Adver. (TVC/Print/Hoarding/FM)</v>
      </c>
      <c r="K239" t="str">
        <f>IFERROR(VLOOKUP(J239,Source_Assumptions!$A:$C,2,0),"Unmapped")</f>
        <v>Traditional Advertising</v>
      </c>
      <c r="L239" t="str">
        <f>Raw_Data!H239</f>
        <v>5TH GEN CITY PE</v>
      </c>
      <c r="M239" t="str">
        <f>IFERROR(VLOOKUP(L239,Model_Assumptions!$A:$D,2,0),"Unmapped")</f>
        <v>Mid-size Sedan</v>
      </c>
      <c r="N239" t="str">
        <f>IFERROR(VLOOKUP(L239,Model_Assumptions!$A:$D,3,0),"Unmapped")</f>
        <v>Petrol</v>
      </c>
      <c r="O239">
        <f>IFERROR(VLOOKUP(L239,Model_Assumptions!$A:$D,4,0),0)</f>
        <v>1250000</v>
      </c>
      <c r="P239">
        <f>IFERROR(VLOOKUP(J239,Source_Assumptions!$A:$C,3,0),0)</f>
        <v>1200</v>
      </c>
    </row>
    <row r="240" spans="1:16" x14ac:dyDescent="0.3">
      <c r="A240">
        <f>Raw_Data!A240</f>
        <v>239</v>
      </c>
      <c r="B240" s="2">
        <f>Raw_Data!B240</f>
        <v>44715.743553240703</v>
      </c>
      <c r="C240">
        <f>YEAR(Raw_Data!B240)</f>
        <v>2022</v>
      </c>
      <c r="D240" t="str">
        <f>IF(MONTH(Raw_Data!B240)&gt;=4,YEAR(Raw_Data!B240)&amp;"-"&amp;RIGHT(YEAR(Raw_Data!B240)+1,2),YEAR(Raw_Data!B240)-1&amp;"-"&amp;RIGHT(YEAR(Raw_Data!B240),2))</f>
        <v>2022-23</v>
      </c>
      <c r="E240" t="str">
        <f>"Q"&amp;ROUNDUP(MONTH(Raw_Data!B240)/3,0)</f>
        <v>Q2</v>
      </c>
      <c r="F240" t="str">
        <f>TEXT(Raw_Data!B240,"mmm")</f>
        <v>Jun</v>
      </c>
      <c r="G240" t="str">
        <f>TEXT(Raw_Data!B240,"ddd")</f>
        <v>Fri</v>
      </c>
      <c r="H240" t="str">
        <f>Raw_Data!D240</f>
        <v>Invoiced</v>
      </c>
      <c r="I240" t="str">
        <f>Raw_Data!F240</f>
        <v>Tele-in</v>
      </c>
      <c r="J240" t="str">
        <f>Raw_Data!G240</f>
        <v>Referral-CAM</v>
      </c>
      <c r="K240" t="str">
        <f>IFERROR(VLOOKUP(J240,Source_Assumptions!$A:$C,2,0),"Unmapped")</f>
        <v>Referral</v>
      </c>
      <c r="L240" t="str">
        <f>Raw_Data!H240</f>
        <v>AMAZE Petrol</v>
      </c>
      <c r="M240" t="str">
        <f>IFERROR(VLOOKUP(L240,Model_Assumptions!$A:$D,2,0),"Unmapped")</f>
        <v>Sub-4m Sedan</v>
      </c>
      <c r="N240" t="str">
        <f>IFERROR(VLOOKUP(L240,Model_Assumptions!$A:$D,3,0),"Unmapped")</f>
        <v>Petrol</v>
      </c>
      <c r="O240">
        <f>IFERROR(VLOOKUP(L240,Model_Assumptions!$A:$D,4,0),0)</f>
        <v>850000</v>
      </c>
      <c r="P240">
        <f>IFERROR(VLOOKUP(J240,Source_Assumptions!$A:$C,3,0),0)</f>
        <v>150</v>
      </c>
    </row>
    <row r="241" spans="1:16" x14ac:dyDescent="0.3">
      <c r="A241">
        <f>Raw_Data!A241</f>
        <v>240</v>
      </c>
      <c r="B241" s="2">
        <f>Raw_Data!B241</f>
        <v>44720.598900463003</v>
      </c>
      <c r="C241">
        <f>YEAR(Raw_Data!B241)</f>
        <v>2022</v>
      </c>
      <c r="D241" t="str">
        <f>IF(MONTH(Raw_Data!B241)&gt;=4,YEAR(Raw_Data!B241)&amp;"-"&amp;RIGHT(YEAR(Raw_Data!B241)+1,2),YEAR(Raw_Data!B241)-1&amp;"-"&amp;RIGHT(YEAR(Raw_Data!B241),2))</f>
        <v>2022-23</v>
      </c>
      <c r="E241" t="str">
        <f>"Q"&amp;ROUNDUP(MONTH(Raw_Data!B241)/3,0)</f>
        <v>Q2</v>
      </c>
      <c r="F241" t="str">
        <f>TEXT(Raw_Data!B241,"mmm")</f>
        <v>Jun</v>
      </c>
      <c r="G241" t="str">
        <f>TEXT(Raw_Data!B241,"ddd")</f>
        <v>Wed</v>
      </c>
      <c r="H241" t="str">
        <f>Raw_Data!D241</f>
        <v>Invoiced</v>
      </c>
      <c r="I241" t="str">
        <f>Raw_Data!F241</f>
        <v>Walk-in Showroom</v>
      </c>
      <c r="J241" t="str">
        <f>Raw_Data!G241</f>
        <v>Adver. (TVC/Print/Hoarding/FM)</v>
      </c>
      <c r="K241" t="str">
        <f>IFERROR(VLOOKUP(J241,Source_Assumptions!$A:$C,2,0),"Unmapped")</f>
        <v>Traditional Advertising</v>
      </c>
      <c r="L241" t="str">
        <f>Raw_Data!H241</f>
        <v>5TH GEN CITY PE</v>
      </c>
      <c r="M241" t="str">
        <f>IFERROR(VLOOKUP(L241,Model_Assumptions!$A:$D,2,0),"Unmapped")</f>
        <v>Mid-size Sedan</v>
      </c>
      <c r="N241" t="str">
        <f>IFERROR(VLOOKUP(L241,Model_Assumptions!$A:$D,3,0),"Unmapped")</f>
        <v>Petrol</v>
      </c>
      <c r="O241">
        <f>IFERROR(VLOOKUP(L241,Model_Assumptions!$A:$D,4,0),0)</f>
        <v>1250000</v>
      </c>
      <c r="P241">
        <f>IFERROR(VLOOKUP(J241,Source_Assumptions!$A:$C,3,0),0)</f>
        <v>1200</v>
      </c>
    </row>
    <row r="242" spans="1:16" x14ac:dyDescent="0.3">
      <c r="A242">
        <f>Raw_Data!A242</f>
        <v>241</v>
      </c>
      <c r="B242" s="2">
        <f>Raw_Data!B242</f>
        <v>44722.738807870403</v>
      </c>
      <c r="C242">
        <f>YEAR(Raw_Data!B242)</f>
        <v>2022</v>
      </c>
      <c r="D242" t="str">
        <f>IF(MONTH(Raw_Data!B242)&gt;=4,YEAR(Raw_Data!B242)&amp;"-"&amp;RIGHT(YEAR(Raw_Data!B242)+1,2),YEAR(Raw_Data!B242)-1&amp;"-"&amp;RIGHT(YEAR(Raw_Data!B242),2))</f>
        <v>2022-23</v>
      </c>
      <c r="E242" t="str">
        <f>"Q"&amp;ROUNDUP(MONTH(Raw_Data!B242)/3,0)</f>
        <v>Q2</v>
      </c>
      <c r="F242" t="str">
        <f>TEXT(Raw_Data!B242,"mmm")</f>
        <v>Jun</v>
      </c>
      <c r="G242" t="str">
        <f>TEXT(Raw_Data!B242,"ddd")</f>
        <v>Fri</v>
      </c>
      <c r="H242" t="str">
        <f>Raw_Data!D242</f>
        <v>Invoiced</v>
      </c>
      <c r="I242" t="str">
        <f>Raw_Data!F242</f>
        <v>SMS/ Tele-Out</v>
      </c>
      <c r="J242" t="str">
        <f>Raw_Data!G242</f>
        <v>Database Activity(Teleout/SMS)</v>
      </c>
      <c r="K242" t="str">
        <f>IFERROR(VLOOKUP(J242,Source_Assumptions!$A:$C,2,0),"Unmapped")</f>
        <v>Outbound/Database</v>
      </c>
      <c r="L242" t="str">
        <f>Raw_Data!H242</f>
        <v>5TH GEN CITY PE</v>
      </c>
      <c r="M242" t="str">
        <f>IFERROR(VLOOKUP(L242,Model_Assumptions!$A:$D,2,0),"Unmapped")</f>
        <v>Mid-size Sedan</v>
      </c>
      <c r="N242" t="str">
        <f>IFERROR(VLOOKUP(L242,Model_Assumptions!$A:$D,3,0),"Unmapped")</f>
        <v>Petrol</v>
      </c>
      <c r="O242">
        <f>IFERROR(VLOOKUP(L242,Model_Assumptions!$A:$D,4,0),0)</f>
        <v>1250000</v>
      </c>
      <c r="P242">
        <f>IFERROR(VLOOKUP(J242,Source_Assumptions!$A:$C,3,0),0)</f>
        <v>250</v>
      </c>
    </row>
    <row r="243" spans="1:16" x14ac:dyDescent="0.3">
      <c r="A243">
        <f>Raw_Data!A243</f>
        <v>242</v>
      </c>
      <c r="B243" s="2">
        <f>Raw_Data!B243</f>
        <v>44725.6811689815</v>
      </c>
      <c r="C243">
        <f>YEAR(Raw_Data!B243)</f>
        <v>2022</v>
      </c>
      <c r="D243" t="str">
        <f>IF(MONTH(Raw_Data!B243)&gt;=4,YEAR(Raw_Data!B243)&amp;"-"&amp;RIGHT(YEAR(Raw_Data!B243)+1,2),YEAR(Raw_Data!B243)-1&amp;"-"&amp;RIGHT(YEAR(Raw_Data!B243),2))</f>
        <v>2022-23</v>
      </c>
      <c r="E243" t="str">
        <f>"Q"&amp;ROUNDUP(MONTH(Raw_Data!B243)/3,0)</f>
        <v>Q2</v>
      </c>
      <c r="F243" t="str">
        <f>TEXT(Raw_Data!B243,"mmm")</f>
        <v>Jun</v>
      </c>
      <c r="G243" t="str">
        <f>TEXT(Raw_Data!B243,"ddd")</f>
        <v>Mon</v>
      </c>
      <c r="H243" t="str">
        <f>Raw_Data!D243</f>
        <v>Invoiced</v>
      </c>
      <c r="I243" t="str">
        <f>Raw_Data!F243</f>
        <v>Tele-in</v>
      </c>
      <c r="J243" t="str">
        <f>Raw_Data!G243</f>
        <v>Dealer Webpage Tele-In</v>
      </c>
      <c r="K243" t="str">
        <f>IFERROR(VLOOKUP(J243,Source_Assumptions!$A:$C,2,0),"Unmapped")</f>
        <v>Digital - Owned</v>
      </c>
      <c r="L243" t="str">
        <f>Raw_Data!H243</f>
        <v>5TH GEN CITY PE</v>
      </c>
      <c r="M243" t="str">
        <f>IFERROR(VLOOKUP(L243,Model_Assumptions!$A:$D,2,0),"Unmapped")</f>
        <v>Mid-size Sedan</v>
      </c>
      <c r="N243" t="str">
        <f>IFERROR(VLOOKUP(L243,Model_Assumptions!$A:$D,3,0),"Unmapped")</f>
        <v>Petrol</v>
      </c>
      <c r="O243">
        <f>IFERROR(VLOOKUP(L243,Model_Assumptions!$A:$D,4,0),0)</f>
        <v>1250000</v>
      </c>
      <c r="P243">
        <f>IFERROR(VLOOKUP(J243,Source_Assumptions!$A:$C,3,0),0)</f>
        <v>300</v>
      </c>
    </row>
    <row r="244" spans="1:16" x14ac:dyDescent="0.3">
      <c r="A244">
        <f>Raw_Data!A244</f>
        <v>243</v>
      </c>
      <c r="B244" s="2">
        <f>Raw_Data!B244</f>
        <v>44726.511932870402</v>
      </c>
      <c r="C244">
        <f>YEAR(Raw_Data!B244)</f>
        <v>2022</v>
      </c>
      <c r="D244" t="str">
        <f>IF(MONTH(Raw_Data!B244)&gt;=4,YEAR(Raw_Data!B244)&amp;"-"&amp;RIGHT(YEAR(Raw_Data!B244)+1,2),YEAR(Raw_Data!B244)-1&amp;"-"&amp;RIGHT(YEAR(Raw_Data!B244),2))</f>
        <v>2022-23</v>
      </c>
      <c r="E244" t="str">
        <f>"Q"&amp;ROUNDUP(MONTH(Raw_Data!B244)/3,0)</f>
        <v>Q2</v>
      </c>
      <c r="F244" t="str">
        <f>TEXT(Raw_Data!B244,"mmm")</f>
        <v>Jun</v>
      </c>
      <c r="G244" t="str">
        <f>TEXT(Raw_Data!B244,"ddd")</f>
        <v>Tue</v>
      </c>
      <c r="H244" t="str">
        <f>Raw_Data!D244</f>
        <v>Invoiced</v>
      </c>
      <c r="I244" t="str">
        <f>Raw_Data!F244</f>
        <v>Tele-in</v>
      </c>
      <c r="J244" t="str">
        <f>Raw_Data!G244</f>
        <v>Adver. (TVC/Print/Hoarding/FM)</v>
      </c>
      <c r="K244" t="str">
        <f>IFERROR(VLOOKUP(J244,Source_Assumptions!$A:$C,2,0),"Unmapped")</f>
        <v>Traditional Advertising</v>
      </c>
      <c r="L244" t="str">
        <f>Raw_Data!H244</f>
        <v>JAZZ PE</v>
      </c>
      <c r="M244" t="str">
        <f>IFERROR(VLOOKUP(L244,Model_Assumptions!$A:$D,2,0),"Unmapped")</f>
        <v>Hatchback</v>
      </c>
      <c r="N244" t="str">
        <f>IFERROR(VLOOKUP(L244,Model_Assumptions!$A:$D,3,0),"Unmapped")</f>
        <v>Petrol</v>
      </c>
      <c r="O244">
        <f>IFERROR(VLOOKUP(L244,Model_Assumptions!$A:$D,4,0),0)</f>
        <v>800000</v>
      </c>
      <c r="P244">
        <f>IFERROR(VLOOKUP(J244,Source_Assumptions!$A:$C,3,0),0)</f>
        <v>1200</v>
      </c>
    </row>
    <row r="245" spans="1:16" x14ac:dyDescent="0.3">
      <c r="A245">
        <f>Raw_Data!A245</f>
        <v>244</v>
      </c>
      <c r="B245" s="2">
        <f>Raw_Data!B245</f>
        <v>44726.730578703697</v>
      </c>
      <c r="C245">
        <f>YEAR(Raw_Data!B245)</f>
        <v>2022</v>
      </c>
      <c r="D245" t="str">
        <f>IF(MONTH(Raw_Data!B245)&gt;=4,YEAR(Raw_Data!B245)&amp;"-"&amp;RIGHT(YEAR(Raw_Data!B245)+1,2),YEAR(Raw_Data!B245)-1&amp;"-"&amp;RIGHT(YEAR(Raw_Data!B245),2))</f>
        <v>2022-23</v>
      </c>
      <c r="E245" t="str">
        <f>"Q"&amp;ROUNDUP(MONTH(Raw_Data!B245)/3,0)</f>
        <v>Q2</v>
      </c>
      <c r="F245" t="str">
        <f>TEXT(Raw_Data!B245,"mmm")</f>
        <v>Jun</v>
      </c>
      <c r="G245" t="str">
        <f>TEXT(Raw_Data!B245,"ddd")</f>
        <v>Tue</v>
      </c>
      <c r="H245" t="str">
        <f>Raw_Data!D245</f>
        <v>Invoiced</v>
      </c>
      <c r="I245" t="str">
        <f>Raw_Data!F245</f>
        <v>Tele-in</v>
      </c>
      <c r="J245" t="str">
        <f>Raw_Data!G245</f>
        <v>Adver. (TVC/Print/Hoarding/FM)</v>
      </c>
      <c r="K245" t="str">
        <f>IFERROR(VLOOKUP(J245,Source_Assumptions!$A:$C,2,0),"Unmapped")</f>
        <v>Traditional Advertising</v>
      </c>
      <c r="L245" t="str">
        <f>Raw_Data!H245</f>
        <v>JAZZ PE</v>
      </c>
      <c r="M245" t="str">
        <f>IFERROR(VLOOKUP(L245,Model_Assumptions!$A:$D,2,0),"Unmapped")</f>
        <v>Hatchback</v>
      </c>
      <c r="N245" t="str">
        <f>IFERROR(VLOOKUP(L245,Model_Assumptions!$A:$D,3,0),"Unmapped")</f>
        <v>Petrol</v>
      </c>
      <c r="O245">
        <f>IFERROR(VLOOKUP(L245,Model_Assumptions!$A:$D,4,0),0)</f>
        <v>800000</v>
      </c>
      <c r="P245">
        <f>IFERROR(VLOOKUP(J245,Source_Assumptions!$A:$C,3,0),0)</f>
        <v>1200</v>
      </c>
    </row>
    <row r="246" spans="1:16" x14ac:dyDescent="0.3">
      <c r="A246">
        <f>Raw_Data!A246</f>
        <v>245</v>
      </c>
      <c r="B246" s="2">
        <f>Raw_Data!B246</f>
        <v>44726.734340277799</v>
      </c>
      <c r="C246">
        <f>YEAR(Raw_Data!B246)</f>
        <v>2022</v>
      </c>
      <c r="D246" t="str">
        <f>IF(MONTH(Raw_Data!B246)&gt;=4,YEAR(Raw_Data!B246)&amp;"-"&amp;RIGHT(YEAR(Raw_Data!B246)+1,2),YEAR(Raw_Data!B246)-1&amp;"-"&amp;RIGHT(YEAR(Raw_Data!B246),2))</f>
        <v>2022-23</v>
      </c>
      <c r="E246" t="str">
        <f>"Q"&amp;ROUNDUP(MONTH(Raw_Data!B246)/3,0)</f>
        <v>Q2</v>
      </c>
      <c r="F246" t="str">
        <f>TEXT(Raw_Data!B246,"mmm")</f>
        <v>Jun</v>
      </c>
      <c r="G246" t="str">
        <f>TEXT(Raw_Data!B246,"ddd")</f>
        <v>Tue</v>
      </c>
      <c r="H246" t="str">
        <f>Raw_Data!D246</f>
        <v>Invoiced</v>
      </c>
      <c r="I246" t="str">
        <f>Raw_Data!F246</f>
        <v>Tele-in</v>
      </c>
      <c r="J246" t="str">
        <f>Raw_Data!G246</f>
        <v>Referral-CAM</v>
      </c>
      <c r="K246" t="str">
        <f>IFERROR(VLOOKUP(J246,Source_Assumptions!$A:$C,2,0),"Unmapped")</f>
        <v>Referral</v>
      </c>
      <c r="L246" t="str">
        <f>Raw_Data!H246</f>
        <v>5TH GEN CITY PE</v>
      </c>
      <c r="M246" t="str">
        <f>IFERROR(VLOOKUP(L246,Model_Assumptions!$A:$D,2,0),"Unmapped")</f>
        <v>Mid-size Sedan</v>
      </c>
      <c r="N246" t="str">
        <f>IFERROR(VLOOKUP(L246,Model_Assumptions!$A:$D,3,0),"Unmapped")</f>
        <v>Petrol</v>
      </c>
      <c r="O246">
        <f>IFERROR(VLOOKUP(L246,Model_Assumptions!$A:$D,4,0),0)</f>
        <v>1250000</v>
      </c>
      <c r="P246">
        <f>IFERROR(VLOOKUP(J246,Source_Assumptions!$A:$C,3,0),0)</f>
        <v>150</v>
      </c>
    </row>
    <row r="247" spans="1:16" x14ac:dyDescent="0.3">
      <c r="A247">
        <f>Raw_Data!A247</f>
        <v>246</v>
      </c>
      <c r="B247" s="2">
        <f>Raw_Data!B247</f>
        <v>44727.497175925899</v>
      </c>
      <c r="C247">
        <f>YEAR(Raw_Data!B247)</f>
        <v>2022</v>
      </c>
      <c r="D247" t="str">
        <f>IF(MONTH(Raw_Data!B247)&gt;=4,YEAR(Raw_Data!B247)&amp;"-"&amp;RIGHT(YEAR(Raw_Data!B247)+1,2),YEAR(Raw_Data!B247)-1&amp;"-"&amp;RIGHT(YEAR(Raw_Data!B247),2))</f>
        <v>2022-23</v>
      </c>
      <c r="E247" t="str">
        <f>"Q"&amp;ROUNDUP(MONTH(Raw_Data!B247)/3,0)</f>
        <v>Q2</v>
      </c>
      <c r="F247" t="str">
        <f>TEXT(Raw_Data!B247,"mmm")</f>
        <v>Jun</v>
      </c>
      <c r="G247" t="str">
        <f>TEXT(Raw_Data!B247,"ddd")</f>
        <v>Wed</v>
      </c>
      <c r="H247" t="str">
        <f>Raw_Data!D247</f>
        <v>Invoiced</v>
      </c>
      <c r="I247" t="str">
        <f>Raw_Data!F247</f>
        <v>Tele-in</v>
      </c>
      <c r="J247" t="str">
        <f>Raw_Data!G247</f>
        <v>Adver. (TVC/Print/Hoarding/FM)</v>
      </c>
      <c r="K247" t="str">
        <f>IFERROR(VLOOKUP(J247,Source_Assumptions!$A:$C,2,0),"Unmapped")</f>
        <v>Traditional Advertising</v>
      </c>
      <c r="L247" t="str">
        <f>Raw_Data!H247</f>
        <v>WR-V PE</v>
      </c>
      <c r="M247" t="str">
        <f>IFERROR(VLOOKUP(L247,Model_Assumptions!$A:$D,2,0),"Unmapped")</f>
        <v>Compact SUV</v>
      </c>
      <c r="N247" t="str">
        <f>IFERROR(VLOOKUP(L247,Model_Assumptions!$A:$D,3,0),"Unmapped")</f>
        <v>Petrol</v>
      </c>
      <c r="O247">
        <f>IFERROR(VLOOKUP(L247,Model_Assumptions!$A:$D,4,0),0)</f>
        <v>950000</v>
      </c>
      <c r="P247">
        <f>IFERROR(VLOOKUP(J247,Source_Assumptions!$A:$C,3,0),0)</f>
        <v>1200</v>
      </c>
    </row>
    <row r="248" spans="1:16" x14ac:dyDescent="0.3">
      <c r="A248">
        <f>Raw_Data!A248</f>
        <v>247</v>
      </c>
      <c r="B248" s="2">
        <f>Raw_Data!B248</f>
        <v>44727.587731481501</v>
      </c>
      <c r="C248">
        <f>YEAR(Raw_Data!B248)</f>
        <v>2022</v>
      </c>
      <c r="D248" t="str">
        <f>IF(MONTH(Raw_Data!B248)&gt;=4,YEAR(Raw_Data!B248)&amp;"-"&amp;RIGHT(YEAR(Raw_Data!B248)+1,2),YEAR(Raw_Data!B248)-1&amp;"-"&amp;RIGHT(YEAR(Raw_Data!B248),2))</f>
        <v>2022-23</v>
      </c>
      <c r="E248" t="str">
        <f>"Q"&amp;ROUNDUP(MONTH(Raw_Data!B248)/3,0)</f>
        <v>Q2</v>
      </c>
      <c r="F248" t="str">
        <f>TEXT(Raw_Data!B248,"mmm")</f>
        <v>Jun</v>
      </c>
      <c r="G248" t="str">
        <f>TEXT(Raw_Data!B248,"ddd")</f>
        <v>Wed</v>
      </c>
      <c r="H248" t="str">
        <f>Raw_Data!D248</f>
        <v>Invoiced</v>
      </c>
      <c r="I248" t="str">
        <f>Raw_Data!F248</f>
        <v>Tele-in</v>
      </c>
      <c r="J248" t="str">
        <f>Raw_Data!G248</f>
        <v>Dealer Webpage Tele-In</v>
      </c>
      <c r="K248" t="str">
        <f>IFERROR(VLOOKUP(J248,Source_Assumptions!$A:$C,2,0),"Unmapped")</f>
        <v>Digital - Owned</v>
      </c>
      <c r="L248" t="str">
        <f>Raw_Data!H248</f>
        <v>5TH GEN CITY PE</v>
      </c>
      <c r="M248" t="str">
        <f>IFERROR(VLOOKUP(L248,Model_Assumptions!$A:$D,2,0),"Unmapped")</f>
        <v>Mid-size Sedan</v>
      </c>
      <c r="N248" t="str">
        <f>IFERROR(VLOOKUP(L248,Model_Assumptions!$A:$D,3,0),"Unmapped")</f>
        <v>Petrol</v>
      </c>
      <c r="O248">
        <f>IFERROR(VLOOKUP(L248,Model_Assumptions!$A:$D,4,0),0)</f>
        <v>1250000</v>
      </c>
      <c r="P248">
        <f>IFERROR(VLOOKUP(J248,Source_Assumptions!$A:$C,3,0),0)</f>
        <v>300</v>
      </c>
    </row>
    <row r="249" spans="1:16" x14ac:dyDescent="0.3">
      <c r="A249">
        <f>Raw_Data!A249</f>
        <v>248</v>
      </c>
      <c r="B249" s="2">
        <f>Raw_Data!B249</f>
        <v>44729.512858796297</v>
      </c>
      <c r="C249">
        <f>YEAR(Raw_Data!B249)</f>
        <v>2022</v>
      </c>
      <c r="D249" t="str">
        <f>IF(MONTH(Raw_Data!B249)&gt;=4,YEAR(Raw_Data!B249)&amp;"-"&amp;RIGHT(YEAR(Raw_Data!B249)+1,2),YEAR(Raw_Data!B249)-1&amp;"-"&amp;RIGHT(YEAR(Raw_Data!B249),2))</f>
        <v>2022-23</v>
      </c>
      <c r="E249" t="str">
        <f>"Q"&amp;ROUNDUP(MONTH(Raw_Data!B249)/3,0)</f>
        <v>Q2</v>
      </c>
      <c r="F249" t="str">
        <f>TEXT(Raw_Data!B249,"mmm")</f>
        <v>Jun</v>
      </c>
      <c r="G249" t="str">
        <f>TEXT(Raw_Data!B249,"ddd")</f>
        <v>Fri</v>
      </c>
      <c r="H249" t="str">
        <f>Raw_Data!D249</f>
        <v>Invoiced</v>
      </c>
      <c r="I249" t="str">
        <f>Raw_Data!F249</f>
        <v>Tele-in</v>
      </c>
      <c r="J249" t="str">
        <f>Raw_Data!G249</f>
        <v>Referral-CAM</v>
      </c>
      <c r="K249" t="str">
        <f>IFERROR(VLOOKUP(J249,Source_Assumptions!$A:$C,2,0),"Unmapped")</f>
        <v>Referral</v>
      </c>
      <c r="L249" t="str">
        <f>Raw_Data!H249</f>
        <v>5TH GEN CITY PE</v>
      </c>
      <c r="M249" t="str">
        <f>IFERROR(VLOOKUP(L249,Model_Assumptions!$A:$D,2,0),"Unmapped")</f>
        <v>Mid-size Sedan</v>
      </c>
      <c r="N249" t="str">
        <f>IFERROR(VLOOKUP(L249,Model_Assumptions!$A:$D,3,0),"Unmapped")</f>
        <v>Petrol</v>
      </c>
      <c r="O249">
        <f>IFERROR(VLOOKUP(L249,Model_Assumptions!$A:$D,4,0),0)</f>
        <v>1250000</v>
      </c>
      <c r="P249">
        <f>IFERROR(VLOOKUP(J249,Source_Assumptions!$A:$C,3,0),0)</f>
        <v>150</v>
      </c>
    </row>
    <row r="250" spans="1:16" x14ac:dyDescent="0.3">
      <c r="A250">
        <f>Raw_Data!A250</f>
        <v>249</v>
      </c>
      <c r="B250" s="2">
        <f>Raw_Data!B250</f>
        <v>44729.520810185197</v>
      </c>
      <c r="C250">
        <f>YEAR(Raw_Data!B250)</f>
        <v>2022</v>
      </c>
      <c r="D250" t="str">
        <f>IF(MONTH(Raw_Data!B250)&gt;=4,YEAR(Raw_Data!B250)&amp;"-"&amp;RIGHT(YEAR(Raw_Data!B250)+1,2),YEAR(Raw_Data!B250)-1&amp;"-"&amp;RIGHT(YEAR(Raw_Data!B250),2))</f>
        <v>2022-23</v>
      </c>
      <c r="E250" t="str">
        <f>"Q"&amp;ROUNDUP(MONTH(Raw_Data!B250)/3,0)</f>
        <v>Q2</v>
      </c>
      <c r="F250" t="str">
        <f>TEXT(Raw_Data!B250,"mmm")</f>
        <v>Jun</v>
      </c>
      <c r="G250" t="str">
        <f>TEXT(Raw_Data!B250,"ddd")</f>
        <v>Fri</v>
      </c>
      <c r="H250" t="str">
        <f>Raw_Data!D250</f>
        <v>Invoiced</v>
      </c>
      <c r="I250" t="str">
        <f>Raw_Data!F250</f>
        <v>SMS/ Tele-Out</v>
      </c>
      <c r="J250" t="str">
        <f>Raw_Data!G250</f>
        <v>Database Activity(Teleout/SMS)</v>
      </c>
      <c r="K250" t="str">
        <f>IFERROR(VLOOKUP(J250,Source_Assumptions!$A:$C,2,0),"Unmapped")</f>
        <v>Outbound/Database</v>
      </c>
      <c r="L250" t="str">
        <f>Raw_Data!H250</f>
        <v>5TH GEN CITY PE</v>
      </c>
      <c r="M250" t="str">
        <f>IFERROR(VLOOKUP(L250,Model_Assumptions!$A:$D,2,0),"Unmapped")</f>
        <v>Mid-size Sedan</v>
      </c>
      <c r="N250" t="str">
        <f>IFERROR(VLOOKUP(L250,Model_Assumptions!$A:$D,3,0),"Unmapped")</f>
        <v>Petrol</v>
      </c>
      <c r="O250">
        <f>IFERROR(VLOOKUP(L250,Model_Assumptions!$A:$D,4,0),0)</f>
        <v>1250000</v>
      </c>
      <c r="P250">
        <f>IFERROR(VLOOKUP(J250,Source_Assumptions!$A:$C,3,0),0)</f>
        <v>250</v>
      </c>
    </row>
    <row r="251" spans="1:16" x14ac:dyDescent="0.3">
      <c r="A251">
        <f>Raw_Data!A251</f>
        <v>250</v>
      </c>
      <c r="B251" s="2">
        <f>Raw_Data!B251</f>
        <v>44729.676377314798</v>
      </c>
      <c r="C251">
        <f>YEAR(Raw_Data!B251)</f>
        <v>2022</v>
      </c>
      <c r="D251" t="str">
        <f>IF(MONTH(Raw_Data!B251)&gt;=4,YEAR(Raw_Data!B251)&amp;"-"&amp;RIGHT(YEAR(Raw_Data!B251)+1,2),YEAR(Raw_Data!B251)-1&amp;"-"&amp;RIGHT(YEAR(Raw_Data!B251),2))</f>
        <v>2022-23</v>
      </c>
      <c r="E251" t="str">
        <f>"Q"&amp;ROUNDUP(MONTH(Raw_Data!B251)/3,0)</f>
        <v>Q2</v>
      </c>
      <c r="F251" t="str">
        <f>TEXT(Raw_Data!B251,"mmm")</f>
        <v>Jun</v>
      </c>
      <c r="G251" t="str">
        <f>TEXT(Raw_Data!B251,"ddd")</f>
        <v>Fri</v>
      </c>
      <c r="H251" t="str">
        <f>Raw_Data!D251</f>
        <v>Invoiced</v>
      </c>
      <c r="I251" t="str">
        <f>Raw_Data!F251</f>
        <v>Web Lead</v>
      </c>
      <c r="J251" t="str">
        <f>Raw_Data!G251</f>
        <v>Web</v>
      </c>
      <c r="K251" t="str">
        <f>IFERROR(VLOOKUP(J251,Source_Assumptions!$A:$C,2,0),"Unmapped")</f>
        <v>Digital - Owned</v>
      </c>
      <c r="L251" t="str">
        <f>Raw_Data!H251</f>
        <v>5TH GEN CITY e:HEV</v>
      </c>
      <c r="M251" t="str">
        <f>IFERROR(VLOOKUP(L251,Model_Assumptions!$A:$D,2,0),"Unmapped")</f>
        <v>Mid-size Sedan</v>
      </c>
      <c r="N251" t="str">
        <f>IFERROR(VLOOKUP(L251,Model_Assumptions!$A:$D,3,0),"Unmapped")</f>
        <v>Hybrid</v>
      </c>
      <c r="O251">
        <f>IFERROR(VLOOKUP(L251,Model_Assumptions!$A:$D,4,0),0)</f>
        <v>1950000</v>
      </c>
      <c r="P251">
        <f>IFERROR(VLOOKUP(J251,Source_Assumptions!$A:$C,3,0),0)</f>
        <v>300</v>
      </c>
    </row>
    <row r="252" spans="1:16" x14ac:dyDescent="0.3">
      <c r="A252">
        <f>Raw_Data!A252</f>
        <v>251</v>
      </c>
      <c r="B252" s="2">
        <f>Raw_Data!B252</f>
        <v>44729.728159722203</v>
      </c>
      <c r="C252">
        <f>YEAR(Raw_Data!B252)</f>
        <v>2022</v>
      </c>
      <c r="D252" t="str">
        <f>IF(MONTH(Raw_Data!B252)&gt;=4,YEAR(Raw_Data!B252)&amp;"-"&amp;RIGHT(YEAR(Raw_Data!B252)+1,2),YEAR(Raw_Data!B252)-1&amp;"-"&amp;RIGHT(YEAR(Raw_Data!B252),2))</f>
        <v>2022-23</v>
      </c>
      <c r="E252" t="str">
        <f>"Q"&amp;ROUNDUP(MONTH(Raw_Data!B252)/3,0)</f>
        <v>Q2</v>
      </c>
      <c r="F252" t="str">
        <f>TEXT(Raw_Data!B252,"mmm")</f>
        <v>Jun</v>
      </c>
      <c r="G252" t="str">
        <f>TEXT(Raw_Data!B252,"ddd")</f>
        <v>Fri</v>
      </c>
      <c r="H252" t="str">
        <f>Raw_Data!D252</f>
        <v>Invoiced</v>
      </c>
      <c r="I252" t="str">
        <f>Raw_Data!F252</f>
        <v>Tele-in</v>
      </c>
      <c r="J252" t="str">
        <f>Raw_Data!G252</f>
        <v>Dealer Webpage Tele-In</v>
      </c>
      <c r="K252" t="str">
        <f>IFERROR(VLOOKUP(J252,Source_Assumptions!$A:$C,2,0),"Unmapped")</f>
        <v>Digital - Owned</v>
      </c>
      <c r="L252" t="str">
        <f>Raw_Data!H252</f>
        <v>5TH GEN CITY e:HEV</v>
      </c>
      <c r="M252" t="str">
        <f>IFERROR(VLOOKUP(L252,Model_Assumptions!$A:$D,2,0),"Unmapped")</f>
        <v>Mid-size Sedan</v>
      </c>
      <c r="N252" t="str">
        <f>IFERROR(VLOOKUP(L252,Model_Assumptions!$A:$D,3,0),"Unmapped")</f>
        <v>Hybrid</v>
      </c>
      <c r="O252">
        <f>IFERROR(VLOOKUP(L252,Model_Assumptions!$A:$D,4,0),0)</f>
        <v>1950000</v>
      </c>
      <c r="P252">
        <f>IFERROR(VLOOKUP(J252,Source_Assumptions!$A:$C,3,0),0)</f>
        <v>300</v>
      </c>
    </row>
    <row r="253" spans="1:16" x14ac:dyDescent="0.3">
      <c r="A253">
        <f>Raw_Data!A253</f>
        <v>252</v>
      </c>
      <c r="B253" s="2">
        <f>Raw_Data!B253</f>
        <v>44730.639374999999</v>
      </c>
      <c r="C253">
        <f>YEAR(Raw_Data!B253)</f>
        <v>2022</v>
      </c>
      <c r="D253" t="str">
        <f>IF(MONTH(Raw_Data!B253)&gt;=4,YEAR(Raw_Data!B253)&amp;"-"&amp;RIGHT(YEAR(Raw_Data!B253)+1,2),YEAR(Raw_Data!B253)-1&amp;"-"&amp;RIGHT(YEAR(Raw_Data!B253),2))</f>
        <v>2022-23</v>
      </c>
      <c r="E253" t="str">
        <f>"Q"&amp;ROUNDUP(MONTH(Raw_Data!B253)/3,0)</f>
        <v>Q2</v>
      </c>
      <c r="F253" t="str">
        <f>TEXT(Raw_Data!B253,"mmm")</f>
        <v>Jun</v>
      </c>
      <c r="G253" t="str">
        <f>TEXT(Raw_Data!B253,"ddd")</f>
        <v>Sat</v>
      </c>
      <c r="H253" t="str">
        <f>Raw_Data!D253</f>
        <v>Invoiced</v>
      </c>
      <c r="I253" t="str">
        <f>Raw_Data!F253</f>
        <v>Tele-in</v>
      </c>
      <c r="J253" t="str">
        <f>Raw_Data!G253</f>
        <v>Dealer Webpage Tele-In</v>
      </c>
      <c r="K253" t="str">
        <f>IFERROR(VLOOKUP(J253,Source_Assumptions!$A:$C,2,0),"Unmapped")</f>
        <v>Digital - Owned</v>
      </c>
      <c r="L253" t="str">
        <f>Raw_Data!H253</f>
        <v>5TH GEN CITY PE</v>
      </c>
      <c r="M253" t="str">
        <f>IFERROR(VLOOKUP(L253,Model_Assumptions!$A:$D,2,0),"Unmapped")</f>
        <v>Mid-size Sedan</v>
      </c>
      <c r="N253" t="str">
        <f>IFERROR(VLOOKUP(L253,Model_Assumptions!$A:$D,3,0),"Unmapped")</f>
        <v>Petrol</v>
      </c>
      <c r="O253">
        <f>IFERROR(VLOOKUP(L253,Model_Assumptions!$A:$D,4,0),0)</f>
        <v>1250000</v>
      </c>
      <c r="P253">
        <f>IFERROR(VLOOKUP(J253,Source_Assumptions!$A:$C,3,0),0)</f>
        <v>300</v>
      </c>
    </row>
    <row r="254" spans="1:16" x14ac:dyDescent="0.3">
      <c r="A254">
        <f>Raw_Data!A254</f>
        <v>253</v>
      </c>
      <c r="B254" s="2">
        <f>Raw_Data!B254</f>
        <v>44732.645219907397</v>
      </c>
      <c r="C254">
        <f>YEAR(Raw_Data!B254)</f>
        <v>2022</v>
      </c>
      <c r="D254" t="str">
        <f>IF(MONTH(Raw_Data!B254)&gt;=4,YEAR(Raw_Data!B254)&amp;"-"&amp;RIGHT(YEAR(Raw_Data!B254)+1,2),YEAR(Raw_Data!B254)-1&amp;"-"&amp;RIGHT(YEAR(Raw_Data!B254),2))</f>
        <v>2022-23</v>
      </c>
      <c r="E254" t="str">
        <f>"Q"&amp;ROUNDUP(MONTH(Raw_Data!B254)/3,0)</f>
        <v>Q2</v>
      </c>
      <c r="F254" t="str">
        <f>TEXT(Raw_Data!B254,"mmm")</f>
        <v>Jun</v>
      </c>
      <c r="G254" t="str">
        <f>TEXT(Raw_Data!B254,"ddd")</f>
        <v>Mon</v>
      </c>
      <c r="H254" t="str">
        <f>Raw_Data!D254</f>
        <v>Invoiced</v>
      </c>
      <c r="I254" t="str">
        <f>Raw_Data!F254</f>
        <v>Tele-in</v>
      </c>
      <c r="J254" t="str">
        <f>Raw_Data!G254</f>
        <v>Referral-CAM</v>
      </c>
      <c r="K254" t="str">
        <f>IFERROR(VLOOKUP(J254,Source_Assumptions!$A:$C,2,0),"Unmapped")</f>
        <v>Referral</v>
      </c>
      <c r="L254" t="str">
        <f>Raw_Data!H254</f>
        <v>5TH GEN CITY PE</v>
      </c>
      <c r="M254" t="str">
        <f>IFERROR(VLOOKUP(L254,Model_Assumptions!$A:$D,2,0),"Unmapped")</f>
        <v>Mid-size Sedan</v>
      </c>
      <c r="N254" t="str">
        <f>IFERROR(VLOOKUP(L254,Model_Assumptions!$A:$D,3,0),"Unmapped")</f>
        <v>Petrol</v>
      </c>
      <c r="O254">
        <f>IFERROR(VLOOKUP(L254,Model_Assumptions!$A:$D,4,0),0)</f>
        <v>1250000</v>
      </c>
      <c r="P254">
        <f>IFERROR(VLOOKUP(J254,Source_Assumptions!$A:$C,3,0),0)</f>
        <v>150</v>
      </c>
    </row>
    <row r="255" spans="1:16" x14ac:dyDescent="0.3">
      <c r="A255">
        <f>Raw_Data!A255</f>
        <v>254</v>
      </c>
      <c r="B255" s="2">
        <f>Raw_Data!B255</f>
        <v>44733.619918981502</v>
      </c>
      <c r="C255">
        <f>YEAR(Raw_Data!B255)</f>
        <v>2022</v>
      </c>
      <c r="D255" t="str">
        <f>IF(MONTH(Raw_Data!B255)&gt;=4,YEAR(Raw_Data!B255)&amp;"-"&amp;RIGHT(YEAR(Raw_Data!B255)+1,2),YEAR(Raw_Data!B255)-1&amp;"-"&amp;RIGHT(YEAR(Raw_Data!B255),2))</f>
        <v>2022-23</v>
      </c>
      <c r="E255" t="str">
        <f>"Q"&amp;ROUNDUP(MONTH(Raw_Data!B255)/3,0)</f>
        <v>Q2</v>
      </c>
      <c r="F255" t="str">
        <f>TEXT(Raw_Data!B255,"mmm")</f>
        <v>Jun</v>
      </c>
      <c r="G255" t="str">
        <f>TEXT(Raw_Data!B255,"ddd")</f>
        <v>Tue</v>
      </c>
      <c r="H255" t="str">
        <f>Raw_Data!D255</f>
        <v>Invoiced</v>
      </c>
      <c r="I255" t="str">
        <f>Raw_Data!F255</f>
        <v>Tele-in</v>
      </c>
      <c r="J255" t="str">
        <f>Raw_Data!G255</f>
        <v>Dealer Webpage Tele-In</v>
      </c>
      <c r="K255" t="str">
        <f>IFERROR(VLOOKUP(J255,Source_Assumptions!$A:$C,2,0),"Unmapped")</f>
        <v>Digital - Owned</v>
      </c>
      <c r="L255" t="str">
        <f>Raw_Data!H255</f>
        <v>5TH GEN CITY PE</v>
      </c>
      <c r="M255" t="str">
        <f>IFERROR(VLOOKUP(L255,Model_Assumptions!$A:$D,2,0),"Unmapped")</f>
        <v>Mid-size Sedan</v>
      </c>
      <c r="N255" t="str">
        <f>IFERROR(VLOOKUP(L255,Model_Assumptions!$A:$D,3,0),"Unmapped")</f>
        <v>Petrol</v>
      </c>
      <c r="O255">
        <f>IFERROR(VLOOKUP(L255,Model_Assumptions!$A:$D,4,0),0)</f>
        <v>1250000</v>
      </c>
      <c r="P255">
        <f>IFERROR(VLOOKUP(J255,Source_Assumptions!$A:$C,3,0),0)</f>
        <v>300</v>
      </c>
    </row>
    <row r="256" spans="1:16" x14ac:dyDescent="0.3">
      <c r="A256">
        <f>Raw_Data!A256</f>
        <v>255</v>
      </c>
      <c r="B256" s="2">
        <f>Raw_Data!B256</f>
        <v>44735.6246875</v>
      </c>
      <c r="C256">
        <f>YEAR(Raw_Data!B256)</f>
        <v>2022</v>
      </c>
      <c r="D256" t="str">
        <f>IF(MONTH(Raw_Data!B256)&gt;=4,YEAR(Raw_Data!B256)&amp;"-"&amp;RIGHT(YEAR(Raw_Data!B256)+1,2),YEAR(Raw_Data!B256)-1&amp;"-"&amp;RIGHT(YEAR(Raw_Data!B256),2))</f>
        <v>2022-23</v>
      </c>
      <c r="E256" t="str">
        <f>"Q"&amp;ROUNDUP(MONTH(Raw_Data!B256)/3,0)</f>
        <v>Q2</v>
      </c>
      <c r="F256" t="str">
        <f>TEXT(Raw_Data!B256,"mmm")</f>
        <v>Jun</v>
      </c>
      <c r="G256" t="str">
        <f>TEXT(Raw_Data!B256,"ddd")</f>
        <v>Thu</v>
      </c>
      <c r="H256" t="str">
        <f>Raw_Data!D256</f>
        <v>Invoiced</v>
      </c>
      <c r="I256" t="str">
        <f>Raw_Data!F256</f>
        <v>SMS/ Tele-Out</v>
      </c>
      <c r="J256" t="str">
        <f>Raw_Data!G256</f>
        <v>Database Activity(Teleout/SMS)</v>
      </c>
      <c r="K256" t="str">
        <f>IFERROR(VLOOKUP(J256,Source_Assumptions!$A:$C,2,0),"Unmapped")</f>
        <v>Outbound/Database</v>
      </c>
      <c r="L256" t="str">
        <f>Raw_Data!H256</f>
        <v>5TH GEN CITY PE</v>
      </c>
      <c r="M256" t="str">
        <f>IFERROR(VLOOKUP(L256,Model_Assumptions!$A:$D,2,0),"Unmapped")</f>
        <v>Mid-size Sedan</v>
      </c>
      <c r="N256" t="str">
        <f>IFERROR(VLOOKUP(L256,Model_Assumptions!$A:$D,3,0),"Unmapped")</f>
        <v>Petrol</v>
      </c>
      <c r="O256">
        <f>IFERROR(VLOOKUP(L256,Model_Assumptions!$A:$D,4,0),0)</f>
        <v>1250000</v>
      </c>
      <c r="P256">
        <f>IFERROR(VLOOKUP(J256,Source_Assumptions!$A:$C,3,0),0)</f>
        <v>250</v>
      </c>
    </row>
    <row r="257" spans="1:16" x14ac:dyDescent="0.3">
      <c r="A257">
        <f>Raw_Data!A257</f>
        <v>256</v>
      </c>
      <c r="B257" s="2">
        <f>Raw_Data!B257</f>
        <v>44736.5405902778</v>
      </c>
      <c r="C257">
        <f>YEAR(Raw_Data!B257)</f>
        <v>2022</v>
      </c>
      <c r="D257" t="str">
        <f>IF(MONTH(Raw_Data!B257)&gt;=4,YEAR(Raw_Data!B257)&amp;"-"&amp;RIGHT(YEAR(Raw_Data!B257)+1,2),YEAR(Raw_Data!B257)-1&amp;"-"&amp;RIGHT(YEAR(Raw_Data!B257),2))</f>
        <v>2022-23</v>
      </c>
      <c r="E257" t="str">
        <f>"Q"&amp;ROUNDUP(MONTH(Raw_Data!B257)/3,0)</f>
        <v>Q2</v>
      </c>
      <c r="F257" t="str">
        <f>TEXT(Raw_Data!B257,"mmm")</f>
        <v>Jun</v>
      </c>
      <c r="G257" t="str">
        <f>TEXT(Raw_Data!B257,"ddd")</f>
        <v>Fri</v>
      </c>
      <c r="H257" t="str">
        <f>Raw_Data!D257</f>
        <v>Invoiced</v>
      </c>
      <c r="I257" t="str">
        <f>Raw_Data!F257</f>
        <v>Tele-in</v>
      </c>
      <c r="J257" t="str">
        <f>Raw_Data!G257</f>
        <v>Referral-CAM</v>
      </c>
      <c r="K257" t="str">
        <f>IFERROR(VLOOKUP(J257,Source_Assumptions!$A:$C,2,0),"Unmapped")</f>
        <v>Referral</v>
      </c>
      <c r="L257" t="str">
        <f>Raw_Data!H257</f>
        <v>5TH GEN CITY PE</v>
      </c>
      <c r="M257" t="str">
        <f>IFERROR(VLOOKUP(L257,Model_Assumptions!$A:$D,2,0),"Unmapped")</f>
        <v>Mid-size Sedan</v>
      </c>
      <c r="N257" t="str">
        <f>IFERROR(VLOOKUP(L257,Model_Assumptions!$A:$D,3,0),"Unmapped")</f>
        <v>Petrol</v>
      </c>
      <c r="O257">
        <f>IFERROR(VLOOKUP(L257,Model_Assumptions!$A:$D,4,0),0)</f>
        <v>1250000</v>
      </c>
      <c r="P257">
        <f>IFERROR(VLOOKUP(J257,Source_Assumptions!$A:$C,3,0),0)</f>
        <v>150</v>
      </c>
    </row>
    <row r="258" spans="1:16" x14ac:dyDescent="0.3">
      <c r="A258">
        <f>Raw_Data!A258</f>
        <v>257</v>
      </c>
      <c r="B258" s="2">
        <f>Raw_Data!B258</f>
        <v>44736.638923611099</v>
      </c>
      <c r="C258">
        <f>YEAR(Raw_Data!B258)</f>
        <v>2022</v>
      </c>
      <c r="D258" t="str">
        <f>IF(MONTH(Raw_Data!B258)&gt;=4,YEAR(Raw_Data!B258)&amp;"-"&amp;RIGHT(YEAR(Raw_Data!B258)+1,2),YEAR(Raw_Data!B258)-1&amp;"-"&amp;RIGHT(YEAR(Raw_Data!B258),2))</f>
        <v>2022-23</v>
      </c>
      <c r="E258" t="str">
        <f>"Q"&amp;ROUNDUP(MONTH(Raw_Data!B258)/3,0)</f>
        <v>Q2</v>
      </c>
      <c r="F258" t="str">
        <f>TEXT(Raw_Data!B258,"mmm")</f>
        <v>Jun</v>
      </c>
      <c r="G258" t="str">
        <f>TEXT(Raw_Data!B258,"ddd")</f>
        <v>Fri</v>
      </c>
      <c r="H258" t="str">
        <f>Raw_Data!D258</f>
        <v>Invoiced</v>
      </c>
      <c r="I258" t="str">
        <f>Raw_Data!F258</f>
        <v>Tele-in</v>
      </c>
      <c r="J258" t="str">
        <f>Raw_Data!G258</f>
        <v>Referral-CAM</v>
      </c>
      <c r="K258" t="str">
        <f>IFERROR(VLOOKUP(J258,Source_Assumptions!$A:$C,2,0),"Unmapped")</f>
        <v>Referral</v>
      </c>
      <c r="L258" t="str">
        <f>Raw_Data!H258</f>
        <v>AMAZE Petrol</v>
      </c>
      <c r="M258" t="str">
        <f>IFERROR(VLOOKUP(L258,Model_Assumptions!$A:$D,2,0),"Unmapped")</f>
        <v>Sub-4m Sedan</v>
      </c>
      <c r="N258" t="str">
        <f>IFERROR(VLOOKUP(L258,Model_Assumptions!$A:$D,3,0),"Unmapped")</f>
        <v>Petrol</v>
      </c>
      <c r="O258">
        <f>IFERROR(VLOOKUP(L258,Model_Assumptions!$A:$D,4,0),0)</f>
        <v>850000</v>
      </c>
      <c r="P258">
        <f>IFERROR(VLOOKUP(J258,Source_Assumptions!$A:$C,3,0),0)</f>
        <v>150</v>
      </c>
    </row>
    <row r="259" spans="1:16" x14ac:dyDescent="0.3">
      <c r="A259">
        <f>Raw_Data!A259</f>
        <v>258</v>
      </c>
      <c r="B259" s="2">
        <f>Raw_Data!B259</f>
        <v>44736.669270833299</v>
      </c>
      <c r="C259">
        <f>YEAR(Raw_Data!B259)</f>
        <v>2022</v>
      </c>
      <c r="D259" t="str">
        <f>IF(MONTH(Raw_Data!B259)&gt;=4,YEAR(Raw_Data!B259)&amp;"-"&amp;RIGHT(YEAR(Raw_Data!B259)+1,2),YEAR(Raw_Data!B259)-1&amp;"-"&amp;RIGHT(YEAR(Raw_Data!B259),2))</f>
        <v>2022-23</v>
      </c>
      <c r="E259" t="str">
        <f>"Q"&amp;ROUNDUP(MONTH(Raw_Data!B259)/3,0)</f>
        <v>Q2</v>
      </c>
      <c r="F259" t="str">
        <f>TEXT(Raw_Data!B259,"mmm")</f>
        <v>Jun</v>
      </c>
      <c r="G259" t="str">
        <f>TEXT(Raw_Data!B259,"ddd")</f>
        <v>Fri</v>
      </c>
      <c r="H259" t="str">
        <f>Raw_Data!D259</f>
        <v>Invoiced</v>
      </c>
      <c r="I259" t="str">
        <f>Raw_Data!F259</f>
        <v>Web Lead</v>
      </c>
      <c r="J259" t="str">
        <f>Raw_Data!G259</f>
        <v>Web_Organic</v>
      </c>
      <c r="K259" t="str">
        <f>IFERROR(VLOOKUP(J259,Source_Assumptions!$A:$C,2,0),"Unmapped")</f>
        <v>Digital - Organic</v>
      </c>
      <c r="L259" t="str">
        <f>Raw_Data!H259</f>
        <v>AMAZE Petrol</v>
      </c>
      <c r="M259" t="str">
        <f>IFERROR(VLOOKUP(L259,Model_Assumptions!$A:$D,2,0),"Unmapped")</f>
        <v>Sub-4m Sedan</v>
      </c>
      <c r="N259" t="str">
        <f>IFERROR(VLOOKUP(L259,Model_Assumptions!$A:$D,3,0),"Unmapped")</f>
        <v>Petrol</v>
      </c>
      <c r="O259">
        <f>IFERROR(VLOOKUP(L259,Model_Assumptions!$A:$D,4,0),0)</f>
        <v>850000</v>
      </c>
      <c r="P259">
        <f>IFERROR(VLOOKUP(J259,Source_Assumptions!$A:$C,3,0),0)</f>
        <v>100</v>
      </c>
    </row>
    <row r="260" spans="1:16" x14ac:dyDescent="0.3">
      <c r="A260">
        <f>Raw_Data!A260</f>
        <v>259</v>
      </c>
      <c r="B260" s="2">
        <f>Raw_Data!B260</f>
        <v>44737.4298263889</v>
      </c>
      <c r="C260">
        <f>YEAR(Raw_Data!B260)</f>
        <v>2022</v>
      </c>
      <c r="D260" t="str">
        <f>IF(MONTH(Raw_Data!B260)&gt;=4,YEAR(Raw_Data!B260)&amp;"-"&amp;RIGHT(YEAR(Raw_Data!B260)+1,2),YEAR(Raw_Data!B260)-1&amp;"-"&amp;RIGHT(YEAR(Raw_Data!B260),2))</f>
        <v>2022-23</v>
      </c>
      <c r="E260" t="str">
        <f>"Q"&amp;ROUNDUP(MONTH(Raw_Data!B260)/3,0)</f>
        <v>Q2</v>
      </c>
      <c r="F260" t="str">
        <f>TEXT(Raw_Data!B260,"mmm")</f>
        <v>Jun</v>
      </c>
      <c r="G260" t="str">
        <f>TEXT(Raw_Data!B260,"ddd")</f>
        <v>Sat</v>
      </c>
      <c r="H260" t="str">
        <f>Raw_Data!D260</f>
        <v>Invoiced</v>
      </c>
      <c r="I260" t="str">
        <f>Raw_Data!F260</f>
        <v>Tele-in</v>
      </c>
      <c r="J260" t="str">
        <f>Raw_Data!G260</f>
        <v>Dealer Webpage Tele-In</v>
      </c>
      <c r="K260" t="str">
        <f>IFERROR(VLOOKUP(J260,Source_Assumptions!$A:$C,2,0),"Unmapped")</f>
        <v>Digital - Owned</v>
      </c>
      <c r="L260" t="str">
        <f>Raw_Data!H260</f>
        <v>5TH GEN CITY PE</v>
      </c>
      <c r="M260" t="str">
        <f>IFERROR(VLOOKUP(L260,Model_Assumptions!$A:$D,2,0),"Unmapped")</f>
        <v>Mid-size Sedan</v>
      </c>
      <c r="N260" t="str">
        <f>IFERROR(VLOOKUP(L260,Model_Assumptions!$A:$D,3,0),"Unmapped")</f>
        <v>Petrol</v>
      </c>
      <c r="O260">
        <f>IFERROR(VLOOKUP(L260,Model_Assumptions!$A:$D,4,0),0)</f>
        <v>1250000</v>
      </c>
      <c r="P260">
        <f>IFERROR(VLOOKUP(J260,Source_Assumptions!$A:$C,3,0),0)</f>
        <v>300</v>
      </c>
    </row>
    <row r="261" spans="1:16" x14ac:dyDescent="0.3">
      <c r="A261">
        <f>Raw_Data!A261</f>
        <v>260</v>
      </c>
      <c r="B261" s="2">
        <f>Raw_Data!B261</f>
        <v>44737.4847800926</v>
      </c>
      <c r="C261">
        <f>YEAR(Raw_Data!B261)</f>
        <v>2022</v>
      </c>
      <c r="D261" t="str">
        <f>IF(MONTH(Raw_Data!B261)&gt;=4,YEAR(Raw_Data!B261)&amp;"-"&amp;RIGHT(YEAR(Raw_Data!B261)+1,2),YEAR(Raw_Data!B261)-1&amp;"-"&amp;RIGHT(YEAR(Raw_Data!B261),2))</f>
        <v>2022-23</v>
      </c>
      <c r="E261" t="str">
        <f>"Q"&amp;ROUNDUP(MONTH(Raw_Data!B261)/3,0)</f>
        <v>Q2</v>
      </c>
      <c r="F261" t="str">
        <f>TEXT(Raw_Data!B261,"mmm")</f>
        <v>Jun</v>
      </c>
      <c r="G261" t="str">
        <f>TEXT(Raw_Data!B261,"ddd")</f>
        <v>Sat</v>
      </c>
      <c r="H261" t="str">
        <f>Raw_Data!D261</f>
        <v>Invoiced</v>
      </c>
      <c r="I261" t="str">
        <f>Raw_Data!F261</f>
        <v>Tele-in</v>
      </c>
      <c r="J261" t="str">
        <f>Raw_Data!G261</f>
        <v>Adver. (TVC/Print/Hoarding/FM)</v>
      </c>
      <c r="K261" t="str">
        <f>IFERROR(VLOOKUP(J261,Source_Assumptions!$A:$C,2,0),"Unmapped")</f>
        <v>Traditional Advertising</v>
      </c>
      <c r="L261" t="str">
        <f>Raw_Data!H261</f>
        <v>5TH GEN CITY PE</v>
      </c>
      <c r="M261" t="str">
        <f>IFERROR(VLOOKUP(L261,Model_Assumptions!$A:$D,2,0),"Unmapped")</f>
        <v>Mid-size Sedan</v>
      </c>
      <c r="N261" t="str">
        <f>IFERROR(VLOOKUP(L261,Model_Assumptions!$A:$D,3,0),"Unmapped")</f>
        <v>Petrol</v>
      </c>
      <c r="O261">
        <f>IFERROR(VLOOKUP(L261,Model_Assumptions!$A:$D,4,0),0)</f>
        <v>1250000</v>
      </c>
      <c r="P261">
        <f>IFERROR(VLOOKUP(J261,Source_Assumptions!$A:$C,3,0),0)</f>
        <v>1200</v>
      </c>
    </row>
    <row r="262" spans="1:16" x14ac:dyDescent="0.3">
      <c r="A262">
        <f>Raw_Data!A262</f>
        <v>261</v>
      </c>
      <c r="B262" s="2">
        <f>Raw_Data!B262</f>
        <v>44737.692349536999</v>
      </c>
      <c r="C262">
        <f>YEAR(Raw_Data!B262)</f>
        <v>2022</v>
      </c>
      <c r="D262" t="str">
        <f>IF(MONTH(Raw_Data!B262)&gt;=4,YEAR(Raw_Data!B262)&amp;"-"&amp;RIGHT(YEAR(Raw_Data!B262)+1,2),YEAR(Raw_Data!B262)-1&amp;"-"&amp;RIGHT(YEAR(Raw_Data!B262),2))</f>
        <v>2022-23</v>
      </c>
      <c r="E262" t="str">
        <f>"Q"&amp;ROUNDUP(MONTH(Raw_Data!B262)/3,0)</f>
        <v>Q2</v>
      </c>
      <c r="F262" t="str">
        <f>TEXT(Raw_Data!B262,"mmm")</f>
        <v>Jun</v>
      </c>
      <c r="G262" t="str">
        <f>TEXT(Raw_Data!B262,"ddd")</f>
        <v>Sat</v>
      </c>
      <c r="H262" t="str">
        <f>Raw_Data!D262</f>
        <v>Invoiced</v>
      </c>
      <c r="I262" t="str">
        <f>Raw_Data!F262</f>
        <v>Tele-in</v>
      </c>
      <c r="J262" t="str">
        <f>Raw_Data!G262</f>
        <v>Dealer Webpage Tele-In</v>
      </c>
      <c r="K262" t="str">
        <f>IFERROR(VLOOKUP(J262,Source_Assumptions!$A:$C,2,0),"Unmapped")</f>
        <v>Digital - Owned</v>
      </c>
      <c r="L262" t="str">
        <f>Raw_Data!H262</f>
        <v>AMAZE Petrol</v>
      </c>
      <c r="M262" t="str">
        <f>IFERROR(VLOOKUP(L262,Model_Assumptions!$A:$D,2,0),"Unmapped")</f>
        <v>Sub-4m Sedan</v>
      </c>
      <c r="N262" t="str">
        <f>IFERROR(VLOOKUP(L262,Model_Assumptions!$A:$D,3,0),"Unmapped")</f>
        <v>Petrol</v>
      </c>
      <c r="O262">
        <f>IFERROR(VLOOKUP(L262,Model_Assumptions!$A:$D,4,0),0)</f>
        <v>850000</v>
      </c>
      <c r="P262">
        <f>IFERROR(VLOOKUP(J262,Source_Assumptions!$A:$C,3,0),0)</f>
        <v>300</v>
      </c>
    </row>
    <row r="263" spans="1:16" x14ac:dyDescent="0.3">
      <c r="A263">
        <f>Raw_Data!A263</f>
        <v>262</v>
      </c>
      <c r="B263" s="2">
        <f>Raw_Data!B263</f>
        <v>44737.696736111102</v>
      </c>
      <c r="C263">
        <f>YEAR(Raw_Data!B263)</f>
        <v>2022</v>
      </c>
      <c r="D263" t="str">
        <f>IF(MONTH(Raw_Data!B263)&gt;=4,YEAR(Raw_Data!B263)&amp;"-"&amp;RIGHT(YEAR(Raw_Data!B263)+1,2),YEAR(Raw_Data!B263)-1&amp;"-"&amp;RIGHT(YEAR(Raw_Data!B263),2))</f>
        <v>2022-23</v>
      </c>
      <c r="E263" t="str">
        <f>"Q"&amp;ROUNDUP(MONTH(Raw_Data!B263)/3,0)</f>
        <v>Q2</v>
      </c>
      <c r="F263" t="str">
        <f>TEXT(Raw_Data!B263,"mmm")</f>
        <v>Jun</v>
      </c>
      <c r="G263" t="str">
        <f>TEXT(Raw_Data!B263,"ddd")</f>
        <v>Sat</v>
      </c>
      <c r="H263" t="str">
        <f>Raw_Data!D263</f>
        <v>Invoiced</v>
      </c>
      <c r="I263" t="str">
        <f>Raw_Data!F263</f>
        <v>Tele-in</v>
      </c>
      <c r="J263" t="str">
        <f>Raw_Data!G263</f>
        <v>Adver. (TVC/Print/Hoarding/FM)</v>
      </c>
      <c r="K263" t="str">
        <f>IFERROR(VLOOKUP(J263,Source_Assumptions!$A:$C,2,0),"Unmapped")</f>
        <v>Traditional Advertising</v>
      </c>
      <c r="L263" t="str">
        <f>Raw_Data!H263</f>
        <v>AMAZE Petrol</v>
      </c>
      <c r="M263" t="str">
        <f>IFERROR(VLOOKUP(L263,Model_Assumptions!$A:$D,2,0),"Unmapped")</f>
        <v>Sub-4m Sedan</v>
      </c>
      <c r="N263" t="str">
        <f>IFERROR(VLOOKUP(L263,Model_Assumptions!$A:$D,3,0),"Unmapped")</f>
        <v>Petrol</v>
      </c>
      <c r="O263">
        <f>IFERROR(VLOOKUP(L263,Model_Assumptions!$A:$D,4,0),0)</f>
        <v>850000</v>
      </c>
      <c r="P263">
        <f>IFERROR(VLOOKUP(J263,Source_Assumptions!$A:$C,3,0),0)</f>
        <v>1200</v>
      </c>
    </row>
    <row r="264" spans="1:16" x14ac:dyDescent="0.3">
      <c r="A264">
        <f>Raw_Data!A264</f>
        <v>263</v>
      </c>
      <c r="B264" s="2">
        <f>Raw_Data!B264</f>
        <v>44739.455451388902</v>
      </c>
      <c r="C264">
        <f>YEAR(Raw_Data!B264)</f>
        <v>2022</v>
      </c>
      <c r="D264" t="str">
        <f>IF(MONTH(Raw_Data!B264)&gt;=4,YEAR(Raw_Data!B264)&amp;"-"&amp;RIGHT(YEAR(Raw_Data!B264)+1,2),YEAR(Raw_Data!B264)-1&amp;"-"&amp;RIGHT(YEAR(Raw_Data!B264),2))</f>
        <v>2022-23</v>
      </c>
      <c r="E264" t="str">
        <f>"Q"&amp;ROUNDUP(MONTH(Raw_Data!B264)/3,0)</f>
        <v>Q2</v>
      </c>
      <c r="F264" t="str">
        <f>TEXT(Raw_Data!B264,"mmm")</f>
        <v>Jun</v>
      </c>
      <c r="G264" t="str">
        <f>TEXT(Raw_Data!B264,"ddd")</f>
        <v>Mon</v>
      </c>
      <c r="H264" t="str">
        <f>Raw_Data!D264</f>
        <v>Invoiced</v>
      </c>
      <c r="I264" t="str">
        <f>Raw_Data!F264</f>
        <v>Tele-in</v>
      </c>
      <c r="J264" t="str">
        <f>Raw_Data!G264</f>
        <v>Dealer Webpage Tele-In</v>
      </c>
      <c r="K264" t="str">
        <f>IFERROR(VLOOKUP(J264,Source_Assumptions!$A:$C,2,0),"Unmapped")</f>
        <v>Digital - Owned</v>
      </c>
      <c r="L264" t="str">
        <f>Raw_Data!H264</f>
        <v>AMAZE Petrol</v>
      </c>
      <c r="M264" t="str">
        <f>IFERROR(VLOOKUP(L264,Model_Assumptions!$A:$D,2,0),"Unmapped")</f>
        <v>Sub-4m Sedan</v>
      </c>
      <c r="N264" t="str">
        <f>IFERROR(VLOOKUP(L264,Model_Assumptions!$A:$D,3,0),"Unmapped")</f>
        <v>Petrol</v>
      </c>
      <c r="O264">
        <f>IFERROR(VLOOKUP(L264,Model_Assumptions!$A:$D,4,0),0)</f>
        <v>850000</v>
      </c>
      <c r="P264">
        <f>IFERROR(VLOOKUP(J264,Source_Assumptions!$A:$C,3,0),0)</f>
        <v>300</v>
      </c>
    </row>
    <row r="265" spans="1:16" x14ac:dyDescent="0.3">
      <c r="A265">
        <f>Raw_Data!A265</f>
        <v>264</v>
      </c>
      <c r="B265" s="2">
        <f>Raw_Data!B265</f>
        <v>44740.547361111101</v>
      </c>
      <c r="C265">
        <f>YEAR(Raw_Data!B265)</f>
        <v>2022</v>
      </c>
      <c r="D265" t="str">
        <f>IF(MONTH(Raw_Data!B265)&gt;=4,YEAR(Raw_Data!B265)&amp;"-"&amp;RIGHT(YEAR(Raw_Data!B265)+1,2),YEAR(Raw_Data!B265)-1&amp;"-"&amp;RIGHT(YEAR(Raw_Data!B265),2))</f>
        <v>2022-23</v>
      </c>
      <c r="E265" t="str">
        <f>"Q"&amp;ROUNDUP(MONTH(Raw_Data!B265)/3,0)</f>
        <v>Q2</v>
      </c>
      <c r="F265" t="str">
        <f>TEXT(Raw_Data!B265,"mmm")</f>
        <v>Jun</v>
      </c>
      <c r="G265" t="str">
        <f>TEXT(Raw_Data!B265,"ddd")</f>
        <v>Tue</v>
      </c>
      <c r="H265" t="str">
        <f>Raw_Data!D265</f>
        <v>Invoiced</v>
      </c>
      <c r="I265" t="str">
        <f>Raw_Data!F265</f>
        <v>Tele-in</v>
      </c>
      <c r="J265" t="str">
        <f>Raw_Data!G265</f>
        <v>Adver. (TVC/Print/Hoarding/FM)</v>
      </c>
      <c r="K265" t="str">
        <f>IFERROR(VLOOKUP(J265,Source_Assumptions!$A:$C,2,0),"Unmapped")</f>
        <v>Traditional Advertising</v>
      </c>
      <c r="L265" t="str">
        <f>Raw_Data!H265</f>
        <v>JAZZ PE</v>
      </c>
      <c r="M265" t="str">
        <f>IFERROR(VLOOKUP(L265,Model_Assumptions!$A:$D,2,0),"Unmapped")</f>
        <v>Hatchback</v>
      </c>
      <c r="N265" t="str">
        <f>IFERROR(VLOOKUP(L265,Model_Assumptions!$A:$D,3,0),"Unmapped")</f>
        <v>Petrol</v>
      </c>
      <c r="O265">
        <f>IFERROR(VLOOKUP(L265,Model_Assumptions!$A:$D,4,0),0)</f>
        <v>800000</v>
      </c>
      <c r="P265">
        <f>IFERROR(VLOOKUP(J265,Source_Assumptions!$A:$C,3,0),0)</f>
        <v>1200</v>
      </c>
    </row>
    <row r="266" spans="1:16" x14ac:dyDescent="0.3">
      <c r="A266">
        <f>Raw_Data!A266</f>
        <v>265</v>
      </c>
      <c r="B266" s="2">
        <f>Raw_Data!B266</f>
        <v>44740.621655092596</v>
      </c>
      <c r="C266">
        <f>YEAR(Raw_Data!B266)</f>
        <v>2022</v>
      </c>
      <c r="D266" t="str">
        <f>IF(MONTH(Raw_Data!B266)&gt;=4,YEAR(Raw_Data!B266)&amp;"-"&amp;RIGHT(YEAR(Raw_Data!B266)+1,2),YEAR(Raw_Data!B266)-1&amp;"-"&amp;RIGHT(YEAR(Raw_Data!B266),2))</f>
        <v>2022-23</v>
      </c>
      <c r="E266" t="str">
        <f>"Q"&amp;ROUNDUP(MONTH(Raw_Data!B266)/3,0)</f>
        <v>Q2</v>
      </c>
      <c r="F266" t="str">
        <f>TEXT(Raw_Data!B266,"mmm")</f>
        <v>Jun</v>
      </c>
      <c r="G266" t="str">
        <f>TEXT(Raw_Data!B266,"ddd")</f>
        <v>Tue</v>
      </c>
      <c r="H266" t="str">
        <f>Raw_Data!D266</f>
        <v>Invoiced</v>
      </c>
      <c r="I266" t="str">
        <f>Raw_Data!F266</f>
        <v>Walk-in Showroom</v>
      </c>
      <c r="J266" t="str">
        <f>Raw_Data!G266</f>
        <v>Adver. (TVC/Print/Hoarding/FM)</v>
      </c>
      <c r="K266" t="str">
        <f>IFERROR(VLOOKUP(J266,Source_Assumptions!$A:$C,2,0),"Unmapped")</f>
        <v>Traditional Advertising</v>
      </c>
      <c r="L266" t="str">
        <f>Raw_Data!H266</f>
        <v>5TH GEN CITY PE</v>
      </c>
      <c r="M266" t="str">
        <f>IFERROR(VLOOKUP(L266,Model_Assumptions!$A:$D,2,0),"Unmapped")</f>
        <v>Mid-size Sedan</v>
      </c>
      <c r="N266" t="str">
        <f>IFERROR(VLOOKUP(L266,Model_Assumptions!$A:$D,3,0),"Unmapped")</f>
        <v>Petrol</v>
      </c>
      <c r="O266">
        <f>IFERROR(VLOOKUP(L266,Model_Assumptions!$A:$D,4,0),0)</f>
        <v>1250000</v>
      </c>
      <c r="P266">
        <f>IFERROR(VLOOKUP(J266,Source_Assumptions!$A:$C,3,0),0)</f>
        <v>1200</v>
      </c>
    </row>
    <row r="267" spans="1:16" x14ac:dyDescent="0.3">
      <c r="A267">
        <f>Raw_Data!A267</f>
        <v>266</v>
      </c>
      <c r="B267" s="2">
        <f>Raw_Data!B267</f>
        <v>44740.720243055599</v>
      </c>
      <c r="C267">
        <f>YEAR(Raw_Data!B267)</f>
        <v>2022</v>
      </c>
      <c r="D267" t="str">
        <f>IF(MONTH(Raw_Data!B267)&gt;=4,YEAR(Raw_Data!B267)&amp;"-"&amp;RIGHT(YEAR(Raw_Data!B267)+1,2),YEAR(Raw_Data!B267)-1&amp;"-"&amp;RIGHT(YEAR(Raw_Data!B267),2))</f>
        <v>2022-23</v>
      </c>
      <c r="E267" t="str">
        <f>"Q"&amp;ROUNDUP(MONTH(Raw_Data!B267)/3,0)</f>
        <v>Q2</v>
      </c>
      <c r="F267" t="str">
        <f>TEXT(Raw_Data!B267,"mmm")</f>
        <v>Jun</v>
      </c>
      <c r="G267" t="str">
        <f>TEXT(Raw_Data!B267,"ddd")</f>
        <v>Tue</v>
      </c>
      <c r="H267" t="str">
        <f>Raw_Data!D267</f>
        <v>Invoiced</v>
      </c>
      <c r="I267" t="str">
        <f>Raw_Data!F267</f>
        <v>Web Lead</v>
      </c>
      <c r="J267" t="str">
        <f>Raw_Data!G267</f>
        <v>Web_Organic</v>
      </c>
      <c r="K267" t="str">
        <f>IFERROR(VLOOKUP(J267,Source_Assumptions!$A:$C,2,0),"Unmapped")</f>
        <v>Digital - Organic</v>
      </c>
      <c r="L267" t="str">
        <f>Raw_Data!H267</f>
        <v>5TH GEN CITY PE</v>
      </c>
      <c r="M267" t="str">
        <f>IFERROR(VLOOKUP(L267,Model_Assumptions!$A:$D,2,0),"Unmapped")</f>
        <v>Mid-size Sedan</v>
      </c>
      <c r="N267" t="str">
        <f>IFERROR(VLOOKUP(L267,Model_Assumptions!$A:$D,3,0),"Unmapped")</f>
        <v>Petrol</v>
      </c>
      <c r="O267">
        <f>IFERROR(VLOOKUP(L267,Model_Assumptions!$A:$D,4,0),0)</f>
        <v>1250000</v>
      </c>
      <c r="P267">
        <f>IFERROR(VLOOKUP(J267,Source_Assumptions!$A:$C,3,0),0)</f>
        <v>100</v>
      </c>
    </row>
    <row r="268" spans="1:16" x14ac:dyDescent="0.3">
      <c r="A268">
        <f>Raw_Data!A268</f>
        <v>267</v>
      </c>
      <c r="B268" s="2">
        <f>Raw_Data!B268</f>
        <v>44741.455682870401</v>
      </c>
      <c r="C268">
        <f>YEAR(Raw_Data!B268)</f>
        <v>2022</v>
      </c>
      <c r="D268" t="str">
        <f>IF(MONTH(Raw_Data!B268)&gt;=4,YEAR(Raw_Data!B268)&amp;"-"&amp;RIGHT(YEAR(Raw_Data!B268)+1,2),YEAR(Raw_Data!B268)-1&amp;"-"&amp;RIGHT(YEAR(Raw_Data!B268),2))</f>
        <v>2022-23</v>
      </c>
      <c r="E268" t="str">
        <f>"Q"&amp;ROUNDUP(MONTH(Raw_Data!B268)/3,0)</f>
        <v>Q2</v>
      </c>
      <c r="F268" t="str">
        <f>TEXT(Raw_Data!B268,"mmm")</f>
        <v>Jun</v>
      </c>
      <c r="G268" t="str">
        <f>TEXT(Raw_Data!B268,"ddd")</f>
        <v>Wed</v>
      </c>
      <c r="H268" t="str">
        <f>Raw_Data!D268</f>
        <v>Invoiced</v>
      </c>
      <c r="I268" t="str">
        <f>Raw_Data!F268</f>
        <v>Tele-in</v>
      </c>
      <c r="J268" t="str">
        <f>Raw_Data!G268</f>
        <v>Adver. (TVC/Print/Hoarding/FM)</v>
      </c>
      <c r="K268" t="str">
        <f>IFERROR(VLOOKUP(J268,Source_Assumptions!$A:$C,2,0),"Unmapped")</f>
        <v>Traditional Advertising</v>
      </c>
      <c r="L268" t="str">
        <f>Raw_Data!H268</f>
        <v>CITY PE</v>
      </c>
      <c r="M268" t="str">
        <f>IFERROR(VLOOKUP(L268,Model_Assumptions!$A:$D,2,0),"Unmapped")</f>
        <v>Mid-size Sedan</v>
      </c>
      <c r="N268" t="str">
        <f>IFERROR(VLOOKUP(L268,Model_Assumptions!$A:$D,3,0),"Unmapped")</f>
        <v>Petrol</v>
      </c>
      <c r="O268">
        <f>IFERROR(VLOOKUP(L268,Model_Assumptions!$A:$D,4,0),0)</f>
        <v>1100000</v>
      </c>
      <c r="P268">
        <f>IFERROR(VLOOKUP(J268,Source_Assumptions!$A:$C,3,0),0)</f>
        <v>1200</v>
      </c>
    </row>
    <row r="269" spans="1:16" x14ac:dyDescent="0.3">
      <c r="A269">
        <f>Raw_Data!A269</f>
        <v>268</v>
      </c>
      <c r="B269" s="2">
        <f>Raw_Data!B269</f>
        <v>44741.702800925901</v>
      </c>
      <c r="C269">
        <f>YEAR(Raw_Data!B269)</f>
        <v>2022</v>
      </c>
      <c r="D269" t="str">
        <f>IF(MONTH(Raw_Data!B269)&gt;=4,YEAR(Raw_Data!B269)&amp;"-"&amp;RIGHT(YEAR(Raw_Data!B269)+1,2),YEAR(Raw_Data!B269)-1&amp;"-"&amp;RIGHT(YEAR(Raw_Data!B269),2))</f>
        <v>2022-23</v>
      </c>
      <c r="E269" t="str">
        <f>"Q"&amp;ROUNDUP(MONTH(Raw_Data!B269)/3,0)</f>
        <v>Q2</v>
      </c>
      <c r="F269" t="str">
        <f>TEXT(Raw_Data!B269,"mmm")</f>
        <v>Jun</v>
      </c>
      <c r="G269" t="str">
        <f>TEXT(Raw_Data!B269,"ddd")</f>
        <v>Wed</v>
      </c>
      <c r="H269" t="str">
        <f>Raw_Data!D269</f>
        <v>Invoiced</v>
      </c>
      <c r="I269" t="str">
        <f>Raw_Data!F269</f>
        <v>Walk-in Showroom</v>
      </c>
      <c r="J269" t="str">
        <f>Raw_Data!G269</f>
        <v>Adver. (TVC/Print/Hoarding/FM)</v>
      </c>
      <c r="K269" t="str">
        <f>IFERROR(VLOOKUP(J269,Source_Assumptions!$A:$C,2,0),"Unmapped")</f>
        <v>Traditional Advertising</v>
      </c>
      <c r="L269" t="str">
        <f>Raw_Data!H269</f>
        <v>JAZZ PE</v>
      </c>
      <c r="M269" t="str">
        <f>IFERROR(VLOOKUP(L269,Model_Assumptions!$A:$D,2,0),"Unmapped")</f>
        <v>Hatchback</v>
      </c>
      <c r="N269" t="str">
        <f>IFERROR(VLOOKUP(L269,Model_Assumptions!$A:$D,3,0),"Unmapped")</f>
        <v>Petrol</v>
      </c>
      <c r="O269">
        <f>IFERROR(VLOOKUP(L269,Model_Assumptions!$A:$D,4,0),0)</f>
        <v>800000</v>
      </c>
      <c r="P269">
        <f>IFERROR(VLOOKUP(J269,Source_Assumptions!$A:$C,3,0),0)</f>
        <v>1200</v>
      </c>
    </row>
    <row r="270" spans="1:16" x14ac:dyDescent="0.3">
      <c r="A270">
        <f>Raw_Data!A270</f>
        <v>269</v>
      </c>
      <c r="B270" s="2">
        <f>Raw_Data!B270</f>
        <v>44742.545405092598</v>
      </c>
      <c r="C270">
        <f>YEAR(Raw_Data!B270)</f>
        <v>2022</v>
      </c>
      <c r="D270" t="str">
        <f>IF(MONTH(Raw_Data!B270)&gt;=4,YEAR(Raw_Data!B270)&amp;"-"&amp;RIGHT(YEAR(Raw_Data!B270)+1,2),YEAR(Raw_Data!B270)-1&amp;"-"&amp;RIGHT(YEAR(Raw_Data!B270),2))</f>
        <v>2022-23</v>
      </c>
      <c r="E270" t="str">
        <f>"Q"&amp;ROUNDUP(MONTH(Raw_Data!B270)/3,0)</f>
        <v>Q2</v>
      </c>
      <c r="F270" t="str">
        <f>TEXT(Raw_Data!B270,"mmm")</f>
        <v>Jun</v>
      </c>
      <c r="G270" t="str">
        <f>TEXT(Raw_Data!B270,"ddd")</f>
        <v>Thu</v>
      </c>
      <c r="H270" t="str">
        <f>Raw_Data!D270</f>
        <v>Invoiced</v>
      </c>
      <c r="I270" t="str">
        <f>Raw_Data!F270</f>
        <v>SMS/ Tele-Out</v>
      </c>
      <c r="J270" t="str">
        <f>Raw_Data!G270</f>
        <v>Database Activity(Teleout/SMS)</v>
      </c>
      <c r="K270" t="str">
        <f>IFERROR(VLOOKUP(J270,Source_Assumptions!$A:$C,2,0),"Unmapped")</f>
        <v>Outbound/Database</v>
      </c>
      <c r="L270" t="str">
        <f>Raw_Data!H270</f>
        <v>5TH GEN CITY PE</v>
      </c>
      <c r="M270" t="str">
        <f>IFERROR(VLOOKUP(L270,Model_Assumptions!$A:$D,2,0),"Unmapped")</f>
        <v>Mid-size Sedan</v>
      </c>
      <c r="N270" t="str">
        <f>IFERROR(VLOOKUP(L270,Model_Assumptions!$A:$D,3,0),"Unmapped")</f>
        <v>Petrol</v>
      </c>
      <c r="O270">
        <f>IFERROR(VLOOKUP(L270,Model_Assumptions!$A:$D,4,0),0)</f>
        <v>1250000</v>
      </c>
      <c r="P270">
        <f>IFERROR(VLOOKUP(J270,Source_Assumptions!$A:$C,3,0),0)</f>
        <v>250</v>
      </c>
    </row>
    <row r="271" spans="1:16" x14ac:dyDescent="0.3">
      <c r="A271">
        <f>Raw_Data!A271</f>
        <v>270</v>
      </c>
      <c r="B271" s="2">
        <f>Raw_Data!B271</f>
        <v>44742.690740740698</v>
      </c>
      <c r="C271">
        <f>YEAR(Raw_Data!B271)</f>
        <v>2022</v>
      </c>
      <c r="D271" t="str">
        <f>IF(MONTH(Raw_Data!B271)&gt;=4,YEAR(Raw_Data!B271)&amp;"-"&amp;RIGHT(YEAR(Raw_Data!B271)+1,2),YEAR(Raw_Data!B271)-1&amp;"-"&amp;RIGHT(YEAR(Raw_Data!B271),2))</f>
        <v>2022-23</v>
      </c>
      <c r="E271" t="str">
        <f>"Q"&amp;ROUNDUP(MONTH(Raw_Data!B271)/3,0)</f>
        <v>Q2</v>
      </c>
      <c r="F271" t="str">
        <f>TEXT(Raw_Data!B271,"mmm")</f>
        <v>Jun</v>
      </c>
      <c r="G271" t="str">
        <f>TEXT(Raw_Data!B271,"ddd")</f>
        <v>Thu</v>
      </c>
      <c r="H271" t="str">
        <f>Raw_Data!D271</f>
        <v>Invoiced</v>
      </c>
      <c r="I271" t="str">
        <f>Raw_Data!F271</f>
        <v>Tele-in</v>
      </c>
      <c r="J271" t="str">
        <f>Raw_Data!G271</f>
        <v>Dealer Webpage Tele-In</v>
      </c>
      <c r="K271" t="str">
        <f>IFERROR(VLOOKUP(J271,Source_Assumptions!$A:$C,2,0),"Unmapped")</f>
        <v>Digital - Owned</v>
      </c>
      <c r="L271" t="str">
        <f>Raw_Data!H271</f>
        <v>5TH GEN CITY PE</v>
      </c>
      <c r="M271" t="str">
        <f>IFERROR(VLOOKUP(L271,Model_Assumptions!$A:$D,2,0),"Unmapped")</f>
        <v>Mid-size Sedan</v>
      </c>
      <c r="N271" t="str">
        <f>IFERROR(VLOOKUP(L271,Model_Assumptions!$A:$D,3,0),"Unmapped")</f>
        <v>Petrol</v>
      </c>
      <c r="O271">
        <f>IFERROR(VLOOKUP(L271,Model_Assumptions!$A:$D,4,0),0)</f>
        <v>1250000</v>
      </c>
      <c r="P271">
        <f>IFERROR(VLOOKUP(J271,Source_Assumptions!$A:$C,3,0),0)</f>
        <v>300</v>
      </c>
    </row>
    <row r="272" spans="1:16" x14ac:dyDescent="0.3">
      <c r="A272">
        <f>Raw_Data!A272</f>
        <v>271</v>
      </c>
      <c r="B272" s="2">
        <f>Raw_Data!B272</f>
        <v>44742.720150462999</v>
      </c>
      <c r="C272">
        <f>YEAR(Raw_Data!B272)</f>
        <v>2022</v>
      </c>
      <c r="D272" t="str">
        <f>IF(MONTH(Raw_Data!B272)&gt;=4,YEAR(Raw_Data!B272)&amp;"-"&amp;RIGHT(YEAR(Raw_Data!B272)+1,2),YEAR(Raw_Data!B272)-1&amp;"-"&amp;RIGHT(YEAR(Raw_Data!B272),2))</f>
        <v>2022-23</v>
      </c>
      <c r="E272" t="str">
        <f>"Q"&amp;ROUNDUP(MONTH(Raw_Data!B272)/3,0)</f>
        <v>Q2</v>
      </c>
      <c r="F272" t="str">
        <f>TEXT(Raw_Data!B272,"mmm")</f>
        <v>Jun</v>
      </c>
      <c r="G272" t="str">
        <f>TEXT(Raw_Data!B272,"ddd")</f>
        <v>Thu</v>
      </c>
      <c r="H272" t="str">
        <f>Raw_Data!D272</f>
        <v>Invoiced</v>
      </c>
      <c r="I272" t="str">
        <f>Raw_Data!F272</f>
        <v>SMS/ Tele-Out</v>
      </c>
      <c r="J272" t="str">
        <f>Raw_Data!G272</f>
        <v>I-BAP Self</v>
      </c>
      <c r="K272" t="str">
        <f>IFERROR(VLOOKUP(J272,Source_Assumptions!$A:$C,2,0),"Unmapped")</f>
        <v>Referral (Insurance/Banking Partner)</v>
      </c>
      <c r="L272" t="str">
        <f>Raw_Data!H272</f>
        <v>5TH GEN CITY PE</v>
      </c>
      <c r="M272" t="str">
        <f>IFERROR(VLOOKUP(L272,Model_Assumptions!$A:$D,2,0),"Unmapped")</f>
        <v>Mid-size Sedan</v>
      </c>
      <c r="N272" t="str">
        <f>IFERROR(VLOOKUP(L272,Model_Assumptions!$A:$D,3,0),"Unmapped")</f>
        <v>Petrol</v>
      </c>
      <c r="O272">
        <f>IFERROR(VLOOKUP(L272,Model_Assumptions!$A:$D,4,0),0)</f>
        <v>1250000</v>
      </c>
      <c r="P272">
        <f>IFERROR(VLOOKUP(J272,Source_Assumptions!$A:$C,3,0),0)</f>
        <v>100</v>
      </c>
    </row>
    <row r="273" spans="1:16" x14ac:dyDescent="0.3">
      <c r="A273">
        <f>Raw_Data!A273</f>
        <v>272</v>
      </c>
      <c r="B273" s="2">
        <f>Raw_Data!B273</f>
        <v>44747.602939814802</v>
      </c>
      <c r="C273">
        <f>YEAR(Raw_Data!B273)</f>
        <v>2022</v>
      </c>
      <c r="D273" t="str">
        <f>IF(MONTH(Raw_Data!B273)&gt;=4,YEAR(Raw_Data!B273)&amp;"-"&amp;RIGHT(YEAR(Raw_Data!B273)+1,2),YEAR(Raw_Data!B273)-1&amp;"-"&amp;RIGHT(YEAR(Raw_Data!B273),2))</f>
        <v>2022-23</v>
      </c>
      <c r="E273" t="str">
        <f>"Q"&amp;ROUNDUP(MONTH(Raw_Data!B273)/3,0)</f>
        <v>Q3</v>
      </c>
      <c r="F273" t="str">
        <f>TEXT(Raw_Data!B273,"mmm")</f>
        <v>Jul</v>
      </c>
      <c r="G273" t="str">
        <f>TEXT(Raw_Data!B273,"ddd")</f>
        <v>Tue</v>
      </c>
      <c r="H273" t="str">
        <f>Raw_Data!D273</f>
        <v>Invoiced</v>
      </c>
      <c r="I273" t="str">
        <f>Raw_Data!F273</f>
        <v>Tele-in</v>
      </c>
      <c r="J273" t="str">
        <f>Raw_Data!G273</f>
        <v>Dealer Webpage Tele-In</v>
      </c>
      <c r="K273" t="str">
        <f>IFERROR(VLOOKUP(J273,Source_Assumptions!$A:$C,2,0),"Unmapped")</f>
        <v>Digital - Owned</v>
      </c>
      <c r="L273" t="str">
        <f>Raw_Data!H273</f>
        <v>JAZZ PE</v>
      </c>
      <c r="M273" t="str">
        <f>IFERROR(VLOOKUP(L273,Model_Assumptions!$A:$D,2,0),"Unmapped")</f>
        <v>Hatchback</v>
      </c>
      <c r="N273" t="str">
        <f>IFERROR(VLOOKUP(L273,Model_Assumptions!$A:$D,3,0),"Unmapped")</f>
        <v>Petrol</v>
      </c>
      <c r="O273">
        <f>IFERROR(VLOOKUP(L273,Model_Assumptions!$A:$D,4,0),0)</f>
        <v>800000</v>
      </c>
      <c r="P273">
        <f>IFERROR(VLOOKUP(J273,Source_Assumptions!$A:$C,3,0),0)</f>
        <v>300</v>
      </c>
    </row>
    <row r="274" spans="1:16" x14ac:dyDescent="0.3">
      <c r="A274">
        <f>Raw_Data!A274</f>
        <v>273</v>
      </c>
      <c r="B274" s="2">
        <f>Raw_Data!B274</f>
        <v>44750.461759259299</v>
      </c>
      <c r="C274">
        <f>YEAR(Raw_Data!B274)</f>
        <v>2022</v>
      </c>
      <c r="D274" t="str">
        <f>IF(MONTH(Raw_Data!B274)&gt;=4,YEAR(Raw_Data!B274)&amp;"-"&amp;RIGHT(YEAR(Raw_Data!B274)+1,2),YEAR(Raw_Data!B274)-1&amp;"-"&amp;RIGHT(YEAR(Raw_Data!B274),2))</f>
        <v>2022-23</v>
      </c>
      <c r="E274" t="str">
        <f>"Q"&amp;ROUNDUP(MONTH(Raw_Data!B274)/3,0)</f>
        <v>Q3</v>
      </c>
      <c r="F274" t="str">
        <f>TEXT(Raw_Data!B274,"mmm")</f>
        <v>Jul</v>
      </c>
      <c r="G274" t="str">
        <f>TEXT(Raw_Data!B274,"ddd")</f>
        <v>Fri</v>
      </c>
      <c r="H274" t="str">
        <f>Raw_Data!D274</f>
        <v>Invoiced</v>
      </c>
      <c r="I274" t="str">
        <f>Raw_Data!F274</f>
        <v>Tele-in</v>
      </c>
      <c r="J274" t="str">
        <f>Raw_Data!G274</f>
        <v>Dealer Webpage Tele-In</v>
      </c>
      <c r="K274" t="str">
        <f>IFERROR(VLOOKUP(J274,Source_Assumptions!$A:$C,2,0),"Unmapped")</f>
        <v>Digital - Owned</v>
      </c>
      <c r="L274" t="str">
        <f>Raw_Data!H274</f>
        <v>5TH GEN CITY PE</v>
      </c>
      <c r="M274" t="str">
        <f>IFERROR(VLOOKUP(L274,Model_Assumptions!$A:$D,2,0),"Unmapped")</f>
        <v>Mid-size Sedan</v>
      </c>
      <c r="N274" t="str">
        <f>IFERROR(VLOOKUP(L274,Model_Assumptions!$A:$D,3,0),"Unmapped")</f>
        <v>Petrol</v>
      </c>
      <c r="O274">
        <f>IFERROR(VLOOKUP(L274,Model_Assumptions!$A:$D,4,0),0)</f>
        <v>1250000</v>
      </c>
      <c r="P274">
        <f>IFERROR(VLOOKUP(J274,Source_Assumptions!$A:$C,3,0),0)</f>
        <v>300</v>
      </c>
    </row>
    <row r="275" spans="1:16" x14ac:dyDescent="0.3">
      <c r="A275">
        <f>Raw_Data!A275</f>
        <v>274</v>
      </c>
      <c r="B275" s="2">
        <f>Raw_Data!B275</f>
        <v>44750.722037036998</v>
      </c>
      <c r="C275">
        <f>YEAR(Raw_Data!B275)</f>
        <v>2022</v>
      </c>
      <c r="D275" t="str">
        <f>IF(MONTH(Raw_Data!B275)&gt;=4,YEAR(Raw_Data!B275)&amp;"-"&amp;RIGHT(YEAR(Raw_Data!B275)+1,2),YEAR(Raw_Data!B275)-1&amp;"-"&amp;RIGHT(YEAR(Raw_Data!B275),2))</f>
        <v>2022-23</v>
      </c>
      <c r="E275" t="str">
        <f>"Q"&amp;ROUNDUP(MONTH(Raw_Data!B275)/3,0)</f>
        <v>Q3</v>
      </c>
      <c r="F275" t="str">
        <f>TEXT(Raw_Data!B275,"mmm")</f>
        <v>Jul</v>
      </c>
      <c r="G275" t="str">
        <f>TEXT(Raw_Data!B275,"ddd")</f>
        <v>Fri</v>
      </c>
      <c r="H275" t="str">
        <f>Raw_Data!D275</f>
        <v>Invoiced</v>
      </c>
      <c r="I275" t="str">
        <f>Raw_Data!F275</f>
        <v>Tele-in</v>
      </c>
      <c r="J275" t="str">
        <f>Raw_Data!G275</f>
        <v>Dealer Webpage Tele-In</v>
      </c>
      <c r="K275" t="str">
        <f>IFERROR(VLOOKUP(J275,Source_Assumptions!$A:$C,2,0),"Unmapped")</f>
        <v>Digital - Owned</v>
      </c>
      <c r="L275" t="str">
        <f>Raw_Data!H275</f>
        <v>5TH GEN CITY PE</v>
      </c>
      <c r="M275" t="str">
        <f>IFERROR(VLOOKUP(L275,Model_Assumptions!$A:$D,2,0),"Unmapped")</f>
        <v>Mid-size Sedan</v>
      </c>
      <c r="N275" t="str">
        <f>IFERROR(VLOOKUP(L275,Model_Assumptions!$A:$D,3,0),"Unmapped")</f>
        <v>Petrol</v>
      </c>
      <c r="O275">
        <f>IFERROR(VLOOKUP(L275,Model_Assumptions!$A:$D,4,0),0)</f>
        <v>1250000</v>
      </c>
      <c r="P275">
        <f>IFERROR(VLOOKUP(J275,Source_Assumptions!$A:$C,3,0),0)</f>
        <v>300</v>
      </c>
    </row>
    <row r="276" spans="1:16" x14ac:dyDescent="0.3">
      <c r="A276">
        <f>Raw_Data!A276</f>
        <v>275</v>
      </c>
      <c r="B276" s="2">
        <f>Raw_Data!B276</f>
        <v>44754.520243055602</v>
      </c>
      <c r="C276">
        <f>YEAR(Raw_Data!B276)</f>
        <v>2022</v>
      </c>
      <c r="D276" t="str">
        <f>IF(MONTH(Raw_Data!B276)&gt;=4,YEAR(Raw_Data!B276)&amp;"-"&amp;RIGHT(YEAR(Raw_Data!B276)+1,2),YEAR(Raw_Data!B276)-1&amp;"-"&amp;RIGHT(YEAR(Raw_Data!B276),2))</f>
        <v>2022-23</v>
      </c>
      <c r="E276" t="str">
        <f>"Q"&amp;ROUNDUP(MONTH(Raw_Data!B276)/3,0)</f>
        <v>Q3</v>
      </c>
      <c r="F276" t="str">
        <f>TEXT(Raw_Data!B276,"mmm")</f>
        <v>Jul</v>
      </c>
      <c r="G276" t="str">
        <f>TEXT(Raw_Data!B276,"ddd")</f>
        <v>Tue</v>
      </c>
      <c r="H276" t="str">
        <f>Raw_Data!D276</f>
        <v>Invoiced</v>
      </c>
      <c r="I276" t="str">
        <f>Raw_Data!F276</f>
        <v>Walk-in Showroom</v>
      </c>
      <c r="J276" t="str">
        <f>Raw_Data!G276</f>
        <v>Adver. (TVC/Print/Hoarding/FM)</v>
      </c>
      <c r="K276" t="str">
        <f>IFERROR(VLOOKUP(J276,Source_Assumptions!$A:$C,2,0),"Unmapped")</f>
        <v>Traditional Advertising</v>
      </c>
      <c r="L276" t="str">
        <f>Raw_Data!H276</f>
        <v>AMAZE Petrol</v>
      </c>
      <c r="M276" t="str">
        <f>IFERROR(VLOOKUP(L276,Model_Assumptions!$A:$D,2,0),"Unmapped")</f>
        <v>Sub-4m Sedan</v>
      </c>
      <c r="N276" t="str">
        <f>IFERROR(VLOOKUP(L276,Model_Assumptions!$A:$D,3,0),"Unmapped")</f>
        <v>Petrol</v>
      </c>
      <c r="O276">
        <f>IFERROR(VLOOKUP(L276,Model_Assumptions!$A:$D,4,0),0)</f>
        <v>850000</v>
      </c>
      <c r="P276">
        <f>IFERROR(VLOOKUP(J276,Source_Assumptions!$A:$C,3,0),0)</f>
        <v>1200</v>
      </c>
    </row>
    <row r="277" spans="1:16" x14ac:dyDescent="0.3">
      <c r="A277">
        <f>Raw_Data!A277</f>
        <v>276</v>
      </c>
      <c r="B277" s="2">
        <f>Raw_Data!B277</f>
        <v>44754.624201388899</v>
      </c>
      <c r="C277">
        <f>YEAR(Raw_Data!B277)</f>
        <v>2022</v>
      </c>
      <c r="D277" t="str">
        <f>IF(MONTH(Raw_Data!B277)&gt;=4,YEAR(Raw_Data!B277)&amp;"-"&amp;RIGHT(YEAR(Raw_Data!B277)+1,2),YEAR(Raw_Data!B277)-1&amp;"-"&amp;RIGHT(YEAR(Raw_Data!B277),2))</f>
        <v>2022-23</v>
      </c>
      <c r="E277" t="str">
        <f>"Q"&amp;ROUNDUP(MONTH(Raw_Data!B277)/3,0)</f>
        <v>Q3</v>
      </c>
      <c r="F277" t="str">
        <f>TEXT(Raw_Data!B277,"mmm")</f>
        <v>Jul</v>
      </c>
      <c r="G277" t="str">
        <f>TEXT(Raw_Data!B277,"ddd")</f>
        <v>Tue</v>
      </c>
      <c r="H277" t="str">
        <f>Raw_Data!D277</f>
        <v>Invoiced</v>
      </c>
      <c r="I277" t="str">
        <f>Raw_Data!F277</f>
        <v>Tele-in</v>
      </c>
      <c r="J277" t="str">
        <f>Raw_Data!G277</f>
        <v>Referral-CAM</v>
      </c>
      <c r="K277" t="str">
        <f>IFERROR(VLOOKUP(J277,Source_Assumptions!$A:$C,2,0),"Unmapped")</f>
        <v>Referral</v>
      </c>
      <c r="L277" t="str">
        <f>Raw_Data!H277</f>
        <v>AMAZE Petrol</v>
      </c>
      <c r="M277" t="str">
        <f>IFERROR(VLOOKUP(L277,Model_Assumptions!$A:$D,2,0),"Unmapped")</f>
        <v>Sub-4m Sedan</v>
      </c>
      <c r="N277" t="str">
        <f>IFERROR(VLOOKUP(L277,Model_Assumptions!$A:$D,3,0),"Unmapped")</f>
        <v>Petrol</v>
      </c>
      <c r="O277">
        <f>IFERROR(VLOOKUP(L277,Model_Assumptions!$A:$D,4,0),0)</f>
        <v>850000</v>
      </c>
      <c r="P277">
        <f>IFERROR(VLOOKUP(J277,Source_Assumptions!$A:$C,3,0),0)</f>
        <v>150</v>
      </c>
    </row>
    <row r="278" spans="1:16" x14ac:dyDescent="0.3">
      <c r="A278">
        <f>Raw_Data!A278</f>
        <v>277</v>
      </c>
      <c r="B278" s="2">
        <f>Raw_Data!B278</f>
        <v>44756.635462963</v>
      </c>
      <c r="C278">
        <f>YEAR(Raw_Data!B278)</f>
        <v>2022</v>
      </c>
      <c r="D278" t="str">
        <f>IF(MONTH(Raw_Data!B278)&gt;=4,YEAR(Raw_Data!B278)&amp;"-"&amp;RIGHT(YEAR(Raw_Data!B278)+1,2),YEAR(Raw_Data!B278)-1&amp;"-"&amp;RIGHT(YEAR(Raw_Data!B278),2))</f>
        <v>2022-23</v>
      </c>
      <c r="E278" t="str">
        <f>"Q"&amp;ROUNDUP(MONTH(Raw_Data!B278)/3,0)</f>
        <v>Q3</v>
      </c>
      <c r="F278" t="str">
        <f>TEXT(Raw_Data!B278,"mmm")</f>
        <v>Jul</v>
      </c>
      <c r="G278" t="str">
        <f>TEXT(Raw_Data!B278,"ddd")</f>
        <v>Thu</v>
      </c>
      <c r="H278" t="str">
        <f>Raw_Data!D278</f>
        <v>Invoiced</v>
      </c>
      <c r="I278" t="str">
        <f>Raw_Data!F278</f>
        <v>SMS/ Tele-Out</v>
      </c>
      <c r="J278" t="str">
        <f>Raw_Data!G278</f>
        <v>Referral-CAM</v>
      </c>
      <c r="K278" t="str">
        <f>IFERROR(VLOOKUP(J278,Source_Assumptions!$A:$C,2,0),"Unmapped")</f>
        <v>Referral</v>
      </c>
      <c r="L278" t="str">
        <f>Raw_Data!H278</f>
        <v>AMAZE Petrol</v>
      </c>
      <c r="M278" t="str">
        <f>IFERROR(VLOOKUP(L278,Model_Assumptions!$A:$D,2,0),"Unmapped")</f>
        <v>Sub-4m Sedan</v>
      </c>
      <c r="N278" t="str">
        <f>IFERROR(VLOOKUP(L278,Model_Assumptions!$A:$D,3,0),"Unmapped")</f>
        <v>Petrol</v>
      </c>
      <c r="O278">
        <f>IFERROR(VLOOKUP(L278,Model_Assumptions!$A:$D,4,0),0)</f>
        <v>850000</v>
      </c>
      <c r="P278">
        <f>IFERROR(VLOOKUP(J278,Source_Assumptions!$A:$C,3,0),0)</f>
        <v>150</v>
      </c>
    </row>
    <row r="279" spans="1:16" x14ac:dyDescent="0.3">
      <c r="A279">
        <f>Raw_Data!A279</f>
        <v>278</v>
      </c>
      <c r="B279" s="2">
        <f>Raw_Data!B279</f>
        <v>44760.509305555599</v>
      </c>
      <c r="C279">
        <f>YEAR(Raw_Data!B279)</f>
        <v>2022</v>
      </c>
      <c r="D279" t="str">
        <f>IF(MONTH(Raw_Data!B279)&gt;=4,YEAR(Raw_Data!B279)&amp;"-"&amp;RIGHT(YEAR(Raw_Data!B279)+1,2),YEAR(Raw_Data!B279)-1&amp;"-"&amp;RIGHT(YEAR(Raw_Data!B279),2))</f>
        <v>2022-23</v>
      </c>
      <c r="E279" t="str">
        <f>"Q"&amp;ROUNDUP(MONTH(Raw_Data!B279)/3,0)</f>
        <v>Q3</v>
      </c>
      <c r="F279" t="str">
        <f>TEXT(Raw_Data!B279,"mmm")</f>
        <v>Jul</v>
      </c>
      <c r="G279" t="str">
        <f>TEXT(Raw_Data!B279,"ddd")</f>
        <v>Mon</v>
      </c>
      <c r="H279" t="str">
        <f>Raw_Data!D279</f>
        <v>Invoiced</v>
      </c>
      <c r="I279" t="str">
        <f>Raw_Data!F279</f>
        <v>Walk-in Showroom</v>
      </c>
      <c r="J279" t="str">
        <f>Raw_Data!G279</f>
        <v>Adver. (TVC/Print/Hoarding/FM)</v>
      </c>
      <c r="K279" t="str">
        <f>IFERROR(VLOOKUP(J279,Source_Assumptions!$A:$C,2,0),"Unmapped")</f>
        <v>Traditional Advertising</v>
      </c>
      <c r="L279" t="str">
        <f>Raw_Data!H279</f>
        <v>AMAZE Petrol</v>
      </c>
      <c r="M279" t="str">
        <f>IFERROR(VLOOKUP(L279,Model_Assumptions!$A:$D,2,0),"Unmapped")</f>
        <v>Sub-4m Sedan</v>
      </c>
      <c r="N279" t="str">
        <f>IFERROR(VLOOKUP(L279,Model_Assumptions!$A:$D,3,0),"Unmapped")</f>
        <v>Petrol</v>
      </c>
      <c r="O279">
        <f>IFERROR(VLOOKUP(L279,Model_Assumptions!$A:$D,4,0),0)</f>
        <v>850000</v>
      </c>
      <c r="P279">
        <f>IFERROR(VLOOKUP(J279,Source_Assumptions!$A:$C,3,0),0)</f>
        <v>1200</v>
      </c>
    </row>
    <row r="280" spans="1:16" x14ac:dyDescent="0.3">
      <c r="A280">
        <f>Raw_Data!A280</f>
        <v>279</v>
      </c>
      <c r="B280" s="2">
        <f>Raw_Data!B280</f>
        <v>44760.517465277801</v>
      </c>
      <c r="C280">
        <f>YEAR(Raw_Data!B280)</f>
        <v>2022</v>
      </c>
      <c r="D280" t="str">
        <f>IF(MONTH(Raw_Data!B280)&gt;=4,YEAR(Raw_Data!B280)&amp;"-"&amp;RIGHT(YEAR(Raw_Data!B280)+1,2),YEAR(Raw_Data!B280)-1&amp;"-"&amp;RIGHT(YEAR(Raw_Data!B280),2))</f>
        <v>2022-23</v>
      </c>
      <c r="E280" t="str">
        <f>"Q"&amp;ROUNDUP(MONTH(Raw_Data!B280)/3,0)</f>
        <v>Q3</v>
      </c>
      <c r="F280" t="str">
        <f>TEXT(Raw_Data!B280,"mmm")</f>
        <v>Jul</v>
      </c>
      <c r="G280" t="str">
        <f>TEXT(Raw_Data!B280,"ddd")</f>
        <v>Mon</v>
      </c>
      <c r="H280" t="str">
        <f>Raw_Data!D280</f>
        <v>Invoiced</v>
      </c>
      <c r="I280" t="str">
        <f>Raw_Data!F280</f>
        <v>Web Lead</v>
      </c>
      <c r="J280" t="str">
        <f>Raw_Data!G280</f>
        <v>Web_Facebook</v>
      </c>
      <c r="K280" t="str">
        <f>IFERROR(VLOOKUP(J280,Source_Assumptions!$A:$C,2,0),"Unmapped")</f>
        <v>Digital - Paid Social</v>
      </c>
      <c r="L280" t="str">
        <f>Raw_Data!H280</f>
        <v>CITY PE</v>
      </c>
      <c r="M280" t="str">
        <f>IFERROR(VLOOKUP(L280,Model_Assumptions!$A:$D,2,0),"Unmapped")</f>
        <v>Mid-size Sedan</v>
      </c>
      <c r="N280" t="str">
        <f>IFERROR(VLOOKUP(L280,Model_Assumptions!$A:$D,3,0),"Unmapped")</f>
        <v>Petrol</v>
      </c>
      <c r="O280">
        <f>IFERROR(VLOOKUP(L280,Model_Assumptions!$A:$D,4,0),0)</f>
        <v>1100000</v>
      </c>
      <c r="P280">
        <f>IFERROR(VLOOKUP(J280,Source_Assumptions!$A:$C,3,0),0)</f>
        <v>600</v>
      </c>
    </row>
    <row r="281" spans="1:16" x14ac:dyDescent="0.3">
      <c r="A281">
        <f>Raw_Data!A281</f>
        <v>280</v>
      </c>
      <c r="B281" s="2">
        <f>Raw_Data!B281</f>
        <v>44760.691006944398</v>
      </c>
      <c r="C281">
        <f>YEAR(Raw_Data!B281)</f>
        <v>2022</v>
      </c>
      <c r="D281" t="str">
        <f>IF(MONTH(Raw_Data!B281)&gt;=4,YEAR(Raw_Data!B281)&amp;"-"&amp;RIGHT(YEAR(Raw_Data!B281)+1,2),YEAR(Raw_Data!B281)-1&amp;"-"&amp;RIGHT(YEAR(Raw_Data!B281),2))</f>
        <v>2022-23</v>
      </c>
      <c r="E281" t="str">
        <f>"Q"&amp;ROUNDUP(MONTH(Raw_Data!B281)/3,0)</f>
        <v>Q3</v>
      </c>
      <c r="F281" t="str">
        <f>TEXT(Raw_Data!B281,"mmm")</f>
        <v>Jul</v>
      </c>
      <c r="G281" t="str">
        <f>TEXT(Raw_Data!B281,"ddd")</f>
        <v>Mon</v>
      </c>
      <c r="H281" t="str">
        <f>Raw_Data!D281</f>
        <v>Invoiced</v>
      </c>
      <c r="I281" t="str">
        <f>Raw_Data!F281</f>
        <v>Tele-in</v>
      </c>
      <c r="J281" t="str">
        <f>Raw_Data!G281</f>
        <v>Dealer Webpage Tele-In</v>
      </c>
      <c r="K281" t="str">
        <f>IFERROR(VLOOKUP(J281,Source_Assumptions!$A:$C,2,0),"Unmapped")</f>
        <v>Digital - Owned</v>
      </c>
      <c r="L281" t="str">
        <f>Raw_Data!H281</f>
        <v>AMAZE Petrol</v>
      </c>
      <c r="M281" t="str">
        <f>IFERROR(VLOOKUP(L281,Model_Assumptions!$A:$D,2,0),"Unmapped")</f>
        <v>Sub-4m Sedan</v>
      </c>
      <c r="N281" t="str">
        <f>IFERROR(VLOOKUP(L281,Model_Assumptions!$A:$D,3,0),"Unmapped")</f>
        <v>Petrol</v>
      </c>
      <c r="O281">
        <f>IFERROR(VLOOKUP(L281,Model_Assumptions!$A:$D,4,0),0)</f>
        <v>850000</v>
      </c>
      <c r="P281">
        <f>IFERROR(VLOOKUP(J281,Source_Assumptions!$A:$C,3,0),0)</f>
        <v>300</v>
      </c>
    </row>
    <row r="282" spans="1:16" x14ac:dyDescent="0.3">
      <c r="A282">
        <f>Raw_Data!A282</f>
        <v>281</v>
      </c>
      <c r="B282" s="2">
        <f>Raw_Data!B282</f>
        <v>44760.700312499997</v>
      </c>
      <c r="C282">
        <f>YEAR(Raw_Data!B282)</f>
        <v>2022</v>
      </c>
      <c r="D282" t="str">
        <f>IF(MONTH(Raw_Data!B282)&gt;=4,YEAR(Raw_Data!B282)&amp;"-"&amp;RIGHT(YEAR(Raw_Data!B282)+1,2),YEAR(Raw_Data!B282)-1&amp;"-"&amp;RIGHT(YEAR(Raw_Data!B282),2))</f>
        <v>2022-23</v>
      </c>
      <c r="E282" t="str">
        <f>"Q"&amp;ROUNDUP(MONTH(Raw_Data!B282)/3,0)</f>
        <v>Q3</v>
      </c>
      <c r="F282" t="str">
        <f>TEXT(Raw_Data!B282,"mmm")</f>
        <v>Jul</v>
      </c>
      <c r="G282" t="str">
        <f>TEXT(Raw_Data!B282,"ddd")</f>
        <v>Mon</v>
      </c>
      <c r="H282" t="str">
        <f>Raw_Data!D282</f>
        <v>Invoiced</v>
      </c>
      <c r="I282" t="str">
        <f>Raw_Data!F282</f>
        <v>Tele-in</v>
      </c>
      <c r="J282" t="str">
        <f>Raw_Data!G282</f>
        <v>Referral-CAM</v>
      </c>
      <c r="K282" t="str">
        <f>IFERROR(VLOOKUP(J282,Source_Assumptions!$A:$C,2,0),"Unmapped")</f>
        <v>Referral</v>
      </c>
      <c r="L282" t="str">
        <f>Raw_Data!H282</f>
        <v>AMAZE Petrol</v>
      </c>
      <c r="M282" t="str">
        <f>IFERROR(VLOOKUP(L282,Model_Assumptions!$A:$D,2,0),"Unmapped")</f>
        <v>Sub-4m Sedan</v>
      </c>
      <c r="N282" t="str">
        <f>IFERROR(VLOOKUP(L282,Model_Assumptions!$A:$D,3,0),"Unmapped")</f>
        <v>Petrol</v>
      </c>
      <c r="O282">
        <f>IFERROR(VLOOKUP(L282,Model_Assumptions!$A:$D,4,0),0)</f>
        <v>850000</v>
      </c>
      <c r="P282">
        <f>IFERROR(VLOOKUP(J282,Source_Assumptions!$A:$C,3,0),0)</f>
        <v>150</v>
      </c>
    </row>
    <row r="283" spans="1:16" x14ac:dyDescent="0.3">
      <c r="A283">
        <f>Raw_Data!A283</f>
        <v>282</v>
      </c>
      <c r="B283" s="2">
        <f>Raw_Data!B283</f>
        <v>44761.595902777801</v>
      </c>
      <c r="C283">
        <f>YEAR(Raw_Data!B283)</f>
        <v>2022</v>
      </c>
      <c r="D283" t="str">
        <f>IF(MONTH(Raw_Data!B283)&gt;=4,YEAR(Raw_Data!B283)&amp;"-"&amp;RIGHT(YEAR(Raw_Data!B283)+1,2),YEAR(Raw_Data!B283)-1&amp;"-"&amp;RIGHT(YEAR(Raw_Data!B283),2))</f>
        <v>2022-23</v>
      </c>
      <c r="E283" t="str">
        <f>"Q"&amp;ROUNDUP(MONTH(Raw_Data!B283)/3,0)</f>
        <v>Q3</v>
      </c>
      <c r="F283" t="str">
        <f>TEXT(Raw_Data!B283,"mmm")</f>
        <v>Jul</v>
      </c>
      <c r="G283" t="str">
        <f>TEXT(Raw_Data!B283,"ddd")</f>
        <v>Tue</v>
      </c>
      <c r="H283" t="str">
        <f>Raw_Data!D283</f>
        <v>Invoiced</v>
      </c>
      <c r="I283" t="str">
        <f>Raw_Data!F283</f>
        <v>SMS/ Tele-Out</v>
      </c>
      <c r="J283" t="str">
        <f>Raw_Data!G283</f>
        <v>Referral (HC/HBLP)</v>
      </c>
      <c r="K283" t="str">
        <f>IFERROR(VLOOKUP(J283,Source_Assumptions!$A:$C,2,0),"Unmapped")</f>
        <v>Referral (Happy Customer)</v>
      </c>
      <c r="L283" t="str">
        <f>Raw_Data!H283</f>
        <v>JAZZ PE</v>
      </c>
      <c r="M283" t="str">
        <f>IFERROR(VLOOKUP(L283,Model_Assumptions!$A:$D,2,0),"Unmapped")</f>
        <v>Hatchback</v>
      </c>
      <c r="N283" t="str">
        <f>IFERROR(VLOOKUP(L283,Model_Assumptions!$A:$D,3,0),"Unmapped")</f>
        <v>Petrol</v>
      </c>
      <c r="O283">
        <f>IFERROR(VLOOKUP(L283,Model_Assumptions!$A:$D,4,0),0)</f>
        <v>800000</v>
      </c>
      <c r="P283">
        <f>IFERROR(VLOOKUP(J283,Source_Assumptions!$A:$C,3,0),0)</f>
        <v>100</v>
      </c>
    </row>
    <row r="284" spans="1:16" x14ac:dyDescent="0.3">
      <c r="A284">
        <f>Raw_Data!A284</f>
        <v>283</v>
      </c>
      <c r="B284" s="2">
        <f>Raw_Data!B284</f>
        <v>44762.449432870402</v>
      </c>
      <c r="C284">
        <f>YEAR(Raw_Data!B284)</f>
        <v>2022</v>
      </c>
      <c r="D284" t="str">
        <f>IF(MONTH(Raw_Data!B284)&gt;=4,YEAR(Raw_Data!B284)&amp;"-"&amp;RIGHT(YEAR(Raw_Data!B284)+1,2),YEAR(Raw_Data!B284)-1&amp;"-"&amp;RIGHT(YEAR(Raw_Data!B284),2))</f>
        <v>2022-23</v>
      </c>
      <c r="E284" t="str">
        <f>"Q"&amp;ROUNDUP(MONTH(Raw_Data!B284)/3,0)</f>
        <v>Q3</v>
      </c>
      <c r="F284" t="str">
        <f>TEXT(Raw_Data!B284,"mmm")</f>
        <v>Jul</v>
      </c>
      <c r="G284" t="str">
        <f>TEXT(Raw_Data!B284,"ddd")</f>
        <v>Wed</v>
      </c>
      <c r="H284" t="str">
        <f>Raw_Data!D284</f>
        <v>Invoiced</v>
      </c>
      <c r="I284" t="str">
        <f>Raw_Data!F284</f>
        <v>Walk-in Showroom</v>
      </c>
      <c r="J284" t="str">
        <f>Raw_Data!G284</f>
        <v>Adver. (TVC/Print/Hoarding/FM)</v>
      </c>
      <c r="K284" t="str">
        <f>IFERROR(VLOOKUP(J284,Source_Assumptions!$A:$C,2,0),"Unmapped")</f>
        <v>Traditional Advertising</v>
      </c>
      <c r="L284" t="str">
        <f>Raw_Data!H284</f>
        <v>AMAZE Petrol</v>
      </c>
      <c r="M284" t="str">
        <f>IFERROR(VLOOKUP(L284,Model_Assumptions!$A:$D,2,0),"Unmapped")</f>
        <v>Sub-4m Sedan</v>
      </c>
      <c r="N284" t="str">
        <f>IFERROR(VLOOKUP(L284,Model_Assumptions!$A:$D,3,0),"Unmapped")</f>
        <v>Petrol</v>
      </c>
      <c r="O284">
        <f>IFERROR(VLOOKUP(L284,Model_Assumptions!$A:$D,4,0),0)</f>
        <v>850000</v>
      </c>
      <c r="P284">
        <f>IFERROR(VLOOKUP(J284,Source_Assumptions!$A:$C,3,0),0)</f>
        <v>1200</v>
      </c>
    </row>
    <row r="285" spans="1:16" x14ac:dyDescent="0.3">
      <c r="A285">
        <f>Raw_Data!A285</f>
        <v>284</v>
      </c>
      <c r="B285" s="2">
        <f>Raw_Data!B285</f>
        <v>44762.714525463001</v>
      </c>
      <c r="C285">
        <f>YEAR(Raw_Data!B285)</f>
        <v>2022</v>
      </c>
      <c r="D285" t="str">
        <f>IF(MONTH(Raw_Data!B285)&gt;=4,YEAR(Raw_Data!B285)&amp;"-"&amp;RIGHT(YEAR(Raw_Data!B285)+1,2),YEAR(Raw_Data!B285)-1&amp;"-"&amp;RIGHT(YEAR(Raw_Data!B285),2))</f>
        <v>2022-23</v>
      </c>
      <c r="E285" t="str">
        <f>"Q"&amp;ROUNDUP(MONTH(Raw_Data!B285)/3,0)</f>
        <v>Q3</v>
      </c>
      <c r="F285" t="str">
        <f>TEXT(Raw_Data!B285,"mmm")</f>
        <v>Jul</v>
      </c>
      <c r="G285" t="str">
        <f>TEXT(Raw_Data!B285,"ddd")</f>
        <v>Wed</v>
      </c>
      <c r="H285" t="str">
        <f>Raw_Data!D285</f>
        <v>Invoiced</v>
      </c>
      <c r="I285" t="str">
        <f>Raw_Data!F285</f>
        <v>SMS/ Tele-Out</v>
      </c>
      <c r="J285" t="str">
        <f>Raw_Data!G285</f>
        <v>Database Activity(Teleout/SMS)</v>
      </c>
      <c r="K285" t="str">
        <f>IFERROR(VLOOKUP(J285,Source_Assumptions!$A:$C,2,0),"Unmapped")</f>
        <v>Outbound/Database</v>
      </c>
      <c r="L285" t="str">
        <f>Raw_Data!H285</f>
        <v>AMAZE Petrol</v>
      </c>
      <c r="M285" t="str">
        <f>IFERROR(VLOOKUP(L285,Model_Assumptions!$A:$D,2,0),"Unmapped")</f>
        <v>Sub-4m Sedan</v>
      </c>
      <c r="N285" t="str">
        <f>IFERROR(VLOOKUP(L285,Model_Assumptions!$A:$D,3,0),"Unmapped")</f>
        <v>Petrol</v>
      </c>
      <c r="O285">
        <f>IFERROR(VLOOKUP(L285,Model_Assumptions!$A:$D,4,0),0)</f>
        <v>850000</v>
      </c>
      <c r="P285">
        <f>IFERROR(VLOOKUP(J285,Source_Assumptions!$A:$C,3,0),0)</f>
        <v>250</v>
      </c>
    </row>
    <row r="286" spans="1:16" x14ac:dyDescent="0.3">
      <c r="A286">
        <f>Raw_Data!A286</f>
        <v>285</v>
      </c>
      <c r="B286" s="2">
        <f>Raw_Data!B286</f>
        <v>44762.715972222199</v>
      </c>
      <c r="C286">
        <f>YEAR(Raw_Data!B286)</f>
        <v>2022</v>
      </c>
      <c r="D286" t="str">
        <f>IF(MONTH(Raw_Data!B286)&gt;=4,YEAR(Raw_Data!B286)&amp;"-"&amp;RIGHT(YEAR(Raw_Data!B286)+1,2),YEAR(Raw_Data!B286)-1&amp;"-"&amp;RIGHT(YEAR(Raw_Data!B286),2))</f>
        <v>2022-23</v>
      </c>
      <c r="E286" t="str">
        <f>"Q"&amp;ROUNDUP(MONTH(Raw_Data!B286)/3,0)</f>
        <v>Q3</v>
      </c>
      <c r="F286" t="str">
        <f>TEXT(Raw_Data!B286,"mmm")</f>
        <v>Jul</v>
      </c>
      <c r="G286" t="str">
        <f>TEXT(Raw_Data!B286,"ddd")</f>
        <v>Wed</v>
      </c>
      <c r="H286" t="str">
        <f>Raw_Data!D286</f>
        <v>Invoiced</v>
      </c>
      <c r="I286" t="str">
        <f>Raw_Data!F286</f>
        <v>Tele-in</v>
      </c>
      <c r="J286" t="str">
        <f>Raw_Data!G286</f>
        <v>Referral-CAM</v>
      </c>
      <c r="K286" t="str">
        <f>IFERROR(VLOOKUP(J286,Source_Assumptions!$A:$C,2,0),"Unmapped")</f>
        <v>Referral</v>
      </c>
      <c r="L286" t="str">
        <f>Raw_Data!H286</f>
        <v>WR-V PE</v>
      </c>
      <c r="M286" t="str">
        <f>IFERROR(VLOOKUP(L286,Model_Assumptions!$A:$D,2,0),"Unmapped")</f>
        <v>Compact SUV</v>
      </c>
      <c r="N286" t="str">
        <f>IFERROR(VLOOKUP(L286,Model_Assumptions!$A:$D,3,0),"Unmapped")</f>
        <v>Petrol</v>
      </c>
      <c r="O286">
        <f>IFERROR(VLOOKUP(L286,Model_Assumptions!$A:$D,4,0),0)</f>
        <v>950000</v>
      </c>
      <c r="P286">
        <f>IFERROR(VLOOKUP(J286,Source_Assumptions!$A:$C,3,0),0)</f>
        <v>150</v>
      </c>
    </row>
    <row r="287" spans="1:16" x14ac:dyDescent="0.3">
      <c r="A287">
        <f>Raw_Data!A287</f>
        <v>286</v>
      </c>
      <c r="B287" s="2">
        <f>Raw_Data!B287</f>
        <v>44763.448425925897</v>
      </c>
      <c r="C287">
        <f>YEAR(Raw_Data!B287)</f>
        <v>2022</v>
      </c>
      <c r="D287" t="str">
        <f>IF(MONTH(Raw_Data!B287)&gt;=4,YEAR(Raw_Data!B287)&amp;"-"&amp;RIGHT(YEAR(Raw_Data!B287)+1,2),YEAR(Raw_Data!B287)-1&amp;"-"&amp;RIGHT(YEAR(Raw_Data!B287),2))</f>
        <v>2022-23</v>
      </c>
      <c r="E287" t="str">
        <f>"Q"&amp;ROUNDUP(MONTH(Raw_Data!B287)/3,0)</f>
        <v>Q3</v>
      </c>
      <c r="F287" t="str">
        <f>TEXT(Raw_Data!B287,"mmm")</f>
        <v>Jul</v>
      </c>
      <c r="G287" t="str">
        <f>TEXT(Raw_Data!B287,"ddd")</f>
        <v>Thu</v>
      </c>
      <c r="H287" t="str">
        <f>Raw_Data!D287</f>
        <v>Invoiced</v>
      </c>
      <c r="I287" t="str">
        <f>Raw_Data!F287</f>
        <v>Tele-in</v>
      </c>
      <c r="J287" t="str">
        <f>Raw_Data!G287</f>
        <v>Referral-CAM</v>
      </c>
      <c r="K287" t="str">
        <f>IFERROR(VLOOKUP(J287,Source_Assumptions!$A:$C,2,0),"Unmapped")</f>
        <v>Referral</v>
      </c>
      <c r="L287" t="str">
        <f>Raw_Data!H287</f>
        <v>5TH GEN CITY e:HEV</v>
      </c>
      <c r="M287" t="str">
        <f>IFERROR(VLOOKUP(L287,Model_Assumptions!$A:$D,2,0),"Unmapped")</f>
        <v>Mid-size Sedan</v>
      </c>
      <c r="N287" t="str">
        <f>IFERROR(VLOOKUP(L287,Model_Assumptions!$A:$D,3,0),"Unmapped")</f>
        <v>Hybrid</v>
      </c>
      <c r="O287">
        <f>IFERROR(VLOOKUP(L287,Model_Assumptions!$A:$D,4,0),0)</f>
        <v>1950000</v>
      </c>
      <c r="P287">
        <f>IFERROR(VLOOKUP(J287,Source_Assumptions!$A:$C,3,0),0)</f>
        <v>150</v>
      </c>
    </row>
    <row r="288" spans="1:16" x14ac:dyDescent="0.3">
      <c r="A288">
        <f>Raw_Data!A288</f>
        <v>287</v>
      </c>
      <c r="B288" s="2">
        <f>Raw_Data!B288</f>
        <v>44763.555567129602</v>
      </c>
      <c r="C288">
        <f>YEAR(Raw_Data!B288)</f>
        <v>2022</v>
      </c>
      <c r="D288" t="str">
        <f>IF(MONTH(Raw_Data!B288)&gt;=4,YEAR(Raw_Data!B288)&amp;"-"&amp;RIGHT(YEAR(Raw_Data!B288)+1,2),YEAR(Raw_Data!B288)-1&amp;"-"&amp;RIGHT(YEAR(Raw_Data!B288),2))</f>
        <v>2022-23</v>
      </c>
      <c r="E288" t="str">
        <f>"Q"&amp;ROUNDUP(MONTH(Raw_Data!B288)/3,0)</f>
        <v>Q3</v>
      </c>
      <c r="F288" t="str">
        <f>TEXT(Raw_Data!B288,"mmm")</f>
        <v>Jul</v>
      </c>
      <c r="G288" t="str">
        <f>TEXT(Raw_Data!B288,"ddd")</f>
        <v>Thu</v>
      </c>
      <c r="H288" t="str">
        <f>Raw_Data!D288</f>
        <v>Invoiced</v>
      </c>
      <c r="I288" t="str">
        <f>Raw_Data!F288</f>
        <v>Walk-in Showroom</v>
      </c>
      <c r="J288" t="str">
        <f>Raw_Data!G288</f>
        <v>Adver. (TVC/Print/Hoarding/FM)</v>
      </c>
      <c r="K288" t="str">
        <f>IFERROR(VLOOKUP(J288,Source_Assumptions!$A:$C,2,0),"Unmapped")</f>
        <v>Traditional Advertising</v>
      </c>
      <c r="L288" t="str">
        <f>Raw_Data!H288</f>
        <v>5TH GEN CITY PE</v>
      </c>
      <c r="M288" t="str">
        <f>IFERROR(VLOOKUP(L288,Model_Assumptions!$A:$D,2,0),"Unmapped")</f>
        <v>Mid-size Sedan</v>
      </c>
      <c r="N288" t="str">
        <f>IFERROR(VLOOKUP(L288,Model_Assumptions!$A:$D,3,0),"Unmapped")</f>
        <v>Petrol</v>
      </c>
      <c r="O288">
        <f>IFERROR(VLOOKUP(L288,Model_Assumptions!$A:$D,4,0),0)</f>
        <v>1250000</v>
      </c>
      <c r="P288">
        <f>IFERROR(VLOOKUP(J288,Source_Assumptions!$A:$C,3,0),0)</f>
        <v>1200</v>
      </c>
    </row>
    <row r="289" spans="1:16" x14ac:dyDescent="0.3">
      <c r="A289">
        <f>Raw_Data!A289</f>
        <v>288</v>
      </c>
      <c r="B289" s="2">
        <f>Raw_Data!B289</f>
        <v>44763.698379629597</v>
      </c>
      <c r="C289">
        <f>YEAR(Raw_Data!B289)</f>
        <v>2022</v>
      </c>
      <c r="D289" t="str">
        <f>IF(MONTH(Raw_Data!B289)&gt;=4,YEAR(Raw_Data!B289)&amp;"-"&amp;RIGHT(YEAR(Raw_Data!B289)+1,2),YEAR(Raw_Data!B289)-1&amp;"-"&amp;RIGHT(YEAR(Raw_Data!B289),2))</f>
        <v>2022-23</v>
      </c>
      <c r="E289" t="str">
        <f>"Q"&amp;ROUNDUP(MONTH(Raw_Data!B289)/3,0)</f>
        <v>Q3</v>
      </c>
      <c r="F289" t="str">
        <f>TEXT(Raw_Data!B289,"mmm")</f>
        <v>Jul</v>
      </c>
      <c r="G289" t="str">
        <f>TEXT(Raw_Data!B289,"ddd")</f>
        <v>Thu</v>
      </c>
      <c r="H289" t="str">
        <f>Raw_Data!D289</f>
        <v>Invoiced</v>
      </c>
      <c r="I289" t="str">
        <f>Raw_Data!F289</f>
        <v>Tele-in</v>
      </c>
      <c r="J289" t="str">
        <f>Raw_Data!G289</f>
        <v>Referral-CAM</v>
      </c>
      <c r="K289" t="str">
        <f>IFERROR(VLOOKUP(J289,Source_Assumptions!$A:$C,2,0),"Unmapped")</f>
        <v>Referral</v>
      </c>
      <c r="L289" t="str">
        <f>Raw_Data!H289</f>
        <v>JAZZ PE</v>
      </c>
      <c r="M289" t="str">
        <f>IFERROR(VLOOKUP(L289,Model_Assumptions!$A:$D,2,0),"Unmapped")</f>
        <v>Hatchback</v>
      </c>
      <c r="N289" t="str">
        <f>IFERROR(VLOOKUP(L289,Model_Assumptions!$A:$D,3,0),"Unmapped")</f>
        <v>Petrol</v>
      </c>
      <c r="O289">
        <f>IFERROR(VLOOKUP(L289,Model_Assumptions!$A:$D,4,0),0)</f>
        <v>800000</v>
      </c>
      <c r="P289">
        <f>IFERROR(VLOOKUP(J289,Source_Assumptions!$A:$C,3,0),0)</f>
        <v>150</v>
      </c>
    </row>
    <row r="290" spans="1:16" x14ac:dyDescent="0.3">
      <c r="A290">
        <f>Raw_Data!A290</f>
        <v>289</v>
      </c>
      <c r="B290" s="2">
        <f>Raw_Data!B290</f>
        <v>44764.538414351897</v>
      </c>
      <c r="C290">
        <f>YEAR(Raw_Data!B290)</f>
        <v>2022</v>
      </c>
      <c r="D290" t="str">
        <f>IF(MONTH(Raw_Data!B290)&gt;=4,YEAR(Raw_Data!B290)&amp;"-"&amp;RIGHT(YEAR(Raw_Data!B290)+1,2),YEAR(Raw_Data!B290)-1&amp;"-"&amp;RIGHT(YEAR(Raw_Data!B290),2))</f>
        <v>2022-23</v>
      </c>
      <c r="E290" t="str">
        <f>"Q"&amp;ROUNDUP(MONTH(Raw_Data!B290)/3,0)</f>
        <v>Q3</v>
      </c>
      <c r="F290" t="str">
        <f>TEXT(Raw_Data!B290,"mmm")</f>
        <v>Jul</v>
      </c>
      <c r="G290" t="str">
        <f>TEXT(Raw_Data!B290,"ddd")</f>
        <v>Fri</v>
      </c>
      <c r="H290" t="str">
        <f>Raw_Data!D290</f>
        <v>Invoiced</v>
      </c>
      <c r="I290" t="str">
        <f>Raw_Data!F290</f>
        <v>Walk-in Showroom</v>
      </c>
      <c r="J290" t="str">
        <f>Raw_Data!G290</f>
        <v>Adver. (TVC/Print/Hoarding/FM)</v>
      </c>
      <c r="K290" t="str">
        <f>IFERROR(VLOOKUP(J290,Source_Assumptions!$A:$C,2,0),"Unmapped")</f>
        <v>Traditional Advertising</v>
      </c>
      <c r="L290" t="str">
        <f>Raw_Data!H290</f>
        <v>5TH GEN CITY PE</v>
      </c>
      <c r="M290" t="str">
        <f>IFERROR(VLOOKUP(L290,Model_Assumptions!$A:$D,2,0),"Unmapped")</f>
        <v>Mid-size Sedan</v>
      </c>
      <c r="N290" t="str">
        <f>IFERROR(VLOOKUP(L290,Model_Assumptions!$A:$D,3,0),"Unmapped")</f>
        <v>Petrol</v>
      </c>
      <c r="O290">
        <f>IFERROR(VLOOKUP(L290,Model_Assumptions!$A:$D,4,0),0)</f>
        <v>1250000</v>
      </c>
      <c r="P290">
        <f>IFERROR(VLOOKUP(J290,Source_Assumptions!$A:$C,3,0),0)</f>
        <v>1200</v>
      </c>
    </row>
    <row r="291" spans="1:16" x14ac:dyDescent="0.3">
      <c r="A291">
        <f>Raw_Data!A291</f>
        <v>290</v>
      </c>
      <c r="B291" s="2">
        <f>Raw_Data!B291</f>
        <v>44764.7426851852</v>
      </c>
      <c r="C291">
        <f>YEAR(Raw_Data!B291)</f>
        <v>2022</v>
      </c>
      <c r="D291" t="str">
        <f>IF(MONTH(Raw_Data!B291)&gt;=4,YEAR(Raw_Data!B291)&amp;"-"&amp;RIGHT(YEAR(Raw_Data!B291)+1,2),YEAR(Raw_Data!B291)-1&amp;"-"&amp;RIGHT(YEAR(Raw_Data!B291),2))</f>
        <v>2022-23</v>
      </c>
      <c r="E291" t="str">
        <f>"Q"&amp;ROUNDUP(MONTH(Raw_Data!B291)/3,0)</f>
        <v>Q3</v>
      </c>
      <c r="F291" t="str">
        <f>TEXT(Raw_Data!B291,"mmm")</f>
        <v>Jul</v>
      </c>
      <c r="G291" t="str">
        <f>TEXT(Raw_Data!B291,"ddd")</f>
        <v>Fri</v>
      </c>
      <c r="H291" t="str">
        <f>Raw_Data!D291</f>
        <v>Invoiced</v>
      </c>
      <c r="I291" t="str">
        <f>Raw_Data!F291</f>
        <v>Walk-in Showroom</v>
      </c>
      <c r="J291" t="str">
        <f>Raw_Data!G291</f>
        <v>Adver. (TVC/Print/Hoarding/FM)</v>
      </c>
      <c r="K291" t="str">
        <f>IFERROR(VLOOKUP(J291,Source_Assumptions!$A:$C,2,0),"Unmapped")</f>
        <v>Traditional Advertising</v>
      </c>
      <c r="L291" t="str">
        <f>Raw_Data!H291</f>
        <v>AMAZE Petrol</v>
      </c>
      <c r="M291" t="str">
        <f>IFERROR(VLOOKUP(L291,Model_Assumptions!$A:$D,2,0),"Unmapped")</f>
        <v>Sub-4m Sedan</v>
      </c>
      <c r="N291" t="str">
        <f>IFERROR(VLOOKUP(L291,Model_Assumptions!$A:$D,3,0),"Unmapped")</f>
        <v>Petrol</v>
      </c>
      <c r="O291">
        <f>IFERROR(VLOOKUP(L291,Model_Assumptions!$A:$D,4,0),0)</f>
        <v>850000</v>
      </c>
      <c r="P291">
        <f>IFERROR(VLOOKUP(J291,Source_Assumptions!$A:$C,3,0),0)</f>
        <v>1200</v>
      </c>
    </row>
    <row r="292" spans="1:16" x14ac:dyDescent="0.3">
      <c r="A292">
        <f>Raw_Data!A292</f>
        <v>291</v>
      </c>
      <c r="B292" s="2">
        <f>Raw_Data!B292</f>
        <v>44767.736365740697</v>
      </c>
      <c r="C292">
        <f>YEAR(Raw_Data!B292)</f>
        <v>2022</v>
      </c>
      <c r="D292" t="str">
        <f>IF(MONTH(Raw_Data!B292)&gt;=4,YEAR(Raw_Data!B292)&amp;"-"&amp;RIGHT(YEAR(Raw_Data!B292)+1,2),YEAR(Raw_Data!B292)-1&amp;"-"&amp;RIGHT(YEAR(Raw_Data!B292),2))</f>
        <v>2022-23</v>
      </c>
      <c r="E292" t="str">
        <f>"Q"&amp;ROUNDUP(MONTH(Raw_Data!B292)/3,0)</f>
        <v>Q3</v>
      </c>
      <c r="F292" t="str">
        <f>TEXT(Raw_Data!B292,"mmm")</f>
        <v>Jul</v>
      </c>
      <c r="G292" t="str">
        <f>TEXT(Raw_Data!B292,"ddd")</f>
        <v>Mon</v>
      </c>
      <c r="H292" t="str">
        <f>Raw_Data!D292</f>
        <v>Invoiced</v>
      </c>
      <c r="I292" t="str">
        <f>Raw_Data!F292</f>
        <v>Tele-in</v>
      </c>
      <c r="J292" t="str">
        <f>Raw_Data!G292</f>
        <v>Referral-CAM</v>
      </c>
      <c r="K292" t="str">
        <f>IFERROR(VLOOKUP(J292,Source_Assumptions!$A:$C,2,0),"Unmapped")</f>
        <v>Referral</v>
      </c>
      <c r="L292" t="str">
        <f>Raw_Data!H292</f>
        <v>AMAZE Petrol</v>
      </c>
      <c r="M292" t="str">
        <f>IFERROR(VLOOKUP(L292,Model_Assumptions!$A:$D,2,0),"Unmapped")</f>
        <v>Sub-4m Sedan</v>
      </c>
      <c r="N292" t="str">
        <f>IFERROR(VLOOKUP(L292,Model_Assumptions!$A:$D,3,0),"Unmapped")</f>
        <v>Petrol</v>
      </c>
      <c r="O292">
        <f>IFERROR(VLOOKUP(L292,Model_Assumptions!$A:$D,4,0),0)</f>
        <v>850000</v>
      </c>
      <c r="P292">
        <f>IFERROR(VLOOKUP(J292,Source_Assumptions!$A:$C,3,0),0)</f>
        <v>150</v>
      </c>
    </row>
    <row r="293" spans="1:16" x14ac:dyDescent="0.3">
      <c r="A293">
        <f>Raw_Data!A293</f>
        <v>292</v>
      </c>
      <c r="B293" s="2">
        <f>Raw_Data!B293</f>
        <v>44768.510879629597</v>
      </c>
      <c r="C293">
        <f>YEAR(Raw_Data!B293)</f>
        <v>2022</v>
      </c>
      <c r="D293" t="str">
        <f>IF(MONTH(Raw_Data!B293)&gt;=4,YEAR(Raw_Data!B293)&amp;"-"&amp;RIGHT(YEAR(Raw_Data!B293)+1,2),YEAR(Raw_Data!B293)-1&amp;"-"&amp;RIGHT(YEAR(Raw_Data!B293),2))</f>
        <v>2022-23</v>
      </c>
      <c r="E293" t="str">
        <f>"Q"&amp;ROUNDUP(MONTH(Raw_Data!B293)/3,0)</f>
        <v>Q3</v>
      </c>
      <c r="F293" t="str">
        <f>TEXT(Raw_Data!B293,"mmm")</f>
        <v>Jul</v>
      </c>
      <c r="G293" t="str">
        <f>TEXT(Raw_Data!B293,"ddd")</f>
        <v>Tue</v>
      </c>
      <c r="H293" t="str">
        <f>Raw_Data!D293</f>
        <v>Invoiced</v>
      </c>
      <c r="I293" t="str">
        <f>Raw_Data!F293</f>
        <v>Tele-in</v>
      </c>
      <c r="J293" t="str">
        <f>Raw_Data!G293</f>
        <v>Dealer Webpage Tele-In</v>
      </c>
      <c r="K293" t="str">
        <f>IFERROR(VLOOKUP(J293,Source_Assumptions!$A:$C,2,0),"Unmapped")</f>
        <v>Digital - Owned</v>
      </c>
      <c r="L293" t="str">
        <f>Raw_Data!H293</f>
        <v>5TH GEN CITY PE</v>
      </c>
      <c r="M293" t="str">
        <f>IFERROR(VLOOKUP(L293,Model_Assumptions!$A:$D,2,0),"Unmapped")</f>
        <v>Mid-size Sedan</v>
      </c>
      <c r="N293" t="str">
        <f>IFERROR(VLOOKUP(L293,Model_Assumptions!$A:$D,3,0),"Unmapped")</f>
        <v>Petrol</v>
      </c>
      <c r="O293">
        <f>IFERROR(VLOOKUP(L293,Model_Assumptions!$A:$D,4,0),0)</f>
        <v>1250000</v>
      </c>
      <c r="P293">
        <f>IFERROR(VLOOKUP(J293,Source_Assumptions!$A:$C,3,0),0)</f>
        <v>300</v>
      </c>
    </row>
    <row r="294" spans="1:16" x14ac:dyDescent="0.3">
      <c r="A294">
        <f>Raw_Data!A294</f>
        <v>293</v>
      </c>
      <c r="B294" s="2">
        <f>Raw_Data!B294</f>
        <v>44768.725636574098</v>
      </c>
      <c r="C294">
        <f>YEAR(Raw_Data!B294)</f>
        <v>2022</v>
      </c>
      <c r="D294" t="str">
        <f>IF(MONTH(Raw_Data!B294)&gt;=4,YEAR(Raw_Data!B294)&amp;"-"&amp;RIGHT(YEAR(Raw_Data!B294)+1,2),YEAR(Raw_Data!B294)-1&amp;"-"&amp;RIGHT(YEAR(Raw_Data!B294),2))</f>
        <v>2022-23</v>
      </c>
      <c r="E294" t="str">
        <f>"Q"&amp;ROUNDUP(MONTH(Raw_Data!B294)/3,0)</f>
        <v>Q3</v>
      </c>
      <c r="F294" t="str">
        <f>TEXT(Raw_Data!B294,"mmm")</f>
        <v>Jul</v>
      </c>
      <c r="G294" t="str">
        <f>TEXT(Raw_Data!B294,"ddd")</f>
        <v>Tue</v>
      </c>
      <c r="H294" t="str">
        <f>Raw_Data!D294</f>
        <v>Invoiced</v>
      </c>
      <c r="I294" t="str">
        <f>Raw_Data!F294</f>
        <v>Web Lead</v>
      </c>
      <c r="J294" t="str">
        <f>Raw_Data!G294</f>
        <v>Adver. (TVC/Print/Hoarding/FM)</v>
      </c>
      <c r="K294" t="str">
        <f>IFERROR(VLOOKUP(J294,Source_Assumptions!$A:$C,2,0),"Unmapped")</f>
        <v>Traditional Advertising</v>
      </c>
      <c r="L294" t="str">
        <f>Raw_Data!H294</f>
        <v>AMAZE Petrol</v>
      </c>
      <c r="M294" t="str">
        <f>IFERROR(VLOOKUP(L294,Model_Assumptions!$A:$D,2,0),"Unmapped")</f>
        <v>Sub-4m Sedan</v>
      </c>
      <c r="N294" t="str">
        <f>IFERROR(VLOOKUP(L294,Model_Assumptions!$A:$D,3,0),"Unmapped")</f>
        <v>Petrol</v>
      </c>
      <c r="O294">
        <f>IFERROR(VLOOKUP(L294,Model_Assumptions!$A:$D,4,0),0)</f>
        <v>850000</v>
      </c>
      <c r="P294">
        <f>IFERROR(VLOOKUP(J294,Source_Assumptions!$A:$C,3,0),0)</f>
        <v>1200</v>
      </c>
    </row>
    <row r="295" spans="1:16" x14ac:dyDescent="0.3">
      <c r="A295">
        <f>Raw_Data!A295</f>
        <v>294</v>
      </c>
      <c r="B295" s="2">
        <f>Raw_Data!B295</f>
        <v>44769.516666666699</v>
      </c>
      <c r="C295">
        <f>YEAR(Raw_Data!B295)</f>
        <v>2022</v>
      </c>
      <c r="D295" t="str">
        <f>IF(MONTH(Raw_Data!B295)&gt;=4,YEAR(Raw_Data!B295)&amp;"-"&amp;RIGHT(YEAR(Raw_Data!B295)+1,2),YEAR(Raw_Data!B295)-1&amp;"-"&amp;RIGHT(YEAR(Raw_Data!B295),2))</f>
        <v>2022-23</v>
      </c>
      <c r="E295" t="str">
        <f>"Q"&amp;ROUNDUP(MONTH(Raw_Data!B295)/3,0)</f>
        <v>Q3</v>
      </c>
      <c r="F295" t="str">
        <f>TEXT(Raw_Data!B295,"mmm")</f>
        <v>Jul</v>
      </c>
      <c r="G295" t="str">
        <f>TEXT(Raw_Data!B295,"ddd")</f>
        <v>Wed</v>
      </c>
      <c r="H295" t="str">
        <f>Raw_Data!D295</f>
        <v>Invoiced</v>
      </c>
      <c r="I295" t="str">
        <f>Raw_Data!F295</f>
        <v>Tele-in</v>
      </c>
      <c r="J295" t="str">
        <f>Raw_Data!G295</f>
        <v>Dealer Webpage Tele-In</v>
      </c>
      <c r="K295" t="str">
        <f>IFERROR(VLOOKUP(J295,Source_Assumptions!$A:$C,2,0),"Unmapped")</f>
        <v>Digital - Owned</v>
      </c>
      <c r="L295" t="str">
        <f>Raw_Data!H295</f>
        <v>AMAZE Petrol</v>
      </c>
      <c r="M295" t="str">
        <f>IFERROR(VLOOKUP(L295,Model_Assumptions!$A:$D,2,0),"Unmapped")</f>
        <v>Sub-4m Sedan</v>
      </c>
      <c r="N295" t="str">
        <f>IFERROR(VLOOKUP(L295,Model_Assumptions!$A:$D,3,0),"Unmapped")</f>
        <v>Petrol</v>
      </c>
      <c r="O295">
        <f>IFERROR(VLOOKUP(L295,Model_Assumptions!$A:$D,4,0),0)</f>
        <v>850000</v>
      </c>
      <c r="P295">
        <f>IFERROR(VLOOKUP(J295,Source_Assumptions!$A:$C,3,0),0)</f>
        <v>300</v>
      </c>
    </row>
    <row r="296" spans="1:16" x14ac:dyDescent="0.3">
      <c r="A296">
        <f>Raw_Data!A296</f>
        <v>295</v>
      </c>
      <c r="B296" s="2">
        <f>Raw_Data!B296</f>
        <v>44770.582870370403</v>
      </c>
      <c r="C296">
        <f>YEAR(Raw_Data!B296)</f>
        <v>2022</v>
      </c>
      <c r="D296" t="str">
        <f>IF(MONTH(Raw_Data!B296)&gt;=4,YEAR(Raw_Data!B296)&amp;"-"&amp;RIGHT(YEAR(Raw_Data!B296)+1,2),YEAR(Raw_Data!B296)-1&amp;"-"&amp;RIGHT(YEAR(Raw_Data!B296),2))</f>
        <v>2022-23</v>
      </c>
      <c r="E296" t="str">
        <f>"Q"&amp;ROUNDUP(MONTH(Raw_Data!B296)/3,0)</f>
        <v>Q3</v>
      </c>
      <c r="F296" t="str">
        <f>TEXT(Raw_Data!B296,"mmm")</f>
        <v>Jul</v>
      </c>
      <c r="G296" t="str">
        <f>TEXT(Raw_Data!B296,"ddd")</f>
        <v>Thu</v>
      </c>
      <c r="H296" t="str">
        <f>Raw_Data!D296</f>
        <v>Invoiced</v>
      </c>
      <c r="I296" t="str">
        <f>Raw_Data!F296</f>
        <v>Tele-in</v>
      </c>
      <c r="J296" t="str">
        <f>Raw_Data!G296</f>
        <v>Referral-CAM</v>
      </c>
      <c r="K296" t="str">
        <f>IFERROR(VLOOKUP(J296,Source_Assumptions!$A:$C,2,0),"Unmapped")</f>
        <v>Referral</v>
      </c>
      <c r="L296" t="str">
        <f>Raw_Data!H296</f>
        <v>5TH GEN CITY PE</v>
      </c>
      <c r="M296" t="str">
        <f>IFERROR(VLOOKUP(L296,Model_Assumptions!$A:$D,2,0),"Unmapped")</f>
        <v>Mid-size Sedan</v>
      </c>
      <c r="N296" t="str">
        <f>IFERROR(VLOOKUP(L296,Model_Assumptions!$A:$D,3,0),"Unmapped")</f>
        <v>Petrol</v>
      </c>
      <c r="O296">
        <f>IFERROR(VLOOKUP(L296,Model_Assumptions!$A:$D,4,0),0)</f>
        <v>1250000</v>
      </c>
      <c r="P296">
        <f>IFERROR(VLOOKUP(J296,Source_Assumptions!$A:$C,3,0),0)</f>
        <v>150</v>
      </c>
    </row>
    <row r="297" spans="1:16" x14ac:dyDescent="0.3">
      <c r="A297">
        <f>Raw_Data!A297</f>
        <v>296</v>
      </c>
      <c r="B297" s="2">
        <f>Raw_Data!B297</f>
        <v>44771.416875000003</v>
      </c>
      <c r="C297">
        <f>YEAR(Raw_Data!B297)</f>
        <v>2022</v>
      </c>
      <c r="D297" t="str">
        <f>IF(MONTH(Raw_Data!B297)&gt;=4,YEAR(Raw_Data!B297)&amp;"-"&amp;RIGHT(YEAR(Raw_Data!B297)+1,2),YEAR(Raw_Data!B297)-1&amp;"-"&amp;RIGHT(YEAR(Raw_Data!B297),2))</f>
        <v>2022-23</v>
      </c>
      <c r="E297" t="str">
        <f>"Q"&amp;ROUNDUP(MONTH(Raw_Data!B297)/3,0)</f>
        <v>Q3</v>
      </c>
      <c r="F297" t="str">
        <f>TEXT(Raw_Data!B297,"mmm")</f>
        <v>Jul</v>
      </c>
      <c r="G297" t="str">
        <f>TEXT(Raw_Data!B297,"ddd")</f>
        <v>Fri</v>
      </c>
      <c r="H297" t="str">
        <f>Raw_Data!D297</f>
        <v>Invoiced</v>
      </c>
      <c r="I297" t="str">
        <f>Raw_Data!F297</f>
        <v>Tele-in</v>
      </c>
      <c r="J297" t="str">
        <f>Raw_Data!G297</f>
        <v>Referral-CAM</v>
      </c>
      <c r="K297" t="str">
        <f>IFERROR(VLOOKUP(J297,Source_Assumptions!$A:$C,2,0),"Unmapped")</f>
        <v>Referral</v>
      </c>
      <c r="L297" t="str">
        <f>Raw_Data!H297</f>
        <v>JAZZ PE</v>
      </c>
      <c r="M297" t="str">
        <f>IFERROR(VLOOKUP(L297,Model_Assumptions!$A:$D,2,0),"Unmapped")</f>
        <v>Hatchback</v>
      </c>
      <c r="N297" t="str">
        <f>IFERROR(VLOOKUP(L297,Model_Assumptions!$A:$D,3,0),"Unmapped")</f>
        <v>Petrol</v>
      </c>
      <c r="O297">
        <f>IFERROR(VLOOKUP(L297,Model_Assumptions!$A:$D,4,0),0)</f>
        <v>800000</v>
      </c>
      <c r="P297">
        <f>IFERROR(VLOOKUP(J297,Source_Assumptions!$A:$C,3,0),0)</f>
        <v>150</v>
      </c>
    </row>
    <row r="298" spans="1:16" x14ac:dyDescent="0.3">
      <c r="A298">
        <f>Raw_Data!A298</f>
        <v>297</v>
      </c>
      <c r="B298" s="2">
        <f>Raw_Data!B298</f>
        <v>44771.740960648203</v>
      </c>
      <c r="C298">
        <f>YEAR(Raw_Data!B298)</f>
        <v>2022</v>
      </c>
      <c r="D298" t="str">
        <f>IF(MONTH(Raw_Data!B298)&gt;=4,YEAR(Raw_Data!B298)&amp;"-"&amp;RIGHT(YEAR(Raw_Data!B298)+1,2),YEAR(Raw_Data!B298)-1&amp;"-"&amp;RIGHT(YEAR(Raw_Data!B298),2))</f>
        <v>2022-23</v>
      </c>
      <c r="E298" t="str">
        <f>"Q"&amp;ROUNDUP(MONTH(Raw_Data!B298)/3,0)</f>
        <v>Q3</v>
      </c>
      <c r="F298" t="str">
        <f>TEXT(Raw_Data!B298,"mmm")</f>
        <v>Jul</v>
      </c>
      <c r="G298" t="str">
        <f>TEXT(Raw_Data!B298,"ddd")</f>
        <v>Fri</v>
      </c>
      <c r="H298" t="str">
        <f>Raw_Data!D298</f>
        <v>Invoiced</v>
      </c>
      <c r="I298" t="str">
        <f>Raw_Data!F298</f>
        <v>Walk-in Showroom</v>
      </c>
      <c r="J298" t="str">
        <f>Raw_Data!G298</f>
        <v>Adver. (TVC/Print/Hoarding/FM)</v>
      </c>
      <c r="K298" t="str">
        <f>IFERROR(VLOOKUP(J298,Source_Assumptions!$A:$C,2,0),"Unmapped")</f>
        <v>Traditional Advertising</v>
      </c>
      <c r="L298" t="str">
        <f>Raw_Data!H298</f>
        <v>5TH GEN CITY PE</v>
      </c>
      <c r="M298" t="str">
        <f>IFERROR(VLOOKUP(L298,Model_Assumptions!$A:$D,2,0),"Unmapped")</f>
        <v>Mid-size Sedan</v>
      </c>
      <c r="N298" t="str">
        <f>IFERROR(VLOOKUP(L298,Model_Assumptions!$A:$D,3,0),"Unmapped")</f>
        <v>Petrol</v>
      </c>
      <c r="O298">
        <f>IFERROR(VLOOKUP(L298,Model_Assumptions!$A:$D,4,0),0)</f>
        <v>1250000</v>
      </c>
      <c r="P298">
        <f>IFERROR(VLOOKUP(J298,Source_Assumptions!$A:$C,3,0),0)</f>
        <v>1200</v>
      </c>
    </row>
    <row r="299" spans="1:16" x14ac:dyDescent="0.3">
      <c r="A299">
        <f>Raw_Data!A299</f>
        <v>298</v>
      </c>
      <c r="B299" s="2">
        <f>Raw_Data!B299</f>
        <v>44772.738553240699</v>
      </c>
      <c r="C299">
        <f>YEAR(Raw_Data!B299)</f>
        <v>2022</v>
      </c>
      <c r="D299" t="str">
        <f>IF(MONTH(Raw_Data!B299)&gt;=4,YEAR(Raw_Data!B299)&amp;"-"&amp;RIGHT(YEAR(Raw_Data!B299)+1,2),YEAR(Raw_Data!B299)-1&amp;"-"&amp;RIGHT(YEAR(Raw_Data!B299),2))</f>
        <v>2022-23</v>
      </c>
      <c r="E299" t="str">
        <f>"Q"&amp;ROUNDUP(MONTH(Raw_Data!B299)/3,0)</f>
        <v>Q3</v>
      </c>
      <c r="F299" t="str">
        <f>TEXT(Raw_Data!B299,"mmm")</f>
        <v>Jul</v>
      </c>
      <c r="G299" t="str">
        <f>TEXT(Raw_Data!B299,"ddd")</f>
        <v>Sat</v>
      </c>
      <c r="H299" t="str">
        <f>Raw_Data!D299</f>
        <v>Invoiced</v>
      </c>
      <c r="I299" t="str">
        <f>Raw_Data!F299</f>
        <v>SMS/ Tele-Out</v>
      </c>
      <c r="J299" t="str">
        <f>Raw_Data!G299</f>
        <v>I-BAP Referral</v>
      </c>
      <c r="K299" t="str">
        <f>IFERROR(VLOOKUP(J299,Source_Assumptions!$A:$C,2,0),"Unmapped")</f>
        <v>Referral (Insurance/Banking Partner)</v>
      </c>
      <c r="L299" t="str">
        <f>Raw_Data!H299</f>
        <v>5TH GEN CITY PE</v>
      </c>
      <c r="M299" t="str">
        <f>IFERROR(VLOOKUP(L299,Model_Assumptions!$A:$D,2,0),"Unmapped")</f>
        <v>Mid-size Sedan</v>
      </c>
      <c r="N299" t="str">
        <f>IFERROR(VLOOKUP(L299,Model_Assumptions!$A:$D,3,0),"Unmapped")</f>
        <v>Petrol</v>
      </c>
      <c r="O299">
        <f>IFERROR(VLOOKUP(L299,Model_Assumptions!$A:$D,4,0),0)</f>
        <v>1250000</v>
      </c>
      <c r="P299">
        <f>IFERROR(VLOOKUP(J299,Source_Assumptions!$A:$C,3,0),0)</f>
        <v>150</v>
      </c>
    </row>
    <row r="300" spans="1:16" x14ac:dyDescent="0.3">
      <c r="A300">
        <f>Raw_Data!A300</f>
        <v>299</v>
      </c>
      <c r="B300" s="2">
        <f>Raw_Data!B300</f>
        <v>44772.744872685202</v>
      </c>
      <c r="C300">
        <f>YEAR(Raw_Data!B300)</f>
        <v>2022</v>
      </c>
      <c r="D300" t="str">
        <f>IF(MONTH(Raw_Data!B300)&gt;=4,YEAR(Raw_Data!B300)&amp;"-"&amp;RIGHT(YEAR(Raw_Data!B300)+1,2),YEAR(Raw_Data!B300)-1&amp;"-"&amp;RIGHT(YEAR(Raw_Data!B300),2))</f>
        <v>2022-23</v>
      </c>
      <c r="E300" t="str">
        <f>"Q"&amp;ROUNDUP(MONTH(Raw_Data!B300)/3,0)</f>
        <v>Q3</v>
      </c>
      <c r="F300" t="str">
        <f>TEXT(Raw_Data!B300,"mmm")</f>
        <v>Jul</v>
      </c>
      <c r="G300" t="str">
        <f>TEXT(Raw_Data!B300,"ddd")</f>
        <v>Sat</v>
      </c>
      <c r="H300" t="str">
        <f>Raw_Data!D300</f>
        <v>Invoiced</v>
      </c>
      <c r="I300" t="str">
        <f>Raw_Data!F300</f>
        <v>Walk-in Showroom</v>
      </c>
      <c r="J300" t="str">
        <f>Raw_Data!G300</f>
        <v>Adver. (TVC/Print/Hoarding/FM)</v>
      </c>
      <c r="K300" t="str">
        <f>IFERROR(VLOOKUP(J300,Source_Assumptions!$A:$C,2,0),"Unmapped")</f>
        <v>Traditional Advertising</v>
      </c>
      <c r="L300" t="str">
        <f>Raw_Data!H300</f>
        <v>AMAZE Petrol</v>
      </c>
      <c r="M300" t="str">
        <f>IFERROR(VLOOKUP(L300,Model_Assumptions!$A:$D,2,0),"Unmapped")</f>
        <v>Sub-4m Sedan</v>
      </c>
      <c r="N300" t="str">
        <f>IFERROR(VLOOKUP(L300,Model_Assumptions!$A:$D,3,0),"Unmapped")</f>
        <v>Petrol</v>
      </c>
      <c r="O300">
        <f>IFERROR(VLOOKUP(L300,Model_Assumptions!$A:$D,4,0),0)</f>
        <v>850000</v>
      </c>
      <c r="P300">
        <f>IFERROR(VLOOKUP(J300,Source_Assumptions!$A:$C,3,0),0)</f>
        <v>1200</v>
      </c>
    </row>
    <row r="301" spans="1:16" x14ac:dyDescent="0.3">
      <c r="A301">
        <f>Raw_Data!A301</f>
        <v>300</v>
      </c>
      <c r="B301" s="2">
        <f>Raw_Data!B301</f>
        <v>44772.760208333297</v>
      </c>
      <c r="C301">
        <f>YEAR(Raw_Data!B301)</f>
        <v>2022</v>
      </c>
      <c r="D301" t="str">
        <f>IF(MONTH(Raw_Data!B301)&gt;=4,YEAR(Raw_Data!B301)&amp;"-"&amp;RIGHT(YEAR(Raw_Data!B301)+1,2),YEAR(Raw_Data!B301)-1&amp;"-"&amp;RIGHT(YEAR(Raw_Data!B301),2))</f>
        <v>2022-23</v>
      </c>
      <c r="E301" t="str">
        <f>"Q"&amp;ROUNDUP(MONTH(Raw_Data!B301)/3,0)</f>
        <v>Q3</v>
      </c>
      <c r="F301" t="str">
        <f>TEXT(Raw_Data!B301,"mmm")</f>
        <v>Jul</v>
      </c>
      <c r="G301" t="str">
        <f>TEXT(Raw_Data!B301,"ddd")</f>
        <v>Sat</v>
      </c>
      <c r="H301" t="str">
        <f>Raw_Data!D301</f>
        <v>Invoiced</v>
      </c>
      <c r="I301" t="str">
        <f>Raw_Data!F301</f>
        <v>SMS/ Tele-Out</v>
      </c>
      <c r="J301" t="str">
        <f>Raw_Data!G301</f>
        <v>I-BAP Referral</v>
      </c>
      <c r="K301" t="str">
        <f>IFERROR(VLOOKUP(J301,Source_Assumptions!$A:$C,2,0),"Unmapped")</f>
        <v>Referral (Insurance/Banking Partner)</v>
      </c>
      <c r="L301" t="str">
        <f>Raw_Data!H301</f>
        <v>AMAZE Petrol</v>
      </c>
      <c r="M301" t="str">
        <f>IFERROR(VLOOKUP(L301,Model_Assumptions!$A:$D,2,0),"Unmapped")</f>
        <v>Sub-4m Sedan</v>
      </c>
      <c r="N301" t="str">
        <f>IFERROR(VLOOKUP(L301,Model_Assumptions!$A:$D,3,0),"Unmapped")</f>
        <v>Petrol</v>
      </c>
      <c r="O301">
        <f>IFERROR(VLOOKUP(L301,Model_Assumptions!$A:$D,4,0),0)</f>
        <v>850000</v>
      </c>
      <c r="P301">
        <f>IFERROR(VLOOKUP(J301,Source_Assumptions!$A:$C,3,0),0)</f>
        <v>150</v>
      </c>
    </row>
    <row r="302" spans="1:16" x14ac:dyDescent="0.3">
      <c r="A302">
        <f>Raw_Data!A302</f>
        <v>301</v>
      </c>
      <c r="B302" s="2">
        <f>Raw_Data!B302</f>
        <v>44773.493784722203</v>
      </c>
      <c r="C302">
        <f>YEAR(Raw_Data!B302)</f>
        <v>2022</v>
      </c>
      <c r="D302" t="str">
        <f>IF(MONTH(Raw_Data!B302)&gt;=4,YEAR(Raw_Data!B302)&amp;"-"&amp;RIGHT(YEAR(Raw_Data!B302)+1,2),YEAR(Raw_Data!B302)-1&amp;"-"&amp;RIGHT(YEAR(Raw_Data!B302),2))</f>
        <v>2022-23</v>
      </c>
      <c r="E302" t="str">
        <f>"Q"&amp;ROUNDUP(MONTH(Raw_Data!B302)/3,0)</f>
        <v>Q3</v>
      </c>
      <c r="F302" t="str">
        <f>TEXT(Raw_Data!B302,"mmm")</f>
        <v>Jul</v>
      </c>
      <c r="G302" t="str">
        <f>TEXT(Raw_Data!B302,"ddd")</f>
        <v>Sun</v>
      </c>
      <c r="H302" t="str">
        <f>Raw_Data!D302</f>
        <v>Invoiced</v>
      </c>
      <c r="I302" t="str">
        <f>Raw_Data!F302</f>
        <v>Tele-in</v>
      </c>
      <c r="J302" t="str">
        <f>Raw_Data!G302</f>
        <v>Dealer Webpage Tele-In</v>
      </c>
      <c r="K302" t="str">
        <f>IFERROR(VLOOKUP(J302,Source_Assumptions!$A:$C,2,0),"Unmapped")</f>
        <v>Digital - Owned</v>
      </c>
      <c r="L302" t="str">
        <f>Raw_Data!H302</f>
        <v>AMAZE Petrol</v>
      </c>
      <c r="M302" t="str">
        <f>IFERROR(VLOOKUP(L302,Model_Assumptions!$A:$D,2,0),"Unmapped")</f>
        <v>Sub-4m Sedan</v>
      </c>
      <c r="N302" t="str">
        <f>IFERROR(VLOOKUP(L302,Model_Assumptions!$A:$D,3,0),"Unmapped")</f>
        <v>Petrol</v>
      </c>
      <c r="O302">
        <f>IFERROR(VLOOKUP(L302,Model_Assumptions!$A:$D,4,0),0)</f>
        <v>850000</v>
      </c>
      <c r="P302">
        <f>IFERROR(VLOOKUP(J302,Source_Assumptions!$A:$C,3,0),0)</f>
        <v>300</v>
      </c>
    </row>
    <row r="303" spans="1:16" x14ac:dyDescent="0.3">
      <c r="A303">
        <f>Raw_Data!A303</f>
        <v>302</v>
      </c>
      <c r="B303" s="2">
        <f>Raw_Data!B303</f>
        <v>44773.5018865741</v>
      </c>
      <c r="C303">
        <f>YEAR(Raw_Data!B303)</f>
        <v>2022</v>
      </c>
      <c r="D303" t="str">
        <f>IF(MONTH(Raw_Data!B303)&gt;=4,YEAR(Raw_Data!B303)&amp;"-"&amp;RIGHT(YEAR(Raw_Data!B303)+1,2),YEAR(Raw_Data!B303)-1&amp;"-"&amp;RIGHT(YEAR(Raw_Data!B303),2))</f>
        <v>2022-23</v>
      </c>
      <c r="E303" t="str">
        <f>"Q"&amp;ROUNDUP(MONTH(Raw_Data!B303)/3,0)</f>
        <v>Q3</v>
      </c>
      <c r="F303" t="str">
        <f>TEXT(Raw_Data!B303,"mmm")</f>
        <v>Jul</v>
      </c>
      <c r="G303" t="str">
        <f>TEXT(Raw_Data!B303,"ddd")</f>
        <v>Sun</v>
      </c>
      <c r="H303" t="str">
        <f>Raw_Data!D303</f>
        <v>Invoiced</v>
      </c>
      <c r="I303" t="str">
        <f>Raw_Data!F303</f>
        <v>Tele-in</v>
      </c>
      <c r="J303" t="str">
        <f>Raw_Data!G303</f>
        <v>Adver. (TVC/Print/Hoarding/FM)</v>
      </c>
      <c r="K303" t="str">
        <f>IFERROR(VLOOKUP(J303,Source_Assumptions!$A:$C,2,0),"Unmapped")</f>
        <v>Traditional Advertising</v>
      </c>
      <c r="L303" t="str">
        <f>Raw_Data!H303</f>
        <v>5TH GEN CITY PE</v>
      </c>
      <c r="M303" t="str">
        <f>IFERROR(VLOOKUP(L303,Model_Assumptions!$A:$D,2,0),"Unmapped")</f>
        <v>Mid-size Sedan</v>
      </c>
      <c r="N303" t="str">
        <f>IFERROR(VLOOKUP(L303,Model_Assumptions!$A:$D,3,0),"Unmapped")</f>
        <v>Petrol</v>
      </c>
      <c r="O303">
        <f>IFERROR(VLOOKUP(L303,Model_Assumptions!$A:$D,4,0),0)</f>
        <v>1250000</v>
      </c>
      <c r="P303">
        <f>IFERROR(VLOOKUP(J303,Source_Assumptions!$A:$C,3,0),0)</f>
        <v>1200</v>
      </c>
    </row>
    <row r="304" spans="1:16" x14ac:dyDescent="0.3">
      <c r="A304">
        <f>Raw_Data!A304</f>
        <v>303</v>
      </c>
      <c r="B304" s="2">
        <f>Raw_Data!B304</f>
        <v>44773.519421296303</v>
      </c>
      <c r="C304">
        <f>YEAR(Raw_Data!B304)</f>
        <v>2022</v>
      </c>
      <c r="D304" t="str">
        <f>IF(MONTH(Raw_Data!B304)&gt;=4,YEAR(Raw_Data!B304)&amp;"-"&amp;RIGHT(YEAR(Raw_Data!B304)+1,2),YEAR(Raw_Data!B304)-1&amp;"-"&amp;RIGHT(YEAR(Raw_Data!B304),2))</f>
        <v>2022-23</v>
      </c>
      <c r="E304" t="str">
        <f>"Q"&amp;ROUNDUP(MONTH(Raw_Data!B304)/3,0)</f>
        <v>Q3</v>
      </c>
      <c r="F304" t="str">
        <f>TEXT(Raw_Data!B304,"mmm")</f>
        <v>Jul</v>
      </c>
      <c r="G304" t="str">
        <f>TEXT(Raw_Data!B304,"ddd")</f>
        <v>Sun</v>
      </c>
      <c r="H304" t="str">
        <f>Raw_Data!D304</f>
        <v>Invoiced</v>
      </c>
      <c r="I304" t="str">
        <f>Raw_Data!F304</f>
        <v>SMS/ Tele-Out</v>
      </c>
      <c r="J304" t="str">
        <f>Raw_Data!G304</f>
        <v>I-BAP Referral</v>
      </c>
      <c r="K304" t="str">
        <f>IFERROR(VLOOKUP(J304,Source_Assumptions!$A:$C,2,0),"Unmapped")</f>
        <v>Referral (Insurance/Banking Partner)</v>
      </c>
      <c r="L304" t="str">
        <f>Raw_Data!H304</f>
        <v>AMAZE Petrol</v>
      </c>
      <c r="M304" t="str">
        <f>IFERROR(VLOOKUP(L304,Model_Assumptions!$A:$D,2,0),"Unmapped")</f>
        <v>Sub-4m Sedan</v>
      </c>
      <c r="N304" t="str">
        <f>IFERROR(VLOOKUP(L304,Model_Assumptions!$A:$D,3,0),"Unmapped")</f>
        <v>Petrol</v>
      </c>
      <c r="O304">
        <f>IFERROR(VLOOKUP(L304,Model_Assumptions!$A:$D,4,0),0)</f>
        <v>850000</v>
      </c>
      <c r="P304">
        <f>IFERROR(VLOOKUP(J304,Source_Assumptions!$A:$C,3,0),0)</f>
        <v>150</v>
      </c>
    </row>
    <row r="305" spans="1:16" x14ac:dyDescent="0.3">
      <c r="A305">
        <f>Raw_Data!A305</f>
        <v>304</v>
      </c>
      <c r="B305" s="2">
        <f>Raw_Data!B305</f>
        <v>44773.596655092602</v>
      </c>
      <c r="C305">
        <f>YEAR(Raw_Data!B305)</f>
        <v>2022</v>
      </c>
      <c r="D305" t="str">
        <f>IF(MONTH(Raw_Data!B305)&gt;=4,YEAR(Raw_Data!B305)&amp;"-"&amp;RIGHT(YEAR(Raw_Data!B305)+1,2),YEAR(Raw_Data!B305)-1&amp;"-"&amp;RIGHT(YEAR(Raw_Data!B305),2))</f>
        <v>2022-23</v>
      </c>
      <c r="E305" t="str">
        <f>"Q"&amp;ROUNDUP(MONTH(Raw_Data!B305)/3,0)</f>
        <v>Q3</v>
      </c>
      <c r="F305" t="str">
        <f>TEXT(Raw_Data!B305,"mmm")</f>
        <v>Jul</v>
      </c>
      <c r="G305" t="str">
        <f>TEXT(Raw_Data!B305,"ddd")</f>
        <v>Sun</v>
      </c>
      <c r="H305" t="str">
        <f>Raw_Data!D305</f>
        <v>Invoiced</v>
      </c>
      <c r="I305" t="str">
        <f>Raw_Data!F305</f>
        <v>SMS/ Tele-Out</v>
      </c>
      <c r="J305" t="str">
        <f>Raw_Data!G305</f>
        <v>I-BAP Referral</v>
      </c>
      <c r="K305" t="str">
        <f>IFERROR(VLOOKUP(J305,Source_Assumptions!$A:$C,2,0),"Unmapped")</f>
        <v>Referral (Insurance/Banking Partner)</v>
      </c>
      <c r="L305" t="str">
        <f>Raw_Data!H305</f>
        <v>JAZZ PE</v>
      </c>
      <c r="M305" t="str">
        <f>IFERROR(VLOOKUP(L305,Model_Assumptions!$A:$D,2,0),"Unmapped")</f>
        <v>Hatchback</v>
      </c>
      <c r="N305" t="str">
        <f>IFERROR(VLOOKUP(L305,Model_Assumptions!$A:$D,3,0),"Unmapped")</f>
        <v>Petrol</v>
      </c>
      <c r="O305">
        <f>IFERROR(VLOOKUP(L305,Model_Assumptions!$A:$D,4,0),0)</f>
        <v>800000</v>
      </c>
      <c r="P305">
        <f>IFERROR(VLOOKUP(J305,Source_Assumptions!$A:$C,3,0),0)</f>
        <v>150</v>
      </c>
    </row>
    <row r="306" spans="1:16" x14ac:dyDescent="0.3">
      <c r="A306">
        <f>Raw_Data!A306</f>
        <v>305</v>
      </c>
      <c r="B306" s="2">
        <f>Raw_Data!B306</f>
        <v>44773.6875</v>
      </c>
      <c r="C306">
        <f>YEAR(Raw_Data!B306)</f>
        <v>2022</v>
      </c>
      <c r="D306" t="str">
        <f>IF(MONTH(Raw_Data!B306)&gt;=4,YEAR(Raw_Data!B306)&amp;"-"&amp;RIGHT(YEAR(Raw_Data!B306)+1,2),YEAR(Raw_Data!B306)-1&amp;"-"&amp;RIGHT(YEAR(Raw_Data!B306),2))</f>
        <v>2022-23</v>
      </c>
      <c r="E306" t="str">
        <f>"Q"&amp;ROUNDUP(MONTH(Raw_Data!B306)/3,0)</f>
        <v>Q3</v>
      </c>
      <c r="F306" t="str">
        <f>TEXT(Raw_Data!B306,"mmm")</f>
        <v>Jul</v>
      </c>
      <c r="G306" t="str">
        <f>TEXT(Raw_Data!B306,"ddd")</f>
        <v>Sun</v>
      </c>
      <c r="H306" t="str">
        <f>Raw_Data!D306</f>
        <v>Invoiced</v>
      </c>
      <c r="I306" t="str">
        <f>Raw_Data!F306</f>
        <v>SMS/ Tele-Out</v>
      </c>
      <c r="J306" t="str">
        <f>Raw_Data!G306</f>
        <v>Database Activity(Teleout/SMS)</v>
      </c>
      <c r="K306" t="str">
        <f>IFERROR(VLOOKUP(J306,Source_Assumptions!$A:$C,2,0),"Unmapped")</f>
        <v>Outbound/Database</v>
      </c>
      <c r="L306" t="str">
        <f>Raw_Data!H306</f>
        <v>5TH GEN CITY DE</v>
      </c>
      <c r="M306" t="str">
        <f>IFERROR(VLOOKUP(L306,Model_Assumptions!$A:$D,2,0),"Unmapped")</f>
        <v>Mid-size Sedan</v>
      </c>
      <c r="N306" t="str">
        <f>IFERROR(VLOOKUP(L306,Model_Assumptions!$A:$D,3,0),"Unmapped")</f>
        <v>Diesel</v>
      </c>
      <c r="O306">
        <f>IFERROR(VLOOKUP(L306,Model_Assumptions!$A:$D,4,0),0)</f>
        <v>1350000</v>
      </c>
      <c r="P306">
        <f>IFERROR(VLOOKUP(J306,Source_Assumptions!$A:$C,3,0),0)</f>
        <v>250</v>
      </c>
    </row>
    <row r="307" spans="1:16" x14ac:dyDescent="0.3">
      <c r="A307">
        <f>Raw_Data!A307</f>
        <v>306</v>
      </c>
      <c r="B307" s="2">
        <f>Raw_Data!B307</f>
        <v>44773.732881944401</v>
      </c>
      <c r="C307">
        <f>YEAR(Raw_Data!B307)</f>
        <v>2022</v>
      </c>
      <c r="D307" t="str">
        <f>IF(MONTH(Raw_Data!B307)&gt;=4,YEAR(Raw_Data!B307)&amp;"-"&amp;RIGHT(YEAR(Raw_Data!B307)+1,2),YEAR(Raw_Data!B307)-1&amp;"-"&amp;RIGHT(YEAR(Raw_Data!B307),2))</f>
        <v>2022-23</v>
      </c>
      <c r="E307" t="str">
        <f>"Q"&amp;ROUNDUP(MONTH(Raw_Data!B307)/3,0)</f>
        <v>Q3</v>
      </c>
      <c r="F307" t="str">
        <f>TEXT(Raw_Data!B307,"mmm")</f>
        <v>Jul</v>
      </c>
      <c r="G307" t="str">
        <f>TEXT(Raw_Data!B307,"ddd")</f>
        <v>Sun</v>
      </c>
      <c r="H307" t="str">
        <f>Raw_Data!D307</f>
        <v>Invoiced</v>
      </c>
      <c r="I307" t="str">
        <f>Raw_Data!F307</f>
        <v>SMS/ Tele-Out</v>
      </c>
      <c r="J307" t="str">
        <f>Raw_Data!G307</f>
        <v>Database Activity(Teleout/SMS)</v>
      </c>
      <c r="K307" t="str">
        <f>IFERROR(VLOOKUP(J307,Source_Assumptions!$A:$C,2,0),"Unmapped")</f>
        <v>Outbound/Database</v>
      </c>
      <c r="L307" t="str">
        <f>Raw_Data!H307</f>
        <v>5TH GEN CITY PE</v>
      </c>
      <c r="M307" t="str">
        <f>IFERROR(VLOOKUP(L307,Model_Assumptions!$A:$D,2,0),"Unmapped")</f>
        <v>Mid-size Sedan</v>
      </c>
      <c r="N307" t="str">
        <f>IFERROR(VLOOKUP(L307,Model_Assumptions!$A:$D,3,0),"Unmapped")</f>
        <v>Petrol</v>
      </c>
      <c r="O307">
        <f>IFERROR(VLOOKUP(L307,Model_Assumptions!$A:$D,4,0),0)</f>
        <v>1250000</v>
      </c>
      <c r="P307">
        <f>IFERROR(VLOOKUP(J307,Source_Assumptions!$A:$C,3,0),0)</f>
        <v>250</v>
      </c>
    </row>
    <row r="308" spans="1:16" x14ac:dyDescent="0.3">
      <c r="A308">
        <f>Raw_Data!A308</f>
        <v>307</v>
      </c>
      <c r="B308" s="2">
        <f>Raw_Data!B308</f>
        <v>44776.731145833299</v>
      </c>
      <c r="C308">
        <f>YEAR(Raw_Data!B308)</f>
        <v>2022</v>
      </c>
      <c r="D308" t="str">
        <f>IF(MONTH(Raw_Data!B308)&gt;=4,YEAR(Raw_Data!B308)&amp;"-"&amp;RIGHT(YEAR(Raw_Data!B308)+1,2),YEAR(Raw_Data!B308)-1&amp;"-"&amp;RIGHT(YEAR(Raw_Data!B308),2))</f>
        <v>2022-23</v>
      </c>
      <c r="E308" t="str">
        <f>"Q"&amp;ROUNDUP(MONTH(Raw_Data!B308)/3,0)</f>
        <v>Q3</v>
      </c>
      <c r="F308" t="str">
        <f>TEXT(Raw_Data!B308,"mmm")</f>
        <v>Aug</v>
      </c>
      <c r="G308" t="str">
        <f>TEXT(Raw_Data!B308,"ddd")</f>
        <v>Wed</v>
      </c>
      <c r="H308" t="str">
        <f>Raw_Data!D308</f>
        <v>Invoiced</v>
      </c>
      <c r="I308" t="str">
        <f>Raw_Data!F308</f>
        <v>Tele-in</v>
      </c>
      <c r="J308" t="str">
        <f>Raw_Data!G308</f>
        <v>Dealer Webpage Tele-In</v>
      </c>
      <c r="K308" t="str">
        <f>IFERROR(VLOOKUP(J308,Source_Assumptions!$A:$C,2,0),"Unmapped")</f>
        <v>Digital - Owned</v>
      </c>
      <c r="L308" t="str">
        <f>Raw_Data!H308</f>
        <v>5TH GEN CITY PE</v>
      </c>
      <c r="M308" t="str">
        <f>IFERROR(VLOOKUP(L308,Model_Assumptions!$A:$D,2,0),"Unmapped")</f>
        <v>Mid-size Sedan</v>
      </c>
      <c r="N308" t="str">
        <f>IFERROR(VLOOKUP(L308,Model_Assumptions!$A:$D,3,0),"Unmapped")</f>
        <v>Petrol</v>
      </c>
      <c r="O308">
        <f>IFERROR(VLOOKUP(L308,Model_Assumptions!$A:$D,4,0),0)</f>
        <v>1250000</v>
      </c>
      <c r="P308">
        <f>IFERROR(VLOOKUP(J308,Source_Assumptions!$A:$C,3,0),0)</f>
        <v>300</v>
      </c>
    </row>
    <row r="309" spans="1:16" x14ac:dyDescent="0.3">
      <c r="A309">
        <f>Raw_Data!A309</f>
        <v>308</v>
      </c>
      <c r="B309" s="2">
        <f>Raw_Data!B309</f>
        <v>44779.5868402778</v>
      </c>
      <c r="C309">
        <f>YEAR(Raw_Data!B309)</f>
        <v>2022</v>
      </c>
      <c r="D309" t="str">
        <f>IF(MONTH(Raw_Data!B309)&gt;=4,YEAR(Raw_Data!B309)&amp;"-"&amp;RIGHT(YEAR(Raw_Data!B309)+1,2),YEAR(Raw_Data!B309)-1&amp;"-"&amp;RIGHT(YEAR(Raw_Data!B309),2))</f>
        <v>2022-23</v>
      </c>
      <c r="E309" t="str">
        <f>"Q"&amp;ROUNDUP(MONTH(Raw_Data!B309)/3,0)</f>
        <v>Q3</v>
      </c>
      <c r="F309" t="str">
        <f>TEXT(Raw_Data!B309,"mmm")</f>
        <v>Aug</v>
      </c>
      <c r="G309" t="str">
        <f>TEXT(Raw_Data!B309,"ddd")</f>
        <v>Sat</v>
      </c>
      <c r="H309" t="str">
        <f>Raw_Data!D309</f>
        <v>Invoiced</v>
      </c>
      <c r="I309" t="str">
        <f>Raw_Data!F309</f>
        <v>SMS/ Tele-Out</v>
      </c>
      <c r="J309" t="str">
        <f>Raw_Data!G309</f>
        <v>Database Activity(Teleout/SMS)</v>
      </c>
      <c r="K309" t="str">
        <f>IFERROR(VLOOKUP(J309,Source_Assumptions!$A:$C,2,0),"Unmapped")</f>
        <v>Outbound/Database</v>
      </c>
      <c r="L309" t="str">
        <f>Raw_Data!H309</f>
        <v>5TH GEN CITY PE</v>
      </c>
      <c r="M309" t="str">
        <f>IFERROR(VLOOKUP(L309,Model_Assumptions!$A:$D,2,0),"Unmapped")</f>
        <v>Mid-size Sedan</v>
      </c>
      <c r="N309" t="str">
        <f>IFERROR(VLOOKUP(L309,Model_Assumptions!$A:$D,3,0),"Unmapped")</f>
        <v>Petrol</v>
      </c>
      <c r="O309">
        <f>IFERROR(VLOOKUP(L309,Model_Assumptions!$A:$D,4,0),0)</f>
        <v>1250000</v>
      </c>
      <c r="P309">
        <f>IFERROR(VLOOKUP(J309,Source_Assumptions!$A:$C,3,0),0)</f>
        <v>250</v>
      </c>
    </row>
    <row r="310" spans="1:16" x14ac:dyDescent="0.3">
      <c r="A310">
        <f>Raw_Data!A310</f>
        <v>309</v>
      </c>
      <c r="B310" s="2">
        <f>Raw_Data!B310</f>
        <v>44779.637303240699</v>
      </c>
      <c r="C310">
        <f>YEAR(Raw_Data!B310)</f>
        <v>2022</v>
      </c>
      <c r="D310" t="str">
        <f>IF(MONTH(Raw_Data!B310)&gt;=4,YEAR(Raw_Data!B310)&amp;"-"&amp;RIGHT(YEAR(Raw_Data!B310)+1,2),YEAR(Raw_Data!B310)-1&amp;"-"&amp;RIGHT(YEAR(Raw_Data!B310),2))</f>
        <v>2022-23</v>
      </c>
      <c r="E310" t="str">
        <f>"Q"&amp;ROUNDUP(MONTH(Raw_Data!B310)/3,0)</f>
        <v>Q3</v>
      </c>
      <c r="F310" t="str">
        <f>TEXT(Raw_Data!B310,"mmm")</f>
        <v>Aug</v>
      </c>
      <c r="G310" t="str">
        <f>TEXT(Raw_Data!B310,"ddd")</f>
        <v>Sat</v>
      </c>
      <c r="H310" t="str">
        <f>Raw_Data!D310</f>
        <v>Invoiced</v>
      </c>
      <c r="I310" t="str">
        <f>Raw_Data!F310</f>
        <v>Tele-in</v>
      </c>
      <c r="J310" t="str">
        <f>Raw_Data!G310</f>
        <v>Referral-CAM</v>
      </c>
      <c r="K310" t="str">
        <f>IFERROR(VLOOKUP(J310,Source_Assumptions!$A:$C,2,0),"Unmapped")</f>
        <v>Referral</v>
      </c>
      <c r="L310" t="str">
        <f>Raw_Data!H310</f>
        <v>AMAZE Petrol</v>
      </c>
      <c r="M310" t="str">
        <f>IFERROR(VLOOKUP(L310,Model_Assumptions!$A:$D,2,0),"Unmapped")</f>
        <v>Sub-4m Sedan</v>
      </c>
      <c r="N310" t="str">
        <f>IFERROR(VLOOKUP(L310,Model_Assumptions!$A:$D,3,0),"Unmapped")</f>
        <v>Petrol</v>
      </c>
      <c r="O310">
        <f>IFERROR(VLOOKUP(L310,Model_Assumptions!$A:$D,4,0),0)</f>
        <v>850000</v>
      </c>
      <c r="P310">
        <f>IFERROR(VLOOKUP(J310,Source_Assumptions!$A:$C,3,0),0)</f>
        <v>150</v>
      </c>
    </row>
    <row r="311" spans="1:16" x14ac:dyDescent="0.3">
      <c r="A311">
        <f>Raw_Data!A311</f>
        <v>310</v>
      </c>
      <c r="B311" s="2">
        <f>Raw_Data!B311</f>
        <v>44779.645231481503</v>
      </c>
      <c r="C311">
        <f>YEAR(Raw_Data!B311)</f>
        <v>2022</v>
      </c>
      <c r="D311" t="str">
        <f>IF(MONTH(Raw_Data!B311)&gt;=4,YEAR(Raw_Data!B311)&amp;"-"&amp;RIGHT(YEAR(Raw_Data!B311)+1,2),YEAR(Raw_Data!B311)-1&amp;"-"&amp;RIGHT(YEAR(Raw_Data!B311),2))</f>
        <v>2022-23</v>
      </c>
      <c r="E311" t="str">
        <f>"Q"&amp;ROUNDUP(MONTH(Raw_Data!B311)/3,0)</f>
        <v>Q3</v>
      </c>
      <c r="F311" t="str">
        <f>TEXT(Raw_Data!B311,"mmm")</f>
        <v>Aug</v>
      </c>
      <c r="G311" t="str">
        <f>TEXT(Raw_Data!B311,"ddd")</f>
        <v>Sat</v>
      </c>
      <c r="H311" t="str">
        <f>Raw_Data!D311</f>
        <v>Invoiced</v>
      </c>
      <c r="I311" t="str">
        <f>Raw_Data!F311</f>
        <v>Tele-in</v>
      </c>
      <c r="J311" t="str">
        <f>Raw_Data!G311</f>
        <v>Referral-CAM</v>
      </c>
      <c r="K311" t="str">
        <f>IFERROR(VLOOKUP(J311,Source_Assumptions!$A:$C,2,0),"Unmapped")</f>
        <v>Referral</v>
      </c>
      <c r="L311" t="str">
        <f>Raw_Data!H311</f>
        <v>CITY PE</v>
      </c>
      <c r="M311" t="str">
        <f>IFERROR(VLOOKUP(L311,Model_Assumptions!$A:$D,2,0),"Unmapped")</f>
        <v>Mid-size Sedan</v>
      </c>
      <c r="N311" t="str">
        <f>IFERROR(VLOOKUP(L311,Model_Assumptions!$A:$D,3,0),"Unmapped")</f>
        <v>Petrol</v>
      </c>
      <c r="O311">
        <f>IFERROR(VLOOKUP(L311,Model_Assumptions!$A:$D,4,0),0)</f>
        <v>1100000</v>
      </c>
      <c r="P311">
        <f>IFERROR(VLOOKUP(J311,Source_Assumptions!$A:$C,3,0),0)</f>
        <v>150</v>
      </c>
    </row>
    <row r="312" spans="1:16" x14ac:dyDescent="0.3">
      <c r="A312">
        <f>Raw_Data!A312</f>
        <v>311</v>
      </c>
      <c r="B312" s="2">
        <f>Raw_Data!B312</f>
        <v>44779.699733796297</v>
      </c>
      <c r="C312">
        <f>YEAR(Raw_Data!B312)</f>
        <v>2022</v>
      </c>
      <c r="D312" t="str">
        <f>IF(MONTH(Raw_Data!B312)&gt;=4,YEAR(Raw_Data!B312)&amp;"-"&amp;RIGHT(YEAR(Raw_Data!B312)+1,2),YEAR(Raw_Data!B312)-1&amp;"-"&amp;RIGHT(YEAR(Raw_Data!B312),2))</f>
        <v>2022-23</v>
      </c>
      <c r="E312" t="str">
        <f>"Q"&amp;ROUNDUP(MONTH(Raw_Data!B312)/3,0)</f>
        <v>Q3</v>
      </c>
      <c r="F312" t="str">
        <f>TEXT(Raw_Data!B312,"mmm")</f>
        <v>Aug</v>
      </c>
      <c r="G312" t="str">
        <f>TEXT(Raw_Data!B312,"ddd")</f>
        <v>Sat</v>
      </c>
      <c r="H312" t="str">
        <f>Raw_Data!D312</f>
        <v>Invoiced</v>
      </c>
      <c r="I312" t="str">
        <f>Raw_Data!F312</f>
        <v>Tele-in</v>
      </c>
      <c r="J312" t="str">
        <f>Raw_Data!G312</f>
        <v>Referral-CAM</v>
      </c>
      <c r="K312" t="str">
        <f>IFERROR(VLOOKUP(J312,Source_Assumptions!$A:$C,2,0),"Unmapped")</f>
        <v>Referral</v>
      </c>
      <c r="L312" t="str">
        <f>Raw_Data!H312</f>
        <v>JAZZ PE</v>
      </c>
      <c r="M312" t="str">
        <f>IFERROR(VLOOKUP(L312,Model_Assumptions!$A:$D,2,0),"Unmapped")</f>
        <v>Hatchback</v>
      </c>
      <c r="N312" t="str">
        <f>IFERROR(VLOOKUP(L312,Model_Assumptions!$A:$D,3,0),"Unmapped")</f>
        <v>Petrol</v>
      </c>
      <c r="O312">
        <f>IFERROR(VLOOKUP(L312,Model_Assumptions!$A:$D,4,0),0)</f>
        <v>800000</v>
      </c>
      <c r="P312">
        <f>IFERROR(VLOOKUP(J312,Source_Assumptions!$A:$C,3,0),0)</f>
        <v>150</v>
      </c>
    </row>
    <row r="313" spans="1:16" x14ac:dyDescent="0.3">
      <c r="A313">
        <f>Raw_Data!A313</f>
        <v>312</v>
      </c>
      <c r="B313" s="2">
        <f>Raw_Data!B313</f>
        <v>44779.720671296302</v>
      </c>
      <c r="C313">
        <f>YEAR(Raw_Data!B313)</f>
        <v>2022</v>
      </c>
      <c r="D313" t="str">
        <f>IF(MONTH(Raw_Data!B313)&gt;=4,YEAR(Raw_Data!B313)&amp;"-"&amp;RIGHT(YEAR(Raw_Data!B313)+1,2),YEAR(Raw_Data!B313)-1&amp;"-"&amp;RIGHT(YEAR(Raw_Data!B313),2))</f>
        <v>2022-23</v>
      </c>
      <c r="E313" t="str">
        <f>"Q"&amp;ROUNDUP(MONTH(Raw_Data!B313)/3,0)</f>
        <v>Q3</v>
      </c>
      <c r="F313" t="str">
        <f>TEXT(Raw_Data!B313,"mmm")</f>
        <v>Aug</v>
      </c>
      <c r="G313" t="str">
        <f>TEXT(Raw_Data!B313,"ddd")</f>
        <v>Sat</v>
      </c>
      <c r="H313" t="str">
        <f>Raw_Data!D313</f>
        <v>Invoiced</v>
      </c>
      <c r="I313" t="str">
        <f>Raw_Data!F313</f>
        <v>Web Lead</v>
      </c>
      <c r="J313" t="str">
        <f>Raw_Data!G313</f>
        <v>Web</v>
      </c>
      <c r="K313" t="str">
        <f>IFERROR(VLOOKUP(J313,Source_Assumptions!$A:$C,2,0),"Unmapped")</f>
        <v>Digital - Owned</v>
      </c>
      <c r="L313" t="str">
        <f>Raw_Data!H313</f>
        <v>WR-V PE</v>
      </c>
      <c r="M313" t="str">
        <f>IFERROR(VLOOKUP(L313,Model_Assumptions!$A:$D,2,0),"Unmapped")</f>
        <v>Compact SUV</v>
      </c>
      <c r="N313" t="str">
        <f>IFERROR(VLOOKUP(L313,Model_Assumptions!$A:$D,3,0),"Unmapped")</f>
        <v>Petrol</v>
      </c>
      <c r="O313">
        <f>IFERROR(VLOOKUP(L313,Model_Assumptions!$A:$D,4,0),0)</f>
        <v>950000</v>
      </c>
      <c r="P313">
        <f>IFERROR(VLOOKUP(J313,Source_Assumptions!$A:$C,3,0),0)</f>
        <v>300</v>
      </c>
    </row>
    <row r="314" spans="1:16" x14ac:dyDescent="0.3">
      <c r="A314">
        <f>Raw_Data!A314</f>
        <v>313</v>
      </c>
      <c r="B314" s="2">
        <f>Raw_Data!B314</f>
        <v>44782.514085648101</v>
      </c>
      <c r="C314">
        <f>YEAR(Raw_Data!B314)</f>
        <v>2022</v>
      </c>
      <c r="D314" t="str">
        <f>IF(MONTH(Raw_Data!B314)&gt;=4,YEAR(Raw_Data!B314)&amp;"-"&amp;RIGHT(YEAR(Raw_Data!B314)+1,2),YEAR(Raw_Data!B314)-1&amp;"-"&amp;RIGHT(YEAR(Raw_Data!B314),2))</f>
        <v>2022-23</v>
      </c>
      <c r="E314" t="str">
        <f>"Q"&amp;ROUNDUP(MONTH(Raw_Data!B314)/3,0)</f>
        <v>Q3</v>
      </c>
      <c r="F314" t="str">
        <f>TEXT(Raw_Data!B314,"mmm")</f>
        <v>Aug</v>
      </c>
      <c r="G314" t="str">
        <f>TEXT(Raw_Data!B314,"ddd")</f>
        <v>Tue</v>
      </c>
      <c r="H314" t="str">
        <f>Raw_Data!D314</f>
        <v>Invoiced</v>
      </c>
      <c r="I314" t="str">
        <f>Raw_Data!F314</f>
        <v>Walk-in Showroom</v>
      </c>
      <c r="J314" t="str">
        <f>Raw_Data!G314</f>
        <v>Adver. (TVC/Print/Hoarding/FM)</v>
      </c>
      <c r="K314" t="str">
        <f>IFERROR(VLOOKUP(J314,Source_Assumptions!$A:$C,2,0),"Unmapped")</f>
        <v>Traditional Advertising</v>
      </c>
      <c r="L314" t="str">
        <f>Raw_Data!H314</f>
        <v>5TH GEN CITY PE</v>
      </c>
      <c r="M314" t="str">
        <f>IFERROR(VLOOKUP(L314,Model_Assumptions!$A:$D,2,0),"Unmapped")</f>
        <v>Mid-size Sedan</v>
      </c>
      <c r="N314" t="str">
        <f>IFERROR(VLOOKUP(L314,Model_Assumptions!$A:$D,3,0),"Unmapped")</f>
        <v>Petrol</v>
      </c>
      <c r="O314">
        <f>IFERROR(VLOOKUP(L314,Model_Assumptions!$A:$D,4,0),0)</f>
        <v>1250000</v>
      </c>
      <c r="P314">
        <f>IFERROR(VLOOKUP(J314,Source_Assumptions!$A:$C,3,0),0)</f>
        <v>1200</v>
      </c>
    </row>
    <row r="315" spans="1:16" x14ac:dyDescent="0.3">
      <c r="A315">
        <f>Raw_Data!A315</f>
        <v>314</v>
      </c>
      <c r="B315" s="2">
        <f>Raw_Data!B315</f>
        <v>44784.558252314797</v>
      </c>
      <c r="C315">
        <f>YEAR(Raw_Data!B315)</f>
        <v>2022</v>
      </c>
      <c r="D315" t="str">
        <f>IF(MONTH(Raw_Data!B315)&gt;=4,YEAR(Raw_Data!B315)&amp;"-"&amp;RIGHT(YEAR(Raw_Data!B315)+1,2),YEAR(Raw_Data!B315)-1&amp;"-"&amp;RIGHT(YEAR(Raw_Data!B315),2))</f>
        <v>2022-23</v>
      </c>
      <c r="E315" t="str">
        <f>"Q"&amp;ROUNDUP(MONTH(Raw_Data!B315)/3,0)</f>
        <v>Q3</v>
      </c>
      <c r="F315" t="str">
        <f>TEXT(Raw_Data!B315,"mmm")</f>
        <v>Aug</v>
      </c>
      <c r="G315" t="str">
        <f>TEXT(Raw_Data!B315,"ddd")</f>
        <v>Thu</v>
      </c>
      <c r="H315" t="str">
        <f>Raw_Data!D315</f>
        <v>Invoiced</v>
      </c>
      <c r="I315" t="str">
        <f>Raw_Data!F315</f>
        <v>Tele-in</v>
      </c>
      <c r="J315" t="str">
        <f>Raw_Data!G315</f>
        <v>Referral-CAM</v>
      </c>
      <c r="K315" t="str">
        <f>IFERROR(VLOOKUP(J315,Source_Assumptions!$A:$C,2,0),"Unmapped")</f>
        <v>Referral</v>
      </c>
      <c r="L315" t="str">
        <f>Raw_Data!H315</f>
        <v>AMAZE Petrol</v>
      </c>
      <c r="M315" t="str">
        <f>IFERROR(VLOOKUP(L315,Model_Assumptions!$A:$D,2,0),"Unmapped")</f>
        <v>Sub-4m Sedan</v>
      </c>
      <c r="N315" t="str">
        <f>IFERROR(VLOOKUP(L315,Model_Assumptions!$A:$D,3,0),"Unmapped")</f>
        <v>Petrol</v>
      </c>
      <c r="O315">
        <f>IFERROR(VLOOKUP(L315,Model_Assumptions!$A:$D,4,0),0)</f>
        <v>850000</v>
      </c>
      <c r="P315">
        <f>IFERROR(VLOOKUP(J315,Source_Assumptions!$A:$C,3,0),0)</f>
        <v>150</v>
      </c>
    </row>
    <row r="316" spans="1:16" x14ac:dyDescent="0.3">
      <c r="A316">
        <f>Raw_Data!A316</f>
        <v>315</v>
      </c>
      <c r="B316" s="2">
        <f>Raw_Data!B316</f>
        <v>44784.567546296297</v>
      </c>
      <c r="C316">
        <f>YEAR(Raw_Data!B316)</f>
        <v>2022</v>
      </c>
      <c r="D316" t="str">
        <f>IF(MONTH(Raw_Data!B316)&gt;=4,YEAR(Raw_Data!B316)&amp;"-"&amp;RIGHT(YEAR(Raw_Data!B316)+1,2),YEAR(Raw_Data!B316)-1&amp;"-"&amp;RIGHT(YEAR(Raw_Data!B316),2))</f>
        <v>2022-23</v>
      </c>
      <c r="E316" t="str">
        <f>"Q"&amp;ROUNDUP(MONTH(Raw_Data!B316)/3,0)</f>
        <v>Q3</v>
      </c>
      <c r="F316" t="str">
        <f>TEXT(Raw_Data!B316,"mmm")</f>
        <v>Aug</v>
      </c>
      <c r="G316" t="str">
        <f>TEXT(Raw_Data!B316,"ddd")</f>
        <v>Thu</v>
      </c>
      <c r="H316" t="str">
        <f>Raw_Data!D316</f>
        <v>Invoiced</v>
      </c>
      <c r="I316" t="str">
        <f>Raw_Data!F316</f>
        <v>Tele-in</v>
      </c>
      <c r="J316" t="str">
        <f>Raw_Data!G316</f>
        <v>Referral-CAM</v>
      </c>
      <c r="K316" t="str">
        <f>IFERROR(VLOOKUP(J316,Source_Assumptions!$A:$C,2,0),"Unmapped")</f>
        <v>Referral</v>
      </c>
      <c r="L316" t="str">
        <f>Raw_Data!H316</f>
        <v>5TH GEN CITY PE</v>
      </c>
      <c r="M316" t="str">
        <f>IFERROR(VLOOKUP(L316,Model_Assumptions!$A:$D,2,0),"Unmapped")</f>
        <v>Mid-size Sedan</v>
      </c>
      <c r="N316" t="str">
        <f>IFERROR(VLOOKUP(L316,Model_Assumptions!$A:$D,3,0),"Unmapped")</f>
        <v>Petrol</v>
      </c>
      <c r="O316">
        <f>IFERROR(VLOOKUP(L316,Model_Assumptions!$A:$D,4,0),0)</f>
        <v>1250000</v>
      </c>
      <c r="P316">
        <f>IFERROR(VLOOKUP(J316,Source_Assumptions!$A:$C,3,0),0)</f>
        <v>150</v>
      </c>
    </row>
    <row r="317" spans="1:16" x14ac:dyDescent="0.3">
      <c r="A317">
        <f>Raw_Data!A317</f>
        <v>316</v>
      </c>
      <c r="B317" s="2">
        <f>Raw_Data!B317</f>
        <v>44784.6878125</v>
      </c>
      <c r="C317">
        <f>YEAR(Raw_Data!B317)</f>
        <v>2022</v>
      </c>
      <c r="D317" t="str">
        <f>IF(MONTH(Raw_Data!B317)&gt;=4,YEAR(Raw_Data!B317)&amp;"-"&amp;RIGHT(YEAR(Raw_Data!B317)+1,2),YEAR(Raw_Data!B317)-1&amp;"-"&amp;RIGHT(YEAR(Raw_Data!B317),2))</f>
        <v>2022-23</v>
      </c>
      <c r="E317" t="str">
        <f>"Q"&amp;ROUNDUP(MONTH(Raw_Data!B317)/3,0)</f>
        <v>Q3</v>
      </c>
      <c r="F317" t="str">
        <f>TEXT(Raw_Data!B317,"mmm")</f>
        <v>Aug</v>
      </c>
      <c r="G317" t="str">
        <f>TEXT(Raw_Data!B317,"ddd")</f>
        <v>Thu</v>
      </c>
      <c r="H317" t="str">
        <f>Raw_Data!D317</f>
        <v>Invoiced</v>
      </c>
      <c r="I317" t="str">
        <f>Raw_Data!F317</f>
        <v>Tele-in</v>
      </c>
      <c r="J317" t="str">
        <f>Raw_Data!G317</f>
        <v>Dealer Webpage Tele-In</v>
      </c>
      <c r="K317" t="str">
        <f>IFERROR(VLOOKUP(J317,Source_Assumptions!$A:$C,2,0),"Unmapped")</f>
        <v>Digital - Owned</v>
      </c>
      <c r="L317" t="str">
        <f>Raw_Data!H317</f>
        <v>AMAZE Petrol</v>
      </c>
      <c r="M317" t="str">
        <f>IFERROR(VLOOKUP(L317,Model_Assumptions!$A:$D,2,0),"Unmapped")</f>
        <v>Sub-4m Sedan</v>
      </c>
      <c r="N317" t="str">
        <f>IFERROR(VLOOKUP(L317,Model_Assumptions!$A:$D,3,0),"Unmapped")</f>
        <v>Petrol</v>
      </c>
      <c r="O317">
        <f>IFERROR(VLOOKUP(L317,Model_Assumptions!$A:$D,4,0),0)</f>
        <v>850000</v>
      </c>
      <c r="P317">
        <f>IFERROR(VLOOKUP(J317,Source_Assumptions!$A:$C,3,0),0)</f>
        <v>300</v>
      </c>
    </row>
    <row r="318" spans="1:16" x14ac:dyDescent="0.3">
      <c r="A318">
        <f>Raw_Data!A318</f>
        <v>317</v>
      </c>
      <c r="B318" s="2">
        <f>Raw_Data!B318</f>
        <v>44785.758090277799</v>
      </c>
      <c r="C318">
        <f>YEAR(Raw_Data!B318)</f>
        <v>2022</v>
      </c>
      <c r="D318" t="str">
        <f>IF(MONTH(Raw_Data!B318)&gt;=4,YEAR(Raw_Data!B318)&amp;"-"&amp;RIGHT(YEAR(Raw_Data!B318)+1,2),YEAR(Raw_Data!B318)-1&amp;"-"&amp;RIGHT(YEAR(Raw_Data!B318),2))</f>
        <v>2022-23</v>
      </c>
      <c r="E318" t="str">
        <f>"Q"&amp;ROUNDUP(MONTH(Raw_Data!B318)/3,0)</f>
        <v>Q3</v>
      </c>
      <c r="F318" t="str">
        <f>TEXT(Raw_Data!B318,"mmm")</f>
        <v>Aug</v>
      </c>
      <c r="G318" t="str">
        <f>TEXT(Raw_Data!B318,"ddd")</f>
        <v>Fri</v>
      </c>
      <c r="H318" t="str">
        <f>Raw_Data!D318</f>
        <v>Invoiced</v>
      </c>
      <c r="I318" t="str">
        <f>Raw_Data!F318</f>
        <v>Web Lead</v>
      </c>
      <c r="J318" t="str">
        <f>Raw_Data!G318</f>
        <v>Web_Organic</v>
      </c>
      <c r="K318" t="str">
        <f>IFERROR(VLOOKUP(J318,Source_Assumptions!$A:$C,2,0),"Unmapped")</f>
        <v>Digital - Organic</v>
      </c>
      <c r="L318" t="str">
        <f>Raw_Data!H318</f>
        <v>5TH GEN CITY PE</v>
      </c>
      <c r="M318" t="str">
        <f>IFERROR(VLOOKUP(L318,Model_Assumptions!$A:$D,2,0),"Unmapped")</f>
        <v>Mid-size Sedan</v>
      </c>
      <c r="N318" t="str">
        <f>IFERROR(VLOOKUP(L318,Model_Assumptions!$A:$D,3,0),"Unmapped")</f>
        <v>Petrol</v>
      </c>
      <c r="O318">
        <f>IFERROR(VLOOKUP(L318,Model_Assumptions!$A:$D,4,0),0)</f>
        <v>1250000</v>
      </c>
      <c r="P318">
        <f>IFERROR(VLOOKUP(J318,Source_Assumptions!$A:$C,3,0),0)</f>
        <v>100</v>
      </c>
    </row>
    <row r="319" spans="1:16" x14ac:dyDescent="0.3">
      <c r="A319">
        <f>Raw_Data!A319</f>
        <v>318</v>
      </c>
      <c r="B319" s="2">
        <f>Raw_Data!B319</f>
        <v>44790.496111111097</v>
      </c>
      <c r="C319">
        <f>YEAR(Raw_Data!B319)</f>
        <v>2022</v>
      </c>
      <c r="D319" t="str">
        <f>IF(MONTH(Raw_Data!B319)&gt;=4,YEAR(Raw_Data!B319)&amp;"-"&amp;RIGHT(YEAR(Raw_Data!B319)+1,2),YEAR(Raw_Data!B319)-1&amp;"-"&amp;RIGHT(YEAR(Raw_Data!B319),2))</f>
        <v>2022-23</v>
      </c>
      <c r="E319" t="str">
        <f>"Q"&amp;ROUNDUP(MONTH(Raw_Data!B319)/3,0)</f>
        <v>Q3</v>
      </c>
      <c r="F319" t="str">
        <f>TEXT(Raw_Data!B319,"mmm")</f>
        <v>Aug</v>
      </c>
      <c r="G319" t="str">
        <f>TEXT(Raw_Data!B319,"ddd")</f>
        <v>Wed</v>
      </c>
      <c r="H319" t="str">
        <f>Raw_Data!D319</f>
        <v>Invoiced</v>
      </c>
      <c r="I319" t="str">
        <f>Raw_Data!F319</f>
        <v>SMS/ Tele-Out</v>
      </c>
      <c r="J319" t="str">
        <f>Raw_Data!G319</f>
        <v>Database Activity(Teleout/SMS)</v>
      </c>
      <c r="K319" t="str">
        <f>IFERROR(VLOOKUP(J319,Source_Assumptions!$A:$C,2,0),"Unmapped")</f>
        <v>Outbound/Database</v>
      </c>
      <c r="L319" t="str">
        <f>Raw_Data!H319</f>
        <v>AMAZE Petrol</v>
      </c>
      <c r="M319" t="str">
        <f>IFERROR(VLOOKUP(L319,Model_Assumptions!$A:$D,2,0),"Unmapped")</f>
        <v>Sub-4m Sedan</v>
      </c>
      <c r="N319" t="str">
        <f>IFERROR(VLOOKUP(L319,Model_Assumptions!$A:$D,3,0),"Unmapped")</f>
        <v>Petrol</v>
      </c>
      <c r="O319">
        <f>IFERROR(VLOOKUP(L319,Model_Assumptions!$A:$D,4,0),0)</f>
        <v>850000</v>
      </c>
      <c r="P319">
        <f>IFERROR(VLOOKUP(J319,Source_Assumptions!$A:$C,3,0),0)</f>
        <v>250</v>
      </c>
    </row>
    <row r="320" spans="1:16" x14ac:dyDescent="0.3">
      <c r="A320">
        <f>Raw_Data!A320</f>
        <v>319</v>
      </c>
      <c r="B320" s="2">
        <f>Raw_Data!B320</f>
        <v>44790.689317129603</v>
      </c>
      <c r="C320">
        <f>YEAR(Raw_Data!B320)</f>
        <v>2022</v>
      </c>
      <c r="D320" t="str">
        <f>IF(MONTH(Raw_Data!B320)&gt;=4,YEAR(Raw_Data!B320)&amp;"-"&amp;RIGHT(YEAR(Raw_Data!B320)+1,2),YEAR(Raw_Data!B320)-1&amp;"-"&amp;RIGHT(YEAR(Raw_Data!B320),2))</f>
        <v>2022-23</v>
      </c>
      <c r="E320" t="str">
        <f>"Q"&amp;ROUNDUP(MONTH(Raw_Data!B320)/3,0)</f>
        <v>Q3</v>
      </c>
      <c r="F320" t="str">
        <f>TEXT(Raw_Data!B320,"mmm")</f>
        <v>Aug</v>
      </c>
      <c r="G320" t="str">
        <f>TEXT(Raw_Data!B320,"ddd")</f>
        <v>Wed</v>
      </c>
      <c r="H320" t="str">
        <f>Raw_Data!D320</f>
        <v>Invoiced</v>
      </c>
      <c r="I320" t="str">
        <f>Raw_Data!F320</f>
        <v>SMS/ Tele-Out</v>
      </c>
      <c r="J320" t="str">
        <f>Raw_Data!G320</f>
        <v>Referral-CAM</v>
      </c>
      <c r="K320" t="str">
        <f>IFERROR(VLOOKUP(J320,Source_Assumptions!$A:$C,2,0),"Unmapped")</f>
        <v>Referral</v>
      </c>
      <c r="L320" t="str">
        <f>Raw_Data!H320</f>
        <v>5TH GEN CITY e:HEV</v>
      </c>
      <c r="M320" t="str">
        <f>IFERROR(VLOOKUP(L320,Model_Assumptions!$A:$D,2,0),"Unmapped")</f>
        <v>Mid-size Sedan</v>
      </c>
      <c r="N320" t="str">
        <f>IFERROR(VLOOKUP(L320,Model_Assumptions!$A:$D,3,0),"Unmapped")</f>
        <v>Hybrid</v>
      </c>
      <c r="O320">
        <f>IFERROR(VLOOKUP(L320,Model_Assumptions!$A:$D,4,0),0)</f>
        <v>1950000</v>
      </c>
      <c r="P320">
        <f>IFERROR(VLOOKUP(J320,Source_Assumptions!$A:$C,3,0),0)</f>
        <v>150</v>
      </c>
    </row>
    <row r="321" spans="1:16" x14ac:dyDescent="0.3">
      <c r="A321">
        <f>Raw_Data!A321</f>
        <v>320</v>
      </c>
      <c r="B321" s="2">
        <f>Raw_Data!B321</f>
        <v>44790.7056018519</v>
      </c>
      <c r="C321">
        <f>YEAR(Raw_Data!B321)</f>
        <v>2022</v>
      </c>
      <c r="D321" t="str">
        <f>IF(MONTH(Raw_Data!B321)&gt;=4,YEAR(Raw_Data!B321)&amp;"-"&amp;RIGHT(YEAR(Raw_Data!B321)+1,2),YEAR(Raw_Data!B321)-1&amp;"-"&amp;RIGHT(YEAR(Raw_Data!B321),2))</f>
        <v>2022-23</v>
      </c>
      <c r="E321" t="str">
        <f>"Q"&amp;ROUNDUP(MONTH(Raw_Data!B321)/3,0)</f>
        <v>Q3</v>
      </c>
      <c r="F321" t="str">
        <f>TEXT(Raw_Data!B321,"mmm")</f>
        <v>Aug</v>
      </c>
      <c r="G321" t="str">
        <f>TEXT(Raw_Data!B321,"ddd")</f>
        <v>Wed</v>
      </c>
      <c r="H321" t="str">
        <f>Raw_Data!D321</f>
        <v>Invoiced</v>
      </c>
      <c r="I321" t="str">
        <f>Raw_Data!F321</f>
        <v>Walk-in Showroom</v>
      </c>
      <c r="J321" t="str">
        <f>Raw_Data!G321</f>
        <v>Adver. (TVC/Print/Hoarding/FM)</v>
      </c>
      <c r="K321" t="str">
        <f>IFERROR(VLOOKUP(J321,Source_Assumptions!$A:$C,2,0),"Unmapped")</f>
        <v>Traditional Advertising</v>
      </c>
      <c r="L321" t="str">
        <f>Raw_Data!H321</f>
        <v>AMAZE Petrol</v>
      </c>
      <c r="M321" t="str">
        <f>IFERROR(VLOOKUP(L321,Model_Assumptions!$A:$D,2,0),"Unmapped")</f>
        <v>Sub-4m Sedan</v>
      </c>
      <c r="N321" t="str">
        <f>IFERROR(VLOOKUP(L321,Model_Assumptions!$A:$D,3,0),"Unmapped")</f>
        <v>Petrol</v>
      </c>
      <c r="O321">
        <f>IFERROR(VLOOKUP(L321,Model_Assumptions!$A:$D,4,0),0)</f>
        <v>850000</v>
      </c>
      <c r="P321">
        <f>IFERROR(VLOOKUP(J321,Source_Assumptions!$A:$C,3,0),0)</f>
        <v>1200</v>
      </c>
    </row>
    <row r="322" spans="1:16" x14ac:dyDescent="0.3">
      <c r="A322">
        <f>Raw_Data!A322</f>
        <v>321</v>
      </c>
      <c r="B322" s="2">
        <f>Raw_Data!B322</f>
        <v>44791.716388888897</v>
      </c>
      <c r="C322">
        <f>YEAR(Raw_Data!B322)</f>
        <v>2022</v>
      </c>
      <c r="D322" t="str">
        <f>IF(MONTH(Raw_Data!B322)&gt;=4,YEAR(Raw_Data!B322)&amp;"-"&amp;RIGHT(YEAR(Raw_Data!B322)+1,2),YEAR(Raw_Data!B322)-1&amp;"-"&amp;RIGHT(YEAR(Raw_Data!B322),2))</f>
        <v>2022-23</v>
      </c>
      <c r="E322" t="str">
        <f>"Q"&amp;ROUNDUP(MONTH(Raw_Data!B322)/3,0)</f>
        <v>Q3</v>
      </c>
      <c r="F322" t="str">
        <f>TEXT(Raw_Data!B322,"mmm")</f>
        <v>Aug</v>
      </c>
      <c r="G322" t="str">
        <f>TEXT(Raw_Data!B322,"ddd")</f>
        <v>Thu</v>
      </c>
      <c r="H322" t="str">
        <f>Raw_Data!D322</f>
        <v>Invoiced</v>
      </c>
      <c r="I322" t="str">
        <f>Raw_Data!F322</f>
        <v>Tele-in</v>
      </c>
      <c r="J322" t="str">
        <f>Raw_Data!G322</f>
        <v>Adver. (TVC/Print/Hoarding/FM)</v>
      </c>
      <c r="K322" t="str">
        <f>IFERROR(VLOOKUP(J322,Source_Assumptions!$A:$C,2,0),"Unmapped")</f>
        <v>Traditional Advertising</v>
      </c>
      <c r="L322" t="str">
        <f>Raw_Data!H322</f>
        <v>AMAZE Petrol</v>
      </c>
      <c r="M322" t="str">
        <f>IFERROR(VLOOKUP(L322,Model_Assumptions!$A:$D,2,0),"Unmapped")</f>
        <v>Sub-4m Sedan</v>
      </c>
      <c r="N322" t="str">
        <f>IFERROR(VLOOKUP(L322,Model_Assumptions!$A:$D,3,0),"Unmapped")</f>
        <v>Petrol</v>
      </c>
      <c r="O322">
        <f>IFERROR(VLOOKUP(L322,Model_Assumptions!$A:$D,4,0),0)</f>
        <v>850000</v>
      </c>
      <c r="P322">
        <f>IFERROR(VLOOKUP(J322,Source_Assumptions!$A:$C,3,0),0)</f>
        <v>1200</v>
      </c>
    </row>
    <row r="323" spans="1:16" x14ac:dyDescent="0.3">
      <c r="A323">
        <f>Raw_Data!A323</f>
        <v>322</v>
      </c>
      <c r="B323" s="2">
        <f>Raw_Data!B323</f>
        <v>44792.7271064815</v>
      </c>
      <c r="C323">
        <f>YEAR(Raw_Data!B323)</f>
        <v>2022</v>
      </c>
      <c r="D323" t="str">
        <f>IF(MONTH(Raw_Data!B323)&gt;=4,YEAR(Raw_Data!B323)&amp;"-"&amp;RIGHT(YEAR(Raw_Data!B323)+1,2),YEAR(Raw_Data!B323)-1&amp;"-"&amp;RIGHT(YEAR(Raw_Data!B323),2))</f>
        <v>2022-23</v>
      </c>
      <c r="E323" t="str">
        <f>"Q"&amp;ROUNDUP(MONTH(Raw_Data!B323)/3,0)</f>
        <v>Q3</v>
      </c>
      <c r="F323" t="str">
        <f>TEXT(Raw_Data!B323,"mmm")</f>
        <v>Aug</v>
      </c>
      <c r="G323" t="str">
        <f>TEXT(Raw_Data!B323,"ddd")</f>
        <v>Fri</v>
      </c>
      <c r="H323" t="str">
        <f>Raw_Data!D323</f>
        <v>Invoiced</v>
      </c>
      <c r="I323" t="str">
        <f>Raw_Data!F323</f>
        <v>Tele-in</v>
      </c>
      <c r="J323" t="str">
        <f>Raw_Data!G323</f>
        <v>Referral-CAM</v>
      </c>
      <c r="K323" t="str">
        <f>IFERROR(VLOOKUP(J323,Source_Assumptions!$A:$C,2,0),"Unmapped")</f>
        <v>Referral</v>
      </c>
      <c r="L323" t="str">
        <f>Raw_Data!H323</f>
        <v>AMAZE Diesel</v>
      </c>
      <c r="M323" t="str">
        <f>IFERROR(VLOOKUP(L323,Model_Assumptions!$A:$D,2,0),"Unmapped")</f>
        <v>Sub-4m Sedan</v>
      </c>
      <c r="N323" t="str">
        <f>IFERROR(VLOOKUP(L323,Model_Assumptions!$A:$D,3,0),"Unmapped")</f>
        <v>Diesel</v>
      </c>
      <c r="O323">
        <f>IFERROR(VLOOKUP(L323,Model_Assumptions!$A:$D,4,0),0)</f>
        <v>950000</v>
      </c>
      <c r="P323">
        <f>IFERROR(VLOOKUP(J323,Source_Assumptions!$A:$C,3,0),0)</f>
        <v>150</v>
      </c>
    </row>
    <row r="324" spans="1:16" x14ac:dyDescent="0.3">
      <c r="A324">
        <f>Raw_Data!A324</f>
        <v>323</v>
      </c>
      <c r="B324" s="2">
        <f>Raw_Data!B324</f>
        <v>44792.733634259297</v>
      </c>
      <c r="C324">
        <f>YEAR(Raw_Data!B324)</f>
        <v>2022</v>
      </c>
      <c r="D324" t="str">
        <f>IF(MONTH(Raw_Data!B324)&gt;=4,YEAR(Raw_Data!B324)&amp;"-"&amp;RIGHT(YEAR(Raw_Data!B324)+1,2),YEAR(Raw_Data!B324)-1&amp;"-"&amp;RIGHT(YEAR(Raw_Data!B324),2))</f>
        <v>2022-23</v>
      </c>
      <c r="E324" t="str">
        <f>"Q"&amp;ROUNDUP(MONTH(Raw_Data!B324)/3,0)</f>
        <v>Q3</v>
      </c>
      <c r="F324" t="str">
        <f>TEXT(Raw_Data!B324,"mmm")</f>
        <v>Aug</v>
      </c>
      <c r="G324" t="str">
        <f>TEXT(Raw_Data!B324,"ddd")</f>
        <v>Fri</v>
      </c>
      <c r="H324" t="str">
        <f>Raw_Data!D324</f>
        <v>Invoiced</v>
      </c>
      <c r="I324" t="str">
        <f>Raw_Data!F324</f>
        <v>Web Lead</v>
      </c>
      <c r="J324" t="str">
        <f>Raw_Data!G324</f>
        <v>Web_CarDekho</v>
      </c>
      <c r="K324" t="str">
        <f>IFERROR(VLOOKUP(J324,Source_Assumptions!$A:$C,2,0),"Unmapped")</f>
        <v>Digital - Aggregator (Paid)</v>
      </c>
      <c r="L324" t="str">
        <f>Raw_Data!H324</f>
        <v>5TH GEN CITY PE</v>
      </c>
      <c r="M324" t="str">
        <f>IFERROR(VLOOKUP(L324,Model_Assumptions!$A:$D,2,0),"Unmapped")</f>
        <v>Mid-size Sedan</v>
      </c>
      <c r="N324" t="str">
        <f>IFERROR(VLOOKUP(L324,Model_Assumptions!$A:$D,3,0),"Unmapped")</f>
        <v>Petrol</v>
      </c>
      <c r="O324">
        <f>IFERROR(VLOOKUP(L324,Model_Assumptions!$A:$D,4,0),0)</f>
        <v>1250000</v>
      </c>
      <c r="P324">
        <f>IFERROR(VLOOKUP(J324,Source_Assumptions!$A:$C,3,0),0)</f>
        <v>900</v>
      </c>
    </row>
    <row r="325" spans="1:16" x14ac:dyDescent="0.3">
      <c r="A325">
        <f>Raw_Data!A325</f>
        <v>324</v>
      </c>
      <c r="B325" s="2">
        <f>Raw_Data!B325</f>
        <v>44792.737152777801</v>
      </c>
      <c r="C325">
        <f>YEAR(Raw_Data!B325)</f>
        <v>2022</v>
      </c>
      <c r="D325" t="str">
        <f>IF(MONTH(Raw_Data!B325)&gt;=4,YEAR(Raw_Data!B325)&amp;"-"&amp;RIGHT(YEAR(Raw_Data!B325)+1,2),YEAR(Raw_Data!B325)-1&amp;"-"&amp;RIGHT(YEAR(Raw_Data!B325),2))</f>
        <v>2022-23</v>
      </c>
      <c r="E325" t="str">
        <f>"Q"&amp;ROUNDUP(MONTH(Raw_Data!B325)/3,0)</f>
        <v>Q3</v>
      </c>
      <c r="F325" t="str">
        <f>TEXT(Raw_Data!B325,"mmm")</f>
        <v>Aug</v>
      </c>
      <c r="G325" t="str">
        <f>TEXT(Raw_Data!B325,"ddd")</f>
        <v>Fri</v>
      </c>
      <c r="H325" t="str">
        <f>Raw_Data!D325</f>
        <v>Invoiced</v>
      </c>
      <c r="I325" t="str">
        <f>Raw_Data!F325</f>
        <v>SMS/ Tele-Out</v>
      </c>
      <c r="J325" t="str">
        <f>Raw_Data!G325</f>
        <v>Database Activity(Teleout/SMS)</v>
      </c>
      <c r="K325" t="str">
        <f>IFERROR(VLOOKUP(J325,Source_Assumptions!$A:$C,2,0),"Unmapped")</f>
        <v>Outbound/Database</v>
      </c>
      <c r="L325" t="str">
        <f>Raw_Data!H325</f>
        <v>5TH GEN CITY PE</v>
      </c>
      <c r="M325" t="str">
        <f>IFERROR(VLOOKUP(L325,Model_Assumptions!$A:$D,2,0),"Unmapped")</f>
        <v>Mid-size Sedan</v>
      </c>
      <c r="N325" t="str">
        <f>IFERROR(VLOOKUP(L325,Model_Assumptions!$A:$D,3,0),"Unmapped")</f>
        <v>Petrol</v>
      </c>
      <c r="O325">
        <f>IFERROR(VLOOKUP(L325,Model_Assumptions!$A:$D,4,0),0)</f>
        <v>1250000</v>
      </c>
      <c r="P325">
        <f>IFERROR(VLOOKUP(J325,Source_Assumptions!$A:$C,3,0),0)</f>
        <v>250</v>
      </c>
    </row>
    <row r="326" spans="1:16" x14ac:dyDescent="0.3">
      <c r="A326">
        <f>Raw_Data!A326</f>
        <v>325</v>
      </c>
      <c r="B326" s="2">
        <f>Raw_Data!B326</f>
        <v>44793.696145833303</v>
      </c>
      <c r="C326">
        <f>YEAR(Raw_Data!B326)</f>
        <v>2022</v>
      </c>
      <c r="D326" t="str">
        <f>IF(MONTH(Raw_Data!B326)&gt;=4,YEAR(Raw_Data!B326)&amp;"-"&amp;RIGHT(YEAR(Raw_Data!B326)+1,2),YEAR(Raw_Data!B326)-1&amp;"-"&amp;RIGHT(YEAR(Raw_Data!B326),2))</f>
        <v>2022-23</v>
      </c>
      <c r="E326" t="str">
        <f>"Q"&amp;ROUNDUP(MONTH(Raw_Data!B326)/3,0)</f>
        <v>Q3</v>
      </c>
      <c r="F326" t="str">
        <f>TEXT(Raw_Data!B326,"mmm")</f>
        <v>Aug</v>
      </c>
      <c r="G326" t="str">
        <f>TEXT(Raw_Data!B326,"ddd")</f>
        <v>Sat</v>
      </c>
      <c r="H326" t="str">
        <f>Raw_Data!D326</f>
        <v>Invoiced</v>
      </c>
      <c r="I326" t="str">
        <f>Raw_Data!F326</f>
        <v>SMS/ Tele-Out</v>
      </c>
      <c r="J326" t="str">
        <f>Raw_Data!G326</f>
        <v>I-BAP Referral</v>
      </c>
      <c r="K326" t="str">
        <f>IFERROR(VLOOKUP(J326,Source_Assumptions!$A:$C,2,0),"Unmapped")</f>
        <v>Referral (Insurance/Banking Partner)</v>
      </c>
      <c r="L326" t="str">
        <f>Raw_Data!H326</f>
        <v>5TH GEN CITY DE</v>
      </c>
      <c r="M326" t="str">
        <f>IFERROR(VLOOKUP(L326,Model_Assumptions!$A:$D,2,0),"Unmapped")</f>
        <v>Mid-size Sedan</v>
      </c>
      <c r="N326" t="str">
        <f>IFERROR(VLOOKUP(L326,Model_Assumptions!$A:$D,3,0),"Unmapped")</f>
        <v>Diesel</v>
      </c>
      <c r="O326">
        <f>IFERROR(VLOOKUP(L326,Model_Assumptions!$A:$D,4,0),0)</f>
        <v>1350000</v>
      </c>
      <c r="P326">
        <f>IFERROR(VLOOKUP(J326,Source_Assumptions!$A:$C,3,0),0)</f>
        <v>150</v>
      </c>
    </row>
    <row r="327" spans="1:16" x14ac:dyDescent="0.3">
      <c r="A327">
        <f>Raw_Data!A327</f>
        <v>326</v>
      </c>
      <c r="B327" s="2">
        <f>Raw_Data!B327</f>
        <v>44793.716145833299</v>
      </c>
      <c r="C327">
        <f>YEAR(Raw_Data!B327)</f>
        <v>2022</v>
      </c>
      <c r="D327" t="str">
        <f>IF(MONTH(Raw_Data!B327)&gt;=4,YEAR(Raw_Data!B327)&amp;"-"&amp;RIGHT(YEAR(Raw_Data!B327)+1,2),YEAR(Raw_Data!B327)-1&amp;"-"&amp;RIGHT(YEAR(Raw_Data!B327),2))</f>
        <v>2022-23</v>
      </c>
      <c r="E327" t="str">
        <f>"Q"&amp;ROUNDUP(MONTH(Raw_Data!B327)/3,0)</f>
        <v>Q3</v>
      </c>
      <c r="F327" t="str">
        <f>TEXT(Raw_Data!B327,"mmm")</f>
        <v>Aug</v>
      </c>
      <c r="G327" t="str">
        <f>TEXT(Raw_Data!B327,"ddd")</f>
        <v>Sat</v>
      </c>
      <c r="H327" t="str">
        <f>Raw_Data!D327</f>
        <v>Invoiced</v>
      </c>
      <c r="I327" t="str">
        <f>Raw_Data!F327</f>
        <v>Tele-in</v>
      </c>
      <c r="J327" t="str">
        <f>Raw_Data!G327</f>
        <v>Dealer Webpage Tele-In</v>
      </c>
      <c r="K327" t="str">
        <f>IFERROR(VLOOKUP(J327,Source_Assumptions!$A:$C,2,0),"Unmapped")</f>
        <v>Digital - Owned</v>
      </c>
      <c r="L327" t="str">
        <f>Raw_Data!H327</f>
        <v>5TH GEN CITY PE</v>
      </c>
      <c r="M327" t="str">
        <f>IFERROR(VLOOKUP(L327,Model_Assumptions!$A:$D,2,0),"Unmapped")</f>
        <v>Mid-size Sedan</v>
      </c>
      <c r="N327" t="str">
        <f>IFERROR(VLOOKUP(L327,Model_Assumptions!$A:$D,3,0),"Unmapped")</f>
        <v>Petrol</v>
      </c>
      <c r="O327">
        <f>IFERROR(VLOOKUP(L327,Model_Assumptions!$A:$D,4,0),0)</f>
        <v>1250000</v>
      </c>
      <c r="P327">
        <f>IFERROR(VLOOKUP(J327,Source_Assumptions!$A:$C,3,0),0)</f>
        <v>300</v>
      </c>
    </row>
    <row r="328" spans="1:16" x14ac:dyDescent="0.3">
      <c r="A328">
        <f>Raw_Data!A328</f>
        <v>327</v>
      </c>
      <c r="B328" s="2">
        <f>Raw_Data!B328</f>
        <v>44793.722905092603</v>
      </c>
      <c r="C328">
        <f>YEAR(Raw_Data!B328)</f>
        <v>2022</v>
      </c>
      <c r="D328" t="str">
        <f>IF(MONTH(Raw_Data!B328)&gt;=4,YEAR(Raw_Data!B328)&amp;"-"&amp;RIGHT(YEAR(Raw_Data!B328)+1,2),YEAR(Raw_Data!B328)-1&amp;"-"&amp;RIGHT(YEAR(Raw_Data!B328),2))</f>
        <v>2022-23</v>
      </c>
      <c r="E328" t="str">
        <f>"Q"&amp;ROUNDUP(MONTH(Raw_Data!B328)/3,0)</f>
        <v>Q3</v>
      </c>
      <c r="F328" t="str">
        <f>TEXT(Raw_Data!B328,"mmm")</f>
        <v>Aug</v>
      </c>
      <c r="G328" t="str">
        <f>TEXT(Raw_Data!B328,"ddd")</f>
        <v>Sat</v>
      </c>
      <c r="H328" t="str">
        <f>Raw_Data!D328</f>
        <v>Invoiced</v>
      </c>
      <c r="I328" t="str">
        <f>Raw_Data!F328</f>
        <v>SMS/ Tele-Out</v>
      </c>
      <c r="J328" t="str">
        <f>Raw_Data!G328</f>
        <v>Database Activity(Teleout/SMS)</v>
      </c>
      <c r="K328" t="str">
        <f>IFERROR(VLOOKUP(J328,Source_Assumptions!$A:$C,2,0),"Unmapped")</f>
        <v>Outbound/Database</v>
      </c>
      <c r="L328" t="str">
        <f>Raw_Data!H328</f>
        <v>5TH GEN CITY PE</v>
      </c>
      <c r="M328" t="str">
        <f>IFERROR(VLOOKUP(L328,Model_Assumptions!$A:$D,2,0),"Unmapped")</f>
        <v>Mid-size Sedan</v>
      </c>
      <c r="N328" t="str">
        <f>IFERROR(VLOOKUP(L328,Model_Assumptions!$A:$D,3,0),"Unmapped")</f>
        <v>Petrol</v>
      </c>
      <c r="O328">
        <f>IFERROR(VLOOKUP(L328,Model_Assumptions!$A:$D,4,0),0)</f>
        <v>1250000</v>
      </c>
      <c r="P328">
        <f>IFERROR(VLOOKUP(J328,Source_Assumptions!$A:$C,3,0),0)</f>
        <v>250</v>
      </c>
    </row>
    <row r="329" spans="1:16" x14ac:dyDescent="0.3">
      <c r="A329">
        <f>Raw_Data!A329</f>
        <v>328</v>
      </c>
      <c r="B329" s="2">
        <f>Raw_Data!B329</f>
        <v>44795.735023148198</v>
      </c>
      <c r="C329">
        <f>YEAR(Raw_Data!B329)</f>
        <v>2022</v>
      </c>
      <c r="D329" t="str">
        <f>IF(MONTH(Raw_Data!B329)&gt;=4,YEAR(Raw_Data!B329)&amp;"-"&amp;RIGHT(YEAR(Raw_Data!B329)+1,2),YEAR(Raw_Data!B329)-1&amp;"-"&amp;RIGHT(YEAR(Raw_Data!B329),2))</f>
        <v>2022-23</v>
      </c>
      <c r="E329" t="str">
        <f>"Q"&amp;ROUNDUP(MONTH(Raw_Data!B329)/3,0)</f>
        <v>Q3</v>
      </c>
      <c r="F329" t="str">
        <f>TEXT(Raw_Data!B329,"mmm")</f>
        <v>Aug</v>
      </c>
      <c r="G329" t="str">
        <f>TEXT(Raw_Data!B329,"ddd")</f>
        <v>Mon</v>
      </c>
      <c r="H329" t="str">
        <f>Raw_Data!D329</f>
        <v>Invoiced</v>
      </c>
      <c r="I329" t="str">
        <f>Raw_Data!F329</f>
        <v>Tele-in</v>
      </c>
      <c r="J329" t="str">
        <f>Raw_Data!G329</f>
        <v>Referral-CAM</v>
      </c>
      <c r="K329" t="str">
        <f>IFERROR(VLOOKUP(J329,Source_Assumptions!$A:$C,2,0),"Unmapped")</f>
        <v>Referral</v>
      </c>
      <c r="L329" t="str">
        <f>Raw_Data!H329</f>
        <v>CITY PE</v>
      </c>
      <c r="M329" t="str">
        <f>IFERROR(VLOOKUP(L329,Model_Assumptions!$A:$D,2,0),"Unmapped")</f>
        <v>Mid-size Sedan</v>
      </c>
      <c r="N329" t="str">
        <f>IFERROR(VLOOKUP(L329,Model_Assumptions!$A:$D,3,0),"Unmapped")</f>
        <v>Petrol</v>
      </c>
      <c r="O329">
        <f>IFERROR(VLOOKUP(L329,Model_Assumptions!$A:$D,4,0),0)</f>
        <v>1100000</v>
      </c>
      <c r="P329">
        <f>IFERROR(VLOOKUP(J329,Source_Assumptions!$A:$C,3,0),0)</f>
        <v>150</v>
      </c>
    </row>
    <row r="330" spans="1:16" x14ac:dyDescent="0.3">
      <c r="A330">
        <f>Raw_Data!A330</f>
        <v>329</v>
      </c>
      <c r="B330" s="2">
        <f>Raw_Data!B330</f>
        <v>44796.528564814798</v>
      </c>
      <c r="C330">
        <f>YEAR(Raw_Data!B330)</f>
        <v>2022</v>
      </c>
      <c r="D330" t="str">
        <f>IF(MONTH(Raw_Data!B330)&gt;=4,YEAR(Raw_Data!B330)&amp;"-"&amp;RIGHT(YEAR(Raw_Data!B330)+1,2),YEAR(Raw_Data!B330)-1&amp;"-"&amp;RIGHT(YEAR(Raw_Data!B330),2))</f>
        <v>2022-23</v>
      </c>
      <c r="E330" t="str">
        <f>"Q"&amp;ROUNDUP(MONTH(Raw_Data!B330)/3,0)</f>
        <v>Q3</v>
      </c>
      <c r="F330" t="str">
        <f>TEXT(Raw_Data!B330,"mmm")</f>
        <v>Aug</v>
      </c>
      <c r="G330" t="str">
        <f>TEXT(Raw_Data!B330,"ddd")</f>
        <v>Tue</v>
      </c>
      <c r="H330" t="str">
        <f>Raw_Data!D330</f>
        <v>Invoiced</v>
      </c>
      <c r="I330" t="str">
        <f>Raw_Data!F330</f>
        <v>SMS/ Tele-Out</v>
      </c>
      <c r="J330" t="str">
        <f>Raw_Data!G330</f>
        <v>I-BAP Referral</v>
      </c>
      <c r="K330" t="str">
        <f>IFERROR(VLOOKUP(J330,Source_Assumptions!$A:$C,2,0),"Unmapped")</f>
        <v>Referral (Insurance/Banking Partner)</v>
      </c>
      <c r="L330" t="str">
        <f>Raw_Data!H330</f>
        <v>CITY PE</v>
      </c>
      <c r="M330" t="str">
        <f>IFERROR(VLOOKUP(L330,Model_Assumptions!$A:$D,2,0),"Unmapped")</f>
        <v>Mid-size Sedan</v>
      </c>
      <c r="N330" t="str">
        <f>IFERROR(VLOOKUP(L330,Model_Assumptions!$A:$D,3,0),"Unmapped")</f>
        <v>Petrol</v>
      </c>
      <c r="O330">
        <f>IFERROR(VLOOKUP(L330,Model_Assumptions!$A:$D,4,0),0)</f>
        <v>1100000</v>
      </c>
      <c r="P330">
        <f>IFERROR(VLOOKUP(J330,Source_Assumptions!$A:$C,3,0),0)</f>
        <v>150</v>
      </c>
    </row>
    <row r="331" spans="1:16" x14ac:dyDescent="0.3">
      <c r="A331">
        <f>Raw_Data!A331</f>
        <v>330</v>
      </c>
      <c r="B331" s="2">
        <f>Raw_Data!B331</f>
        <v>44796.621585648201</v>
      </c>
      <c r="C331">
        <f>YEAR(Raw_Data!B331)</f>
        <v>2022</v>
      </c>
      <c r="D331" t="str">
        <f>IF(MONTH(Raw_Data!B331)&gt;=4,YEAR(Raw_Data!B331)&amp;"-"&amp;RIGHT(YEAR(Raw_Data!B331)+1,2),YEAR(Raw_Data!B331)-1&amp;"-"&amp;RIGHT(YEAR(Raw_Data!B331),2))</f>
        <v>2022-23</v>
      </c>
      <c r="E331" t="str">
        <f>"Q"&amp;ROUNDUP(MONTH(Raw_Data!B331)/3,0)</f>
        <v>Q3</v>
      </c>
      <c r="F331" t="str">
        <f>TEXT(Raw_Data!B331,"mmm")</f>
        <v>Aug</v>
      </c>
      <c r="G331" t="str">
        <f>TEXT(Raw_Data!B331,"ddd")</f>
        <v>Tue</v>
      </c>
      <c r="H331" t="str">
        <f>Raw_Data!D331</f>
        <v>Invoiced</v>
      </c>
      <c r="I331" t="str">
        <f>Raw_Data!F331</f>
        <v>SMS/ Tele-Out</v>
      </c>
      <c r="J331" t="str">
        <f>Raw_Data!G331</f>
        <v>I-BAP Referral</v>
      </c>
      <c r="K331" t="str">
        <f>IFERROR(VLOOKUP(J331,Source_Assumptions!$A:$C,2,0),"Unmapped")</f>
        <v>Referral (Insurance/Banking Partner)</v>
      </c>
      <c r="L331" t="str">
        <f>Raw_Data!H331</f>
        <v>AMAZE Petrol</v>
      </c>
      <c r="M331" t="str">
        <f>IFERROR(VLOOKUP(L331,Model_Assumptions!$A:$D,2,0),"Unmapped")</f>
        <v>Sub-4m Sedan</v>
      </c>
      <c r="N331" t="str">
        <f>IFERROR(VLOOKUP(L331,Model_Assumptions!$A:$D,3,0),"Unmapped")</f>
        <v>Petrol</v>
      </c>
      <c r="O331">
        <f>IFERROR(VLOOKUP(L331,Model_Assumptions!$A:$D,4,0),0)</f>
        <v>850000</v>
      </c>
      <c r="P331">
        <f>IFERROR(VLOOKUP(J331,Source_Assumptions!$A:$C,3,0),0)</f>
        <v>150</v>
      </c>
    </row>
    <row r="332" spans="1:16" x14ac:dyDescent="0.3">
      <c r="A332">
        <f>Raw_Data!A332</f>
        <v>331</v>
      </c>
      <c r="B332" s="2">
        <f>Raw_Data!B332</f>
        <v>44796.730162036998</v>
      </c>
      <c r="C332">
        <f>YEAR(Raw_Data!B332)</f>
        <v>2022</v>
      </c>
      <c r="D332" t="str">
        <f>IF(MONTH(Raw_Data!B332)&gt;=4,YEAR(Raw_Data!B332)&amp;"-"&amp;RIGHT(YEAR(Raw_Data!B332)+1,2),YEAR(Raw_Data!B332)-1&amp;"-"&amp;RIGHT(YEAR(Raw_Data!B332),2))</f>
        <v>2022-23</v>
      </c>
      <c r="E332" t="str">
        <f>"Q"&amp;ROUNDUP(MONTH(Raw_Data!B332)/3,0)</f>
        <v>Q3</v>
      </c>
      <c r="F332" t="str">
        <f>TEXT(Raw_Data!B332,"mmm")</f>
        <v>Aug</v>
      </c>
      <c r="G332" t="str">
        <f>TEXT(Raw_Data!B332,"ddd")</f>
        <v>Tue</v>
      </c>
      <c r="H332" t="str">
        <f>Raw_Data!D332</f>
        <v>Invoiced</v>
      </c>
      <c r="I332" t="str">
        <f>Raw_Data!F332</f>
        <v>SMS/ Tele-Out</v>
      </c>
      <c r="J332" t="str">
        <f>Raw_Data!G332</f>
        <v>I-BAP Referral</v>
      </c>
      <c r="K332" t="str">
        <f>IFERROR(VLOOKUP(J332,Source_Assumptions!$A:$C,2,0),"Unmapped")</f>
        <v>Referral (Insurance/Banking Partner)</v>
      </c>
      <c r="L332" t="str">
        <f>Raw_Data!H332</f>
        <v>CITY PE</v>
      </c>
      <c r="M332" t="str">
        <f>IFERROR(VLOOKUP(L332,Model_Assumptions!$A:$D,2,0),"Unmapped")</f>
        <v>Mid-size Sedan</v>
      </c>
      <c r="N332" t="str">
        <f>IFERROR(VLOOKUP(L332,Model_Assumptions!$A:$D,3,0),"Unmapped")</f>
        <v>Petrol</v>
      </c>
      <c r="O332">
        <f>IFERROR(VLOOKUP(L332,Model_Assumptions!$A:$D,4,0),0)</f>
        <v>1100000</v>
      </c>
      <c r="P332">
        <f>IFERROR(VLOOKUP(J332,Source_Assumptions!$A:$C,3,0),0)</f>
        <v>150</v>
      </c>
    </row>
    <row r="333" spans="1:16" x14ac:dyDescent="0.3">
      <c r="A333">
        <f>Raw_Data!A333</f>
        <v>332</v>
      </c>
      <c r="B333" s="2">
        <f>Raw_Data!B333</f>
        <v>44796.754502314798</v>
      </c>
      <c r="C333">
        <f>YEAR(Raw_Data!B333)</f>
        <v>2022</v>
      </c>
      <c r="D333" t="str">
        <f>IF(MONTH(Raw_Data!B333)&gt;=4,YEAR(Raw_Data!B333)&amp;"-"&amp;RIGHT(YEAR(Raw_Data!B333)+1,2),YEAR(Raw_Data!B333)-1&amp;"-"&amp;RIGHT(YEAR(Raw_Data!B333),2))</f>
        <v>2022-23</v>
      </c>
      <c r="E333" t="str">
        <f>"Q"&amp;ROUNDUP(MONTH(Raw_Data!B333)/3,0)</f>
        <v>Q3</v>
      </c>
      <c r="F333" t="str">
        <f>TEXT(Raw_Data!B333,"mmm")</f>
        <v>Aug</v>
      </c>
      <c r="G333" t="str">
        <f>TEXT(Raw_Data!B333,"ddd")</f>
        <v>Tue</v>
      </c>
      <c r="H333" t="str">
        <f>Raw_Data!D333</f>
        <v>Invoiced</v>
      </c>
      <c r="I333" t="str">
        <f>Raw_Data!F333</f>
        <v>SMS/ Tele-Out</v>
      </c>
      <c r="J333" t="str">
        <f>Raw_Data!G333</f>
        <v>Database Activity(Teleout/SMS)</v>
      </c>
      <c r="K333" t="str">
        <f>IFERROR(VLOOKUP(J333,Source_Assumptions!$A:$C,2,0),"Unmapped")</f>
        <v>Outbound/Database</v>
      </c>
      <c r="L333" t="str">
        <f>Raw_Data!H333</f>
        <v>CITY PE</v>
      </c>
      <c r="M333" t="str">
        <f>IFERROR(VLOOKUP(L333,Model_Assumptions!$A:$D,2,0),"Unmapped")</f>
        <v>Mid-size Sedan</v>
      </c>
      <c r="N333" t="str">
        <f>IFERROR(VLOOKUP(L333,Model_Assumptions!$A:$D,3,0),"Unmapped")</f>
        <v>Petrol</v>
      </c>
      <c r="O333">
        <f>IFERROR(VLOOKUP(L333,Model_Assumptions!$A:$D,4,0),0)</f>
        <v>1100000</v>
      </c>
      <c r="P333">
        <f>IFERROR(VLOOKUP(J333,Source_Assumptions!$A:$C,3,0),0)</f>
        <v>250</v>
      </c>
    </row>
    <row r="334" spans="1:16" x14ac:dyDescent="0.3">
      <c r="A334">
        <f>Raw_Data!A334</f>
        <v>333</v>
      </c>
      <c r="B334" s="2">
        <f>Raw_Data!B334</f>
        <v>44797.514259259297</v>
      </c>
      <c r="C334">
        <f>YEAR(Raw_Data!B334)</f>
        <v>2022</v>
      </c>
      <c r="D334" t="str">
        <f>IF(MONTH(Raw_Data!B334)&gt;=4,YEAR(Raw_Data!B334)&amp;"-"&amp;RIGHT(YEAR(Raw_Data!B334)+1,2),YEAR(Raw_Data!B334)-1&amp;"-"&amp;RIGHT(YEAR(Raw_Data!B334),2))</f>
        <v>2022-23</v>
      </c>
      <c r="E334" t="str">
        <f>"Q"&amp;ROUNDUP(MONTH(Raw_Data!B334)/3,0)</f>
        <v>Q3</v>
      </c>
      <c r="F334" t="str">
        <f>TEXT(Raw_Data!B334,"mmm")</f>
        <v>Aug</v>
      </c>
      <c r="G334" t="str">
        <f>TEXT(Raw_Data!B334,"ddd")</f>
        <v>Wed</v>
      </c>
      <c r="H334" t="str">
        <f>Raw_Data!D334</f>
        <v>Invoiced</v>
      </c>
      <c r="I334" t="str">
        <f>Raw_Data!F334</f>
        <v>SMS/ Tele-Out</v>
      </c>
      <c r="J334" t="str">
        <f>Raw_Data!G334</f>
        <v>Database Activity(Teleout/SMS)</v>
      </c>
      <c r="K334" t="str">
        <f>IFERROR(VLOOKUP(J334,Source_Assumptions!$A:$C,2,0),"Unmapped")</f>
        <v>Outbound/Database</v>
      </c>
      <c r="L334" t="str">
        <f>Raw_Data!H334</f>
        <v>5TH GEN CITY e:HEV</v>
      </c>
      <c r="M334" t="str">
        <f>IFERROR(VLOOKUP(L334,Model_Assumptions!$A:$D,2,0),"Unmapped")</f>
        <v>Mid-size Sedan</v>
      </c>
      <c r="N334" t="str">
        <f>IFERROR(VLOOKUP(L334,Model_Assumptions!$A:$D,3,0),"Unmapped")</f>
        <v>Hybrid</v>
      </c>
      <c r="O334">
        <f>IFERROR(VLOOKUP(L334,Model_Assumptions!$A:$D,4,0),0)</f>
        <v>1950000</v>
      </c>
      <c r="P334">
        <f>IFERROR(VLOOKUP(J334,Source_Assumptions!$A:$C,3,0),0)</f>
        <v>250</v>
      </c>
    </row>
    <row r="335" spans="1:16" x14ac:dyDescent="0.3">
      <c r="A335">
        <f>Raw_Data!A335</f>
        <v>334</v>
      </c>
      <c r="B335" s="2">
        <f>Raw_Data!B335</f>
        <v>44798.419641203698</v>
      </c>
      <c r="C335">
        <f>YEAR(Raw_Data!B335)</f>
        <v>2022</v>
      </c>
      <c r="D335" t="str">
        <f>IF(MONTH(Raw_Data!B335)&gt;=4,YEAR(Raw_Data!B335)&amp;"-"&amp;RIGHT(YEAR(Raw_Data!B335)+1,2),YEAR(Raw_Data!B335)-1&amp;"-"&amp;RIGHT(YEAR(Raw_Data!B335),2))</f>
        <v>2022-23</v>
      </c>
      <c r="E335" t="str">
        <f>"Q"&amp;ROUNDUP(MONTH(Raw_Data!B335)/3,0)</f>
        <v>Q3</v>
      </c>
      <c r="F335" t="str">
        <f>TEXT(Raw_Data!B335,"mmm")</f>
        <v>Aug</v>
      </c>
      <c r="G335" t="str">
        <f>TEXT(Raw_Data!B335,"ddd")</f>
        <v>Thu</v>
      </c>
      <c r="H335" t="str">
        <f>Raw_Data!D335</f>
        <v>Invoiced</v>
      </c>
      <c r="I335" t="str">
        <f>Raw_Data!F335</f>
        <v>Tele-in</v>
      </c>
      <c r="J335" t="str">
        <f>Raw_Data!G335</f>
        <v>Referral-CAM</v>
      </c>
      <c r="K335" t="str">
        <f>IFERROR(VLOOKUP(J335,Source_Assumptions!$A:$C,2,0),"Unmapped")</f>
        <v>Referral</v>
      </c>
      <c r="L335" t="str">
        <f>Raw_Data!H335</f>
        <v>AMAZE Diesel</v>
      </c>
      <c r="M335" t="str">
        <f>IFERROR(VLOOKUP(L335,Model_Assumptions!$A:$D,2,0),"Unmapped")</f>
        <v>Sub-4m Sedan</v>
      </c>
      <c r="N335" t="str">
        <f>IFERROR(VLOOKUP(L335,Model_Assumptions!$A:$D,3,0),"Unmapped")</f>
        <v>Diesel</v>
      </c>
      <c r="O335">
        <f>IFERROR(VLOOKUP(L335,Model_Assumptions!$A:$D,4,0),0)</f>
        <v>950000</v>
      </c>
      <c r="P335">
        <f>IFERROR(VLOOKUP(J335,Source_Assumptions!$A:$C,3,0),0)</f>
        <v>150</v>
      </c>
    </row>
    <row r="336" spans="1:16" x14ac:dyDescent="0.3">
      <c r="A336">
        <f>Raw_Data!A336</f>
        <v>335</v>
      </c>
      <c r="B336" s="2">
        <f>Raw_Data!B336</f>
        <v>44800.552592592598</v>
      </c>
      <c r="C336">
        <f>YEAR(Raw_Data!B336)</f>
        <v>2022</v>
      </c>
      <c r="D336" t="str">
        <f>IF(MONTH(Raw_Data!B336)&gt;=4,YEAR(Raw_Data!B336)&amp;"-"&amp;RIGHT(YEAR(Raw_Data!B336)+1,2),YEAR(Raw_Data!B336)-1&amp;"-"&amp;RIGHT(YEAR(Raw_Data!B336),2))</f>
        <v>2022-23</v>
      </c>
      <c r="E336" t="str">
        <f>"Q"&amp;ROUNDUP(MONTH(Raw_Data!B336)/3,0)</f>
        <v>Q3</v>
      </c>
      <c r="F336" t="str">
        <f>TEXT(Raw_Data!B336,"mmm")</f>
        <v>Aug</v>
      </c>
      <c r="G336" t="str">
        <f>TEXT(Raw_Data!B336,"ddd")</f>
        <v>Sat</v>
      </c>
      <c r="H336" t="str">
        <f>Raw_Data!D336</f>
        <v>Invoiced</v>
      </c>
      <c r="I336" t="str">
        <f>Raw_Data!F336</f>
        <v>Web Lead</v>
      </c>
      <c r="J336" t="str">
        <f>Raw_Data!G336</f>
        <v>Web_CarDekho</v>
      </c>
      <c r="K336" t="str">
        <f>IFERROR(VLOOKUP(J336,Source_Assumptions!$A:$C,2,0),"Unmapped")</f>
        <v>Digital - Aggregator (Paid)</v>
      </c>
      <c r="L336" t="str">
        <f>Raw_Data!H336</f>
        <v>AMAZE Petrol</v>
      </c>
      <c r="M336" t="str">
        <f>IFERROR(VLOOKUP(L336,Model_Assumptions!$A:$D,2,0),"Unmapped")</f>
        <v>Sub-4m Sedan</v>
      </c>
      <c r="N336" t="str">
        <f>IFERROR(VLOOKUP(L336,Model_Assumptions!$A:$D,3,0),"Unmapped")</f>
        <v>Petrol</v>
      </c>
      <c r="O336">
        <f>IFERROR(VLOOKUP(L336,Model_Assumptions!$A:$D,4,0),0)</f>
        <v>850000</v>
      </c>
      <c r="P336">
        <f>IFERROR(VLOOKUP(J336,Source_Assumptions!$A:$C,3,0),0)</f>
        <v>900</v>
      </c>
    </row>
    <row r="337" spans="1:16" x14ac:dyDescent="0.3">
      <c r="A337">
        <f>Raw_Data!A337</f>
        <v>336</v>
      </c>
      <c r="B337" s="2">
        <f>Raw_Data!B337</f>
        <v>44802.535219907397</v>
      </c>
      <c r="C337">
        <f>YEAR(Raw_Data!B337)</f>
        <v>2022</v>
      </c>
      <c r="D337" t="str">
        <f>IF(MONTH(Raw_Data!B337)&gt;=4,YEAR(Raw_Data!B337)&amp;"-"&amp;RIGHT(YEAR(Raw_Data!B337)+1,2),YEAR(Raw_Data!B337)-1&amp;"-"&amp;RIGHT(YEAR(Raw_Data!B337),2))</f>
        <v>2022-23</v>
      </c>
      <c r="E337" t="str">
        <f>"Q"&amp;ROUNDUP(MONTH(Raw_Data!B337)/3,0)</f>
        <v>Q3</v>
      </c>
      <c r="F337" t="str">
        <f>TEXT(Raw_Data!B337,"mmm")</f>
        <v>Aug</v>
      </c>
      <c r="G337" t="str">
        <f>TEXT(Raw_Data!B337,"ddd")</f>
        <v>Mon</v>
      </c>
      <c r="H337" t="str">
        <f>Raw_Data!D337</f>
        <v>Invoiced</v>
      </c>
      <c r="I337" t="str">
        <f>Raw_Data!F337</f>
        <v>SMS/ Tele-Out</v>
      </c>
      <c r="J337" t="str">
        <f>Raw_Data!G337</f>
        <v>Database Activity(Teleout/SMS)</v>
      </c>
      <c r="K337" t="str">
        <f>IFERROR(VLOOKUP(J337,Source_Assumptions!$A:$C,2,0),"Unmapped")</f>
        <v>Outbound/Database</v>
      </c>
      <c r="L337" t="str">
        <f>Raw_Data!H337</f>
        <v>5TH GEN CITY PE</v>
      </c>
      <c r="M337" t="str">
        <f>IFERROR(VLOOKUP(L337,Model_Assumptions!$A:$D,2,0),"Unmapped")</f>
        <v>Mid-size Sedan</v>
      </c>
      <c r="N337" t="str">
        <f>IFERROR(VLOOKUP(L337,Model_Assumptions!$A:$D,3,0),"Unmapped")</f>
        <v>Petrol</v>
      </c>
      <c r="O337">
        <f>IFERROR(VLOOKUP(L337,Model_Assumptions!$A:$D,4,0),0)</f>
        <v>1250000</v>
      </c>
      <c r="P337">
        <f>IFERROR(VLOOKUP(J337,Source_Assumptions!$A:$C,3,0),0)</f>
        <v>250</v>
      </c>
    </row>
    <row r="338" spans="1:16" x14ac:dyDescent="0.3">
      <c r="A338">
        <f>Raw_Data!A338</f>
        <v>337</v>
      </c>
      <c r="B338" s="2">
        <f>Raw_Data!B338</f>
        <v>44802.684293981503</v>
      </c>
      <c r="C338">
        <f>YEAR(Raw_Data!B338)</f>
        <v>2022</v>
      </c>
      <c r="D338" t="str">
        <f>IF(MONTH(Raw_Data!B338)&gt;=4,YEAR(Raw_Data!B338)&amp;"-"&amp;RIGHT(YEAR(Raw_Data!B338)+1,2),YEAR(Raw_Data!B338)-1&amp;"-"&amp;RIGHT(YEAR(Raw_Data!B338),2))</f>
        <v>2022-23</v>
      </c>
      <c r="E338" t="str">
        <f>"Q"&amp;ROUNDUP(MONTH(Raw_Data!B338)/3,0)</f>
        <v>Q3</v>
      </c>
      <c r="F338" t="str">
        <f>TEXT(Raw_Data!B338,"mmm")</f>
        <v>Aug</v>
      </c>
      <c r="G338" t="str">
        <f>TEXT(Raw_Data!B338,"ddd")</f>
        <v>Mon</v>
      </c>
      <c r="H338" t="str">
        <f>Raw_Data!D338</f>
        <v>Invoiced</v>
      </c>
      <c r="I338" t="str">
        <f>Raw_Data!F338</f>
        <v>Tele-in</v>
      </c>
      <c r="J338" t="str">
        <f>Raw_Data!G338</f>
        <v>Dealer Webpage Tele-In</v>
      </c>
      <c r="K338" t="str">
        <f>IFERROR(VLOOKUP(J338,Source_Assumptions!$A:$C,2,0),"Unmapped")</f>
        <v>Digital - Owned</v>
      </c>
      <c r="L338" t="str">
        <f>Raw_Data!H338</f>
        <v>5TH GEN CITY PE</v>
      </c>
      <c r="M338" t="str">
        <f>IFERROR(VLOOKUP(L338,Model_Assumptions!$A:$D,2,0),"Unmapped")</f>
        <v>Mid-size Sedan</v>
      </c>
      <c r="N338" t="str">
        <f>IFERROR(VLOOKUP(L338,Model_Assumptions!$A:$D,3,0),"Unmapped")</f>
        <v>Petrol</v>
      </c>
      <c r="O338">
        <f>IFERROR(VLOOKUP(L338,Model_Assumptions!$A:$D,4,0),0)</f>
        <v>1250000</v>
      </c>
      <c r="P338">
        <f>IFERROR(VLOOKUP(J338,Source_Assumptions!$A:$C,3,0),0)</f>
        <v>300</v>
      </c>
    </row>
    <row r="339" spans="1:16" x14ac:dyDescent="0.3">
      <c r="A339">
        <f>Raw_Data!A339</f>
        <v>338</v>
      </c>
      <c r="B339" s="2">
        <f>Raw_Data!B339</f>
        <v>44802.755416666703</v>
      </c>
      <c r="C339">
        <f>YEAR(Raw_Data!B339)</f>
        <v>2022</v>
      </c>
      <c r="D339" t="str">
        <f>IF(MONTH(Raw_Data!B339)&gt;=4,YEAR(Raw_Data!B339)&amp;"-"&amp;RIGHT(YEAR(Raw_Data!B339)+1,2),YEAR(Raw_Data!B339)-1&amp;"-"&amp;RIGHT(YEAR(Raw_Data!B339),2))</f>
        <v>2022-23</v>
      </c>
      <c r="E339" t="str">
        <f>"Q"&amp;ROUNDUP(MONTH(Raw_Data!B339)/3,0)</f>
        <v>Q3</v>
      </c>
      <c r="F339" t="str">
        <f>TEXT(Raw_Data!B339,"mmm")</f>
        <v>Aug</v>
      </c>
      <c r="G339" t="str">
        <f>TEXT(Raw_Data!B339,"ddd")</f>
        <v>Mon</v>
      </c>
      <c r="H339" t="str">
        <f>Raw_Data!D339</f>
        <v>Invoiced</v>
      </c>
      <c r="I339" t="str">
        <f>Raw_Data!F339</f>
        <v>Web Lead</v>
      </c>
      <c r="J339" t="str">
        <f>Raw_Data!G339</f>
        <v>Web</v>
      </c>
      <c r="K339" t="str">
        <f>IFERROR(VLOOKUP(J339,Source_Assumptions!$A:$C,2,0),"Unmapped")</f>
        <v>Digital - Owned</v>
      </c>
      <c r="L339" t="str">
        <f>Raw_Data!H339</f>
        <v>AMAZE Petrol</v>
      </c>
      <c r="M339" t="str">
        <f>IFERROR(VLOOKUP(L339,Model_Assumptions!$A:$D,2,0),"Unmapped")</f>
        <v>Sub-4m Sedan</v>
      </c>
      <c r="N339" t="str">
        <f>IFERROR(VLOOKUP(L339,Model_Assumptions!$A:$D,3,0),"Unmapped")</f>
        <v>Petrol</v>
      </c>
      <c r="O339">
        <f>IFERROR(VLOOKUP(L339,Model_Assumptions!$A:$D,4,0),0)</f>
        <v>850000</v>
      </c>
      <c r="P339">
        <f>IFERROR(VLOOKUP(J339,Source_Assumptions!$A:$C,3,0),0)</f>
        <v>300</v>
      </c>
    </row>
    <row r="340" spans="1:16" x14ac:dyDescent="0.3">
      <c r="A340">
        <f>Raw_Data!A340</f>
        <v>339</v>
      </c>
      <c r="B340" s="2">
        <f>Raw_Data!B340</f>
        <v>44802.756724537001</v>
      </c>
      <c r="C340">
        <f>YEAR(Raw_Data!B340)</f>
        <v>2022</v>
      </c>
      <c r="D340" t="str">
        <f>IF(MONTH(Raw_Data!B340)&gt;=4,YEAR(Raw_Data!B340)&amp;"-"&amp;RIGHT(YEAR(Raw_Data!B340)+1,2),YEAR(Raw_Data!B340)-1&amp;"-"&amp;RIGHT(YEAR(Raw_Data!B340),2))</f>
        <v>2022-23</v>
      </c>
      <c r="E340" t="str">
        <f>"Q"&amp;ROUNDUP(MONTH(Raw_Data!B340)/3,0)</f>
        <v>Q3</v>
      </c>
      <c r="F340" t="str">
        <f>TEXT(Raw_Data!B340,"mmm")</f>
        <v>Aug</v>
      </c>
      <c r="G340" t="str">
        <f>TEXT(Raw_Data!B340,"ddd")</f>
        <v>Mon</v>
      </c>
      <c r="H340" t="str">
        <f>Raw_Data!D340</f>
        <v>Invoiced</v>
      </c>
      <c r="I340" t="str">
        <f>Raw_Data!F340</f>
        <v>Web Lead</v>
      </c>
      <c r="J340" t="str">
        <f>Raw_Data!G340</f>
        <v>Web_Carwale</v>
      </c>
      <c r="K340" t="str">
        <f>IFERROR(VLOOKUP(J340,Source_Assumptions!$A:$C,2,0),"Unmapped")</f>
        <v>Digital - Aggregator (Paid)</v>
      </c>
      <c r="L340" t="str">
        <f>Raw_Data!H340</f>
        <v>AMAZE Petrol</v>
      </c>
      <c r="M340" t="str">
        <f>IFERROR(VLOOKUP(L340,Model_Assumptions!$A:$D,2,0),"Unmapped")</f>
        <v>Sub-4m Sedan</v>
      </c>
      <c r="N340" t="str">
        <f>IFERROR(VLOOKUP(L340,Model_Assumptions!$A:$D,3,0),"Unmapped")</f>
        <v>Petrol</v>
      </c>
      <c r="O340">
        <f>IFERROR(VLOOKUP(L340,Model_Assumptions!$A:$D,4,0),0)</f>
        <v>850000</v>
      </c>
      <c r="P340">
        <f>IFERROR(VLOOKUP(J340,Source_Assumptions!$A:$C,3,0),0)</f>
        <v>900</v>
      </c>
    </row>
    <row r="341" spans="1:16" x14ac:dyDescent="0.3">
      <c r="A341">
        <f>Raw_Data!A341</f>
        <v>340</v>
      </c>
      <c r="B341" s="2">
        <f>Raw_Data!B341</f>
        <v>44802.758726851898</v>
      </c>
      <c r="C341">
        <f>YEAR(Raw_Data!B341)</f>
        <v>2022</v>
      </c>
      <c r="D341" t="str">
        <f>IF(MONTH(Raw_Data!B341)&gt;=4,YEAR(Raw_Data!B341)&amp;"-"&amp;RIGHT(YEAR(Raw_Data!B341)+1,2),YEAR(Raw_Data!B341)-1&amp;"-"&amp;RIGHT(YEAR(Raw_Data!B341),2))</f>
        <v>2022-23</v>
      </c>
      <c r="E341" t="str">
        <f>"Q"&amp;ROUNDUP(MONTH(Raw_Data!B341)/3,0)</f>
        <v>Q3</v>
      </c>
      <c r="F341" t="str">
        <f>TEXT(Raw_Data!B341,"mmm")</f>
        <v>Aug</v>
      </c>
      <c r="G341" t="str">
        <f>TEXT(Raw_Data!B341,"ddd")</f>
        <v>Mon</v>
      </c>
      <c r="H341" t="str">
        <f>Raw_Data!D341</f>
        <v>Invoiced</v>
      </c>
      <c r="I341" t="str">
        <f>Raw_Data!F341</f>
        <v>SMS/ Tele-Out</v>
      </c>
      <c r="J341" t="str">
        <f>Raw_Data!G341</f>
        <v>I-BAP Referral</v>
      </c>
      <c r="K341" t="str">
        <f>IFERROR(VLOOKUP(J341,Source_Assumptions!$A:$C,2,0),"Unmapped")</f>
        <v>Referral (Insurance/Banking Partner)</v>
      </c>
      <c r="L341" t="str">
        <f>Raw_Data!H341</f>
        <v>5TH GEN CITY PE</v>
      </c>
      <c r="M341" t="str">
        <f>IFERROR(VLOOKUP(L341,Model_Assumptions!$A:$D,2,0),"Unmapped")</f>
        <v>Mid-size Sedan</v>
      </c>
      <c r="N341" t="str">
        <f>IFERROR(VLOOKUP(L341,Model_Assumptions!$A:$D,3,0),"Unmapped")</f>
        <v>Petrol</v>
      </c>
      <c r="O341">
        <f>IFERROR(VLOOKUP(L341,Model_Assumptions!$A:$D,4,0),0)</f>
        <v>1250000</v>
      </c>
      <c r="P341">
        <f>IFERROR(VLOOKUP(J341,Source_Assumptions!$A:$C,3,0),0)</f>
        <v>150</v>
      </c>
    </row>
    <row r="342" spans="1:16" x14ac:dyDescent="0.3">
      <c r="A342">
        <f>Raw_Data!A342</f>
        <v>341</v>
      </c>
      <c r="B342" s="2">
        <f>Raw_Data!B342</f>
        <v>44803.5690509259</v>
      </c>
      <c r="C342">
        <f>YEAR(Raw_Data!B342)</f>
        <v>2022</v>
      </c>
      <c r="D342" t="str">
        <f>IF(MONTH(Raw_Data!B342)&gt;=4,YEAR(Raw_Data!B342)&amp;"-"&amp;RIGHT(YEAR(Raw_Data!B342)+1,2),YEAR(Raw_Data!B342)-1&amp;"-"&amp;RIGHT(YEAR(Raw_Data!B342),2))</f>
        <v>2022-23</v>
      </c>
      <c r="E342" t="str">
        <f>"Q"&amp;ROUNDUP(MONTH(Raw_Data!B342)/3,0)</f>
        <v>Q3</v>
      </c>
      <c r="F342" t="str">
        <f>TEXT(Raw_Data!B342,"mmm")</f>
        <v>Aug</v>
      </c>
      <c r="G342" t="str">
        <f>TEXT(Raw_Data!B342,"ddd")</f>
        <v>Tue</v>
      </c>
      <c r="H342" t="str">
        <f>Raw_Data!D342</f>
        <v>Invoiced</v>
      </c>
      <c r="I342" t="str">
        <f>Raw_Data!F342</f>
        <v>Tele-in</v>
      </c>
      <c r="J342" t="str">
        <f>Raw_Data!G342</f>
        <v>Referral-CAM</v>
      </c>
      <c r="K342" t="str">
        <f>IFERROR(VLOOKUP(J342,Source_Assumptions!$A:$C,2,0),"Unmapped")</f>
        <v>Referral</v>
      </c>
      <c r="L342" t="str">
        <f>Raw_Data!H342</f>
        <v>AMAZE Diesel</v>
      </c>
      <c r="M342" t="str">
        <f>IFERROR(VLOOKUP(L342,Model_Assumptions!$A:$D,2,0),"Unmapped")</f>
        <v>Sub-4m Sedan</v>
      </c>
      <c r="N342" t="str">
        <f>IFERROR(VLOOKUP(L342,Model_Assumptions!$A:$D,3,0),"Unmapped")</f>
        <v>Diesel</v>
      </c>
      <c r="O342">
        <f>IFERROR(VLOOKUP(L342,Model_Assumptions!$A:$D,4,0),0)</f>
        <v>950000</v>
      </c>
      <c r="P342">
        <f>IFERROR(VLOOKUP(J342,Source_Assumptions!$A:$C,3,0),0)</f>
        <v>150</v>
      </c>
    </row>
    <row r="343" spans="1:16" x14ac:dyDescent="0.3">
      <c r="A343">
        <f>Raw_Data!A343</f>
        <v>342</v>
      </c>
      <c r="B343" s="2">
        <f>Raw_Data!B343</f>
        <v>44803.701932870397</v>
      </c>
      <c r="C343">
        <f>YEAR(Raw_Data!B343)</f>
        <v>2022</v>
      </c>
      <c r="D343" t="str">
        <f>IF(MONTH(Raw_Data!B343)&gt;=4,YEAR(Raw_Data!B343)&amp;"-"&amp;RIGHT(YEAR(Raw_Data!B343)+1,2),YEAR(Raw_Data!B343)-1&amp;"-"&amp;RIGHT(YEAR(Raw_Data!B343),2))</f>
        <v>2022-23</v>
      </c>
      <c r="E343" t="str">
        <f>"Q"&amp;ROUNDUP(MONTH(Raw_Data!B343)/3,0)</f>
        <v>Q3</v>
      </c>
      <c r="F343" t="str">
        <f>TEXT(Raw_Data!B343,"mmm")</f>
        <v>Aug</v>
      </c>
      <c r="G343" t="str">
        <f>TEXT(Raw_Data!B343,"ddd")</f>
        <v>Tue</v>
      </c>
      <c r="H343" t="str">
        <f>Raw_Data!D343</f>
        <v>Invoiced</v>
      </c>
      <c r="I343" t="str">
        <f>Raw_Data!F343</f>
        <v>SMS/ Tele-Out</v>
      </c>
      <c r="J343" t="str">
        <f>Raw_Data!G343</f>
        <v>Database Activity(Teleout/SMS)</v>
      </c>
      <c r="K343" t="str">
        <f>IFERROR(VLOOKUP(J343,Source_Assumptions!$A:$C,2,0),"Unmapped")</f>
        <v>Outbound/Database</v>
      </c>
      <c r="L343" t="str">
        <f>Raw_Data!H343</f>
        <v>AMAZE Petrol</v>
      </c>
      <c r="M343" t="str">
        <f>IFERROR(VLOOKUP(L343,Model_Assumptions!$A:$D,2,0),"Unmapped")</f>
        <v>Sub-4m Sedan</v>
      </c>
      <c r="N343" t="str">
        <f>IFERROR(VLOOKUP(L343,Model_Assumptions!$A:$D,3,0),"Unmapped")</f>
        <v>Petrol</v>
      </c>
      <c r="O343">
        <f>IFERROR(VLOOKUP(L343,Model_Assumptions!$A:$D,4,0),0)</f>
        <v>850000</v>
      </c>
      <c r="P343">
        <f>IFERROR(VLOOKUP(J343,Source_Assumptions!$A:$C,3,0),0)</f>
        <v>250</v>
      </c>
    </row>
    <row r="344" spans="1:16" x14ac:dyDescent="0.3">
      <c r="A344">
        <f>Raw_Data!A344</f>
        <v>343</v>
      </c>
      <c r="B344" s="2">
        <f>Raw_Data!B344</f>
        <v>44803.715590277803</v>
      </c>
      <c r="C344">
        <f>YEAR(Raw_Data!B344)</f>
        <v>2022</v>
      </c>
      <c r="D344" t="str">
        <f>IF(MONTH(Raw_Data!B344)&gt;=4,YEAR(Raw_Data!B344)&amp;"-"&amp;RIGHT(YEAR(Raw_Data!B344)+1,2),YEAR(Raw_Data!B344)-1&amp;"-"&amp;RIGHT(YEAR(Raw_Data!B344),2))</f>
        <v>2022-23</v>
      </c>
      <c r="E344" t="str">
        <f>"Q"&amp;ROUNDUP(MONTH(Raw_Data!B344)/3,0)</f>
        <v>Q3</v>
      </c>
      <c r="F344" t="str">
        <f>TEXT(Raw_Data!B344,"mmm")</f>
        <v>Aug</v>
      </c>
      <c r="G344" t="str">
        <f>TEXT(Raw_Data!B344,"ddd")</f>
        <v>Tue</v>
      </c>
      <c r="H344" t="str">
        <f>Raw_Data!D344</f>
        <v>Invoiced</v>
      </c>
      <c r="I344" t="str">
        <f>Raw_Data!F344</f>
        <v>Tele-in</v>
      </c>
      <c r="J344" t="str">
        <f>Raw_Data!G344</f>
        <v>Referral-CAM</v>
      </c>
      <c r="K344" t="str">
        <f>IFERROR(VLOOKUP(J344,Source_Assumptions!$A:$C,2,0),"Unmapped")</f>
        <v>Referral</v>
      </c>
      <c r="L344" t="str">
        <f>Raw_Data!H344</f>
        <v>AMAZE Petrol</v>
      </c>
      <c r="M344" t="str">
        <f>IFERROR(VLOOKUP(L344,Model_Assumptions!$A:$D,2,0),"Unmapped")</f>
        <v>Sub-4m Sedan</v>
      </c>
      <c r="N344" t="str">
        <f>IFERROR(VLOOKUP(L344,Model_Assumptions!$A:$D,3,0),"Unmapped")</f>
        <v>Petrol</v>
      </c>
      <c r="O344">
        <f>IFERROR(VLOOKUP(L344,Model_Assumptions!$A:$D,4,0),0)</f>
        <v>850000</v>
      </c>
      <c r="P344">
        <f>IFERROR(VLOOKUP(J344,Source_Assumptions!$A:$C,3,0),0)</f>
        <v>150</v>
      </c>
    </row>
    <row r="345" spans="1:16" x14ac:dyDescent="0.3">
      <c r="A345">
        <f>Raw_Data!A345</f>
        <v>344</v>
      </c>
      <c r="B345" s="2">
        <f>Raw_Data!B345</f>
        <v>44803.767962963</v>
      </c>
      <c r="C345">
        <f>YEAR(Raw_Data!B345)</f>
        <v>2022</v>
      </c>
      <c r="D345" t="str">
        <f>IF(MONTH(Raw_Data!B345)&gt;=4,YEAR(Raw_Data!B345)&amp;"-"&amp;RIGHT(YEAR(Raw_Data!B345)+1,2),YEAR(Raw_Data!B345)-1&amp;"-"&amp;RIGHT(YEAR(Raw_Data!B345),2))</f>
        <v>2022-23</v>
      </c>
      <c r="E345" t="str">
        <f>"Q"&amp;ROUNDUP(MONTH(Raw_Data!B345)/3,0)</f>
        <v>Q3</v>
      </c>
      <c r="F345" t="str">
        <f>TEXT(Raw_Data!B345,"mmm")</f>
        <v>Aug</v>
      </c>
      <c r="G345" t="str">
        <f>TEXT(Raw_Data!B345,"ddd")</f>
        <v>Tue</v>
      </c>
      <c r="H345" t="str">
        <f>Raw_Data!D345</f>
        <v>Invoiced</v>
      </c>
      <c r="I345" t="str">
        <f>Raw_Data!F345</f>
        <v>Walk-in Showroom</v>
      </c>
      <c r="J345" t="str">
        <f>Raw_Data!G345</f>
        <v>Adver. (TVC/Print/Hoarding/FM)</v>
      </c>
      <c r="K345" t="str">
        <f>IFERROR(VLOOKUP(J345,Source_Assumptions!$A:$C,2,0),"Unmapped")</f>
        <v>Traditional Advertising</v>
      </c>
      <c r="L345" t="str">
        <f>Raw_Data!H345</f>
        <v>AMAZE Petrol</v>
      </c>
      <c r="M345" t="str">
        <f>IFERROR(VLOOKUP(L345,Model_Assumptions!$A:$D,2,0),"Unmapped")</f>
        <v>Sub-4m Sedan</v>
      </c>
      <c r="N345" t="str">
        <f>IFERROR(VLOOKUP(L345,Model_Assumptions!$A:$D,3,0),"Unmapped")</f>
        <v>Petrol</v>
      </c>
      <c r="O345">
        <f>IFERROR(VLOOKUP(L345,Model_Assumptions!$A:$D,4,0),0)</f>
        <v>850000</v>
      </c>
      <c r="P345">
        <f>IFERROR(VLOOKUP(J345,Source_Assumptions!$A:$C,3,0),0)</f>
        <v>1200</v>
      </c>
    </row>
    <row r="346" spans="1:16" x14ac:dyDescent="0.3">
      <c r="A346">
        <f>Raw_Data!A346</f>
        <v>345</v>
      </c>
      <c r="B346" s="2">
        <f>Raw_Data!B346</f>
        <v>44804.526932870402</v>
      </c>
      <c r="C346">
        <f>YEAR(Raw_Data!B346)</f>
        <v>2022</v>
      </c>
      <c r="D346" t="str">
        <f>IF(MONTH(Raw_Data!B346)&gt;=4,YEAR(Raw_Data!B346)&amp;"-"&amp;RIGHT(YEAR(Raw_Data!B346)+1,2),YEAR(Raw_Data!B346)-1&amp;"-"&amp;RIGHT(YEAR(Raw_Data!B346),2))</f>
        <v>2022-23</v>
      </c>
      <c r="E346" t="str">
        <f>"Q"&amp;ROUNDUP(MONTH(Raw_Data!B346)/3,0)</f>
        <v>Q3</v>
      </c>
      <c r="F346" t="str">
        <f>TEXT(Raw_Data!B346,"mmm")</f>
        <v>Aug</v>
      </c>
      <c r="G346" t="str">
        <f>TEXT(Raw_Data!B346,"ddd")</f>
        <v>Wed</v>
      </c>
      <c r="H346" t="str">
        <f>Raw_Data!D346</f>
        <v>Invoiced</v>
      </c>
      <c r="I346" t="str">
        <f>Raw_Data!F346</f>
        <v>Tele-in</v>
      </c>
      <c r="J346" t="str">
        <f>Raw_Data!G346</f>
        <v>Referral-CAM</v>
      </c>
      <c r="K346" t="str">
        <f>IFERROR(VLOOKUP(J346,Source_Assumptions!$A:$C,2,0),"Unmapped")</f>
        <v>Referral</v>
      </c>
      <c r="L346" t="str">
        <f>Raw_Data!H346</f>
        <v>AMAZE Petrol</v>
      </c>
      <c r="M346" t="str">
        <f>IFERROR(VLOOKUP(L346,Model_Assumptions!$A:$D,2,0),"Unmapped")</f>
        <v>Sub-4m Sedan</v>
      </c>
      <c r="N346" t="str">
        <f>IFERROR(VLOOKUP(L346,Model_Assumptions!$A:$D,3,0),"Unmapped")</f>
        <v>Petrol</v>
      </c>
      <c r="O346">
        <f>IFERROR(VLOOKUP(L346,Model_Assumptions!$A:$D,4,0),0)</f>
        <v>850000</v>
      </c>
      <c r="P346">
        <f>IFERROR(VLOOKUP(J346,Source_Assumptions!$A:$C,3,0),0)</f>
        <v>150</v>
      </c>
    </row>
    <row r="347" spans="1:16" x14ac:dyDescent="0.3">
      <c r="A347">
        <f>Raw_Data!A347</f>
        <v>346</v>
      </c>
      <c r="B347" s="2">
        <f>Raw_Data!B347</f>
        <v>44804.584918981498</v>
      </c>
      <c r="C347">
        <f>YEAR(Raw_Data!B347)</f>
        <v>2022</v>
      </c>
      <c r="D347" t="str">
        <f>IF(MONTH(Raw_Data!B347)&gt;=4,YEAR(Raw_Data!B347)&amp;"-"&amp;RIGHT(YEAR(Raw_Data!B347)+1,2),YEAR(Raw_Data!B347)-1&amp;"-"&amp;RIGHT(YEAR(Raw_Data!B347),2))</f>
        <v>2022-23</v>
      </c>
      <c r="E347" t="str">
        <f>"Q"&amp;ROUNDUP(MONTH(Raw_Data!B347)/3,0)</f>
        <v>Q3</v>
      </c>
      <c r="F347" t="str">
        <f>TEXT(Raw_Data!B347,"mmm")</f>
        <v>Aug</v>
      </c>
      <c r="G347" t="str">
        <f>TEXT(Raw_Data!B347,"ddd")</f>
        <v>Wed</v>
      </c>
      <c r="H347" t="str">
        <f>Raw_Data!D347</f>
        <v>Invoiced</v>
      </c>
      <c r="I347" t="str">
        <f>Raw_Data!F347</f>
        <v>SMS/ Tele-Out</v>
      </c>
      <c r="J347" t="str">
        <f>Raw_Data!G347</f>
        <v>Database Activity(Teleout/SMS)</v>
      </c>
      <c r="K347" t="str">
        <f>IFERROR(VLOOKUP(J347,Source_Assumptions!$A:$C,2,0),"Unmapped")</f>
        <v>Outbound/Database</v>
      </c>
      <c r="L347" t="str">
        <f>Raw_Data!H347</f>
        <v>AMAZE Petrol</v>
      </c>
      <c r="M347" t="str">
        <f>IFERROR(VLOOKUP(L347,Model_Assumptions!$A:$D,2,0),"Unmapped")</f>
        <v>Sub-4m Sedan</v>
      </c>
      <c r="N347" t="str">
        <f>IFERROR(VLOOKUP(L347,Model_Assumptions!$A:$D,3,0),"Unmapped")</f>
        <v>Petrol</v>
      </c>
      <c r="O347">
        <f>IFERROR(VLOOKUP(L347,Model_Assumptions!$A:$D,4,0),0)</f>
        <v>850000</v>
      </c>
      <c r="P347">
        <f>IFERROR(VLOOKUP(J347,Source_Assumptions!$A:$C,3,0),0)</f>
        <v>250</v>
      </c>
    </row>
    <row r="348" spans="1:16" x14ac:dyDescent="0.3">
      <c r="A348">
        <f>Raw_Data!A348</f>
        <v>347</v>
      </c>
      <c r="B348" s="2">
        <f>Raw_Data!B348</f>
        <v>44804.586724537003</v>
      </c>
      <c r="C348">
        <f>YEAR(Raw_Data!B348)</f>
        <v>2022</v>
      </c>
      <c r="D348" t="str">
        <f>IF(MONTH(Raw_Data!B348)&gt;=4,YEAR(Raw_Data!B348)&amp;"-"&amp;RIGHT(YEAR(Raw_Data!B348)+1,2),YEAR(Raw_Data!B348)-1&amp;"-"&amp;RIGHT(YEAR(Raw_Data!B348),2))</f>
        <v>2022-23</v>
      </c>
      <c r="E348" t="str">
        <f>"Q"&amp;ROUNDUP(MONTH(Raw_Data!B348)/3,0)</f>
        <v>Q3</v>
      </c>
      <c r="F348" t="str">
        <f>TEXT(Raw_Data!B348,"mmm")</f>
        <v>Aug</v>
      </c>
      <c r="G348" t="str">
        <f>TEXT(Raw_Data!B348,"ddd")</f>
        <v>Wed</v>
      </c>
      <c r="H348" t="str">
        <f>Raw_Data!D348</f>
        <v>Invoiced</v>
      </c>
      <c r="I348" t="str">
        <f>Raw_Data!F348</f>
        <v>SMS/ Tele-Out</v>
      </c>
      <c r="J348" t="str">
        <f>Raw_Data!G348</f>
        <v>I-BAP Referral</v>
      </c>
      <c r="K348" t="str">
        <f>IFERROR(VLOOKUP(J348,Source_Assumptions!$A:$C,2,0),"Unmapped")</f>
        <v>Referral (Insurance/Banking Partner)</v>
      </c>
      <c r="L348" t="str">
        <f>Raw_Data!H348</f>
        <v>5TH GEN CITY PE</v>
      </c>
      <c r="M348" t="str">
        <f>IFERROR(VLOOKUP(L348,Model_Assumptions!$A:$D,2,0),"Unmapped")</f>
        <v>Mid-size Sedan</v>
      </c>
      <c r="N348" t="str">
        <f>IFERROR(VLOOKUP(L348,Model_Assumptions!$A:$D,3,0),"Unmapped")</f>
        <v>Petrol</v>
      </c>
      <c r="O348">
        <f>IFERROR(VLOOKUP(L348,Model_Assumptions!$A:$D,4,0),0)</f>
        <v>1250000</v>
      </c>
      <c r="P348">
        <f>IFERROR(VLOOKUP(J348,Source_Assumptions!$A:$C,3,0),0)</f>
        <v>150</v>
      </c>
    </row>
    <row r="349" spans="1:16" x14ac:dyDescent="0.3">
      <c r="A349">
        <f>Raw_Data!A349</f>
        <v>348</v>
      </c>
      <c r="B349" s="2">
        <f>Raw_Data!B349</f>
        <v>44804.5878240741</v>
      </c>
      <c r="C349">
        <f>YEAR(Raw_Data!B349)</f>
        <v>2022</v>
      </c>
      <c r="D349" t="str">
        <f>IF(MONTH(Raw_Data!B349)&gt;=4,YEAR(Raw_Data!B349)&amp;"-"&amp;RIGHT(YEAR(Raw_Data!B349)+1,2),YEAR(Raw_Data!B349)-1&amp;"-"&amp;RIGHT(YEAR(Raw_Data!B349),2))</f>
        <v>2022-23</v>
      </c>
      <c r="E349" t="str">
        <f>"Q"&amp;ROUNDUP(MONTH(Raw_Data!B349)/3,0)</f>
        <v>Q3</v>
      </c>
      <c r="F349" t="str">
        <f>TEXT(Raw_Data!B349,"mmm")</f>
        <v>Aug</v>
      </c>
      <c r="G349" t="str">
        <f>TEXT(Raw_Data!B349,"ddd")</f>
        <v>Wed</v>
      </c>
      <c r="H349" t="str">
        <f>Raw_Data!D349</f>
        <v>Invoiced</v>
      </c>
      <c r="I349" t="str">
        <f>Raw_Data!F349</f>
        <v>Tele-in</v>
      </c>
      <c r="J349" t="str">
        <f>Raw_Data!G349</f>
        <v>Referral-CAM</v>
      </c>
      <c r="K349" t="str">
        <f>IFERROR(VLOOKUP(J349,Source_Assumptions!$A:$C,2,0),"Unmapped")</f>
        <v>Referral</v>
      </c>
      <c r="L349" t="str">
        <f>Raw_Data!H349</f>
        <v>AMAZE Petrol</v>
      </c>
      <c r="M349" t="str">
        <f>IFERROR(VLOOKUP(L349,Model_Assumptions!$A:$D,2,0),"Unmapped")</f>
        <v>Sub-4m Sedan</v>
      </c>
      <c r="N349" t="str">
        <f>IFERROR(VLOOKUP(L349,Model_Assumptions!$A:$D,3,0),"Unmapped")</f>
        <v>Petrol</v>
      </c>
      <c r="O349">
        <f>IFERROR(VLOOKUP(L349,Model_Assumptions!$A:$D,4,0),0)</f>
        <v>850000</v>
      </c>
      <c r="P349">
        <f>IFERROR(VLOOKUP(J349,Source_Assumptions!$A:$C,3,0),0)</f>
        <v>150</v>
      </c>
    </row>
    <row r="350" spans="1:16" x14ac:dyDescent="0.3">
      <c r="A350">
        <f>Raw_Data!A350</f>
        <v>349</v>
      </c>
      <c r="B350" s="2">
        <f>Raw_Data!B350</f>
        <v>44804.612372685202</v>
      </c>
      <c r="C350">
        <f>YEAR(Raw_Data!B350)</f>
        <v>2022</v>
      </c>
      <c r="D350" t="str">
        <f>IF(MONTH(Raw_Data!B350)&gt;=4,YEAR(Raw_Data!B350)&amp;"-"&amp;RIGHT(YEAR(Raw_Data!B350)+1,2),YEAR(Raw_Data!B350)-1&amp;"-"&amp;RIGHT(YEAR(Raw_Data!B350),2))</f>
        <v>2022-23</v>
      </c>
      <c r="E350" t="str">
        <f>"Q"&amp;ROUNDUP(MONTH(Raw_Data!B350)/3,0)</f>
        <v>Q3</v>
      </c>
      <c r="F350" t="str">
        <f>TEXT(Raw_Data!B350,"mmm")</f>
        <v>Aug</v>
      </c>
      <c r="G350" t="str">
        <f>TEXT(Raw_Data!B350,"ddd")</f>
        <v>Wed</v>
      </c>
      <c r="H350" t="str">
        <f>Raw_Data!D350</f>
        <v>Invoiced</v>
      </c>
      <c r="I350" t="str">
        <f>Raw_Data!F350</f>
        <v>Tele-in</v>
      </c>
      <c r="J350" t="str">
        <f>Raw_Data!G350</f>
        <v>Dealer Webpage Tele-In</v>
      </c>
      <c r="K350" t="str">
        <f>IFERROR(VLOOKUP(J350,Source_Assumptions!$A:$C,2,0),"Unmapped")</f>
        <v>Digital - Owned</v>
      </c>
      <c r="L350" t="str">
        <f>Raw_Data!H350</f>
        <v>5TH GEN CITY DE</v>
      </c>
      <c r="M350" t="str">
        <f>IFERROR(VLOOKUP(L350,Model_Assumptions!$A:$D,2,0),"Unmapped")</f>
        <v>Mid-size Sedan</v>
      </c>
      <c r="N350" t="str">
        <f>IFERROR(VLOOKUP(L350,Model_Assumptions!$A:$D,3,0),"Unmapped")</f>
        <v>Diesel</v>
      </c>
      <c r="O350">
        <f>IFERROR(VLOOKUP(L350,Model_Assumptions!$A:$D,4,0),0)</f>
        <v>1350000</v>
      </c>
      <c r="P350">
        <f>IFERROR(VLOOKUP(J350,Source_Assumptions!$A:$C,3,0),0)</f>
        <v>300</v>
      </c>
    </row>
    <row r="351" spans="1:16" x14ac:dyDescent="0.3">
      <c r="A351">
        <f>Raw_Data!A351</f>
        <v>350</v>
      </c>
      <c r="B351" s="2">
        <f>Raw_Data!B351</f>
        <v>44804.772835648197</v>
      </c>
      <c r="C351">
        <f>YEAR(Raw_Data!B351)</f>
        <v>2022</v>
      </c>
      <c r="D351" t="str">
        <f>IF(MONTH(Raw_Data!B351)&gt;=4,YEAR(Raw_Data!B351)&amp;"-"&amp;RIGHT(YEAR(Raw_Data!B351)+1,2),YEAR(Raw_Data!B351)-1&amp;"-"&amp;RIGHT(YEAR(Raw_Data!B351),2))</f>
        <v>2022-23</v>
      </c>
      <c r="E351" t="str">
        <f>"Q"&amp;ROUNDUP(MONTH(Raw_Data!B351)/3,0)</f>
        <v>Q3</v>
      </c>
      <c r="F351" t="str">
        <f>TEXT(Raw_Data!B351,"mmm")</f>
        <v>Aug</v>
      </c>
      <c r="G351" t="str">
        <f>TEXT(Raw_Data!B351,"ddd")</f>
        <v>Wed</v>
      </c>
      <c r="H351" t="str">
        <f>Raw_Data!D351</f>
        <v>Invoiced</v>
      </c>
      <c r="I351" t="str">
        <f>Raw_Data!F351</f>
        <v>SMS/ Tele-Out</v>
      </c>
      <c r="J351" t="str">
        <f>Raw_Data!G351</f>
        <v>I-BAP Self</v>
      </c>
      <c r="K351" t="str">
        <f>IFERROR(VLOOKUP(J351,Source_Assumptions!$A:$C,2,0),"Unmapped")</f>
        <v>Referral (Insurance/Banking Partner)</v>
      </c>
      <c r="L351" t="str">
        <f>Raw_Data!H351</f>
        <v>JAZZ PE</v>
      </c>
      <c r="M351" t="str">
        <f>IFERROR(VLOOKUP(L351,Model_Assumptions!$A:$D,2,0),"Unmapped")</f>
        <v>Hatchback</v>
      </c>
      <c r="N351" t="str">
        <f>IFERROR(VLOOKUP(L351,Model_Assumptions!$A:$D,3,0),"Unmapped")</f>
        <v>Petrol</v>
      </c>
      <c r="O351">
        <f>IFERROR(VLOOKUP(L351,Model_Assumptions!$A:$D,4,0),0)</f>
        <v>800000</v>
      </c>
      <c r="P351">
        <f>IFERROR(VLOOKUP(J351,Source_Assumptions!$A:$C,3,0),0)</f>
        <v>100</v>
      </c>
    </row>
    <row r="352" spans="1:16" x14ac:dyDescent="0.3">
      <c r="A352">
        <f>Raw_Data!A352</f>
        <v>351</v>
      </c>
      <c r="B352" s="2">
        <f>Raw_Data!B352</f>
        <v>44804.775081018503</v>
      </c>
      <c r="C352">
        <f>YEAR(Raw_Data!B352)</f>
        <v>2022</v>
      </c>
      <c r="D352" t="str">
        <f>IF(MONTH(Raw_Data!B352)&gt;=4,YEAR(Raw_Data!B352)&amp;"-"&amp;RIGHT(YEAR(Raw_Data!B352)+1,2),YEAR(Raw_Data!B352)-1&amp;"-"&amp;RIGHT(YEAR(Raw_Data!B352),2))</f>
        <v>2022-23</v>
      </c>
      <c r="E352" t="str">
        <f>"Q"&amp;ROUNDUP(MONTH(Raw_Data!B352)/3,0)</f>
        <v>Q3</v>
      </c>
      <c r="F352" t="str">
        <f>TEXT(Raw_Data!B352,"mmm")</f>
        <v>Aug</v>
      </c>
      <c r="G352" t="str">
        <f>TEXT(Raw_Data!B352,"ddd")</f>
        <v>Wed</v>
      </c>
      <c r="H352" t="str">
        <f>Raw_Data!D352</f>
        <v>Invoiced</v>
      </c>
      <c r="I352" t="str">
        <f>Raw_Data!F352</f>
        <v>Web Lead</v>
      </c>
      <c r="J352" t="str">
        <f>Raw_Data!G352</f>
        <v>Web_Carwale</v>
      </c>
      <c r="K352" t="str">
        <f>IFERROR(VLOOKUP(J352,Source_Assumptions!$A:$C,2,0),"Unmapped")</f>
        <v>Digital - Aggregator (Paid)</v>
      </c>
      <c r="L352" t="str">
        <f>Raw_Data!H352</f>
        <v>5TH GEN CITY PE</v>
      </c>
      <c r="M352" t="str">
        <f>IFERROR(VLOOKUP(L352,Model_Assumptions!$A:$D,2,0),"Unmapped")</f>
        <v>Mid-size Sedan</v>
      </c>
      <c r="N352" t="str">
        <f>IFERROR(VLOOKUP(L352,Model_Assumptions!$A:$D,3,0),"Unmapped")</f>
        <v>Petrol</v>
      </c>
      <c r="O352">
        <f>IFERROR(VLOOKUP(L352,Model_Assumptions!$A:$D,4,0),0)</f>
        <v>1250000</v>
      </c>
      <c r="P352">
        <f>IFERROR(VLOOKUP(J352,Source_Assumptions!$A:$C,3,0),0)</f>
        <v>900</v>
      </c>
    </row>
    <row r="353" spans="1:16" x14ac:dyDescent="0.3">
      <c r="A353">
        <f>Raw_Data!A353</f>
        <v>352</v>
      </c>
      <c r="B353" s="2">
        <f>Raw_Data!B353</f>
        <v>44804.776192129597</v>
      </c>
      <c r="C353">
        <f>YEAR(Raw_Data!B353)</f>
        <v>2022</v>
      </c>
      <c r="D353" t="str">
        <f>IF(MONTH(Raw_Data!B353)&gt;=4,YEAR(Raw_Data!B353)&amp;"-"&amp;RIGHT(YEAR(Raw_Data!B353)+1,2),YEAR(Raw_Data!B353)-1&amp;"-"&amp;RIGHT(YEAR(Raw_Data!B353),2))</f>
        <v>2022-23</v>
      </c>
      <c r="E353" t="str">
        <f>"Q"&amp;ROUNDUP(MONTH(Raw_Data!B353)/3,0)</f>
        <v>Q3</v>
      </c>
      <c r="F353" t="str">
        <f>TEXT(Raw_Data!B353,"mmm")</f>
        <v>Aug</v>
      </c>
      <c r="G353" t="str">
        <f>TEXT(Raw_Data!B353,"ddd")</f>
        <v>Wed</v>
      </c>
      <c r="H353" t="str">
        <f>Raw_Data!D353</f>
        <v>Invoiced</v>
      </c>
      <c r="I353" t="str">
        <f>Raw_Data!F353</f>
        <v>Web Lead</v>
      </c>
      <c r="J353" t="str">
        <f>Raw_Data!G353</f>
        <v>Web</v>
      </c>
      <c r="K353" t="str">
        <f>IFERROR(VLOOKUP(J353,Source_Assumptions!$A:$C,2,0),"Unmapped")</f>
        <v>Digital - Owned</v>
      </c>
      <c r="L353" t="str">
        <f>Raw_Data!H353</f>
        <v>AMAZE Petrol</v>
      </c>
      <c r="M353" t="str">
        <f>IFERROR(VLOOKUP(L353,Model_Assumptions!$A:$D,2,0),"Unmapped")</f>
        <v>Sub-4m Sedan</v>
      </c>
      <c r="N353" t="str">
        <f>IFERROR(VLOOKUP(L353,Model_Assumptions!$A:$D,3,0),"Unmapped")</f>
        <v>Petrol</v>
      </c>
      <c r="O353">
        <f>IFERROR(VLOOKUP(L353,Model_Assumptions!$A:$D,4,0),0)</f>
        <v>850000</v>
      </c>
      <c r="P353">
        <f>IFERROR(VLOOKUP(J353,Source_Assumptions!$A:$C,3,0),0)</f>
        <v>300</v>
      </c>
    </row>
    <row r="354" spans="1:16" x14ac:dyDescent="0.3">
      <c r="A354">
        <f>Raw_Data!A354</f>
        <v>353</v>
      </c>
      <c r="B354" s="2">
        <f>Raw_Data!B354</f>
        <v>44804.797893518502</v>
      </c>
      <c r="C354">
        <f>YEAR(Raw_Data!B354)</f>
        <v>2022</v>
      </c>
      <c r="D354" t="str">
        <f>IF(MONTH(Raw_Data!B354)&gt;=4,YEAR(Raw_Data!B354)&amp;"-"&amp;RIGHT(YEAR(Raw_Data!B354)+1,2),YEAR(Raw_Data!B354)-1&amp;"-"&amp;RIGHT(YEAR(Raw_Data!B354),2))</f>
        <v>2022-23</v>
      </c>
      <c r="E354" t="str">
        <f>"Q"&amp;ROUNDUP(MONTH(Raw_Data!B354)/3,0)</f>
        <v>Q3</v>
      </c>
      <c r="F354" t="str">
        <f>TEXT(Raw_Data!B354,"mmm")</f>
        <v>Aug</v>
      </c>
      <c r="G354" t="str">
        <f>TEXT(Raw_Data!B354,"ddd")</f>
        <v>Wed</v>
      </c>
      <c r="H354" t="str">
        <f>Raw_Data!D354</f>
        <v>Invoiced</v>
      </c>
      <c r="I354" t="str">
        <f>Raw_Data!F354</f>
        <v>Tele-in</v>
      </c>
      <c r="J354" t="str">
        <f>Raw_Data!G354</f>
        <v>Referral-CAM</v>
      </c>
      <c r="K354" t="str">
        <f>IFERROR(VLOOKUP(J354,Source_Assumptions!$A:$C,2,0),"Unmapped")</f>
        <v>Referral</v>
      </c>
      <c r="L354" t="str">
        <f>Raw_Data!H354</f>
        <v>AMAZE Diesel</v>
      </c>
      <c r="M354" t="str">
        <f>IFERROR(VLOOKUP(L354,Model_Assumptions!$A:$D,2,0),"Unmapped")</f>
        <v>Sub-4m Sedan</v>
      </c>
      <c r="N354" t="str">
        <f>IFERROR(VLOOKUP(L354,Model_Assumptions!$A:$D,3,0),"Unmapped")</f>
        <v>Diesel</v>
      </c>
      <c r="O354">
        <f>IFERROR(VLOOKUP(L354,Model_Assumptions!$A:$D,4,0),0)</f>
        <v>950000</v>
      </c>
      <c r="P354">
        <f>IFERROR(VLOOKUP(J354,Source_Assumptions!$A:$C,3,0),0)</f>
        <v>150</v>
      </c>
    </row>
    <row r="355" spans="1:16" x14ac:dyDescent="0.3">
      <c r="A355">
        <f>Raw_Data!A355</f>
        <v>354</v>
      </c>
      <c r="B355" s="2">
        <f>Raw_Data!B355</f>
        <v>44804.799074074101</v>
      </c>
      <c r="C355">
        <f>YEAR(Raw_Data!B355)</f>
        <v>2022</v>
      </c>
      <c r="D355" t="str">
        <f>IF(MONTH(Raw_Data!B355)&gt;=4,YEAR(Raw_Data!B355)&amp;"-"&amp;RIGHT(YEAR(Raw_Data!B355)+1,2),YEAR(Raw_Data!B355)-1&amp;"-"&amp;RIGHT(YEAR(Raw_Data!B355),2))</f>
        <v>2022-23</v>
      </c>
      <c r="E355" t="str">
        <f>"Q"&amp;ROUNDUP(MONTH(Raw_Data!B355)/3,0)</f>
        <v>Q3</v>
      </c>
      <c r="F355" t="str">
        <f>TEXT(Raw_Data!B355,"mmm")</f>
        <v>Aug</v>
      </c>
      <c r="G355" t="str">
        <f>TEXT(Raw_Data!B355,"ddd")</f>
        <v>Wed</v>
      </c>
      <c r="H355" t="str">
        <f>Raw_Data!D355</f>
        <v>Invoiced</v>
      </c>
      <c r="I355" t="str">
        <f>Raw_Data!F355</f>
        <v>Walk-in Showroom</v>
      </c>
      <c r="J355" t="str">
        <f>Raw_Data!G355</f>
        <v>Adver. (TVC/Print/Hoarding/FM)</v>
      </c>
      <c r="K355" t="str">
        <f>IFERROR(VLOOKUP(J355,Source_Assumptions!$A:$C,2,0),"Unmapped")</f>
        <v>Traditional Advertising</v>
      </c>
      <c r="L355" t="str">
        <f>Raw_Data!H355</f>
        <v>AMAZE Petrol</v>
      </c>
      <c r="M355" t="str">
        <f>IFERROR(VLOOKUP(L355,Model_Assumptions!$A:$D,2,0),"Unmapped")</f>
        <v>Sub-4m Sedan</v>
      </c>
      <c r="N355" t="str">
        <f>IFERROR(VLOOKUP(L355,Model_Assumptions!$A:$D,3,0),"Unmapped")</f>
        <v>Petrol</v>
      </c>
      <c r="O355">
        <f>IFERROR(VLOOKUP(L355,Model_Assumptions!$A:$D,4,0),0)</f>
        <v>850000</v>
      </c>
      <c r="P355">
        <f>IFERROR(VLOOKUP(J355,Source_Assumptions!$A:$C,3,0),0)</f>
        <v>1200</v>
      </c>
    </row>
    <row r="356" spans="1:16" x14ac:dyDescent="0.3">
      <c r="A356">
        <f>Raw_Data!A356</f>
        <v>355</v>
      </c>
      <c r="B356" s="2">
        <f>Raw_Data!B356</f>
        <v>44804.800601851901</v>
      </c>
      <c r="C356">
        <f>YEAR(Raw_Data!B356)</f>
        <v>2022</v>
      </c>
      <c r="D356" t="str">
        <f>IF(MONTH(Raw_Data!B356)&gt;=4,YEAR(Raw_Data!B356)&amp;"-"&amp;RIGHT(YEAR(Raw_Data!B356)+1,2),YEAR(Raw_Data!B356)-1&amp;"-"&amp;RIGHT(YEAR(Raw_Data!B356),2))</f>
        <v>2022-23</v>
      </c>
      <c r="E356" t="str">
        <f>"Q"&amp;ROUNDUP(MONTH(Raw_Data!B356)/3,0)</f>
        <v>Q3</v>
      </c>
      <c r="F356" t="str">
        <f>TEXT(Raw_Data!B356,"mmm")</f>
        <v>Aug</v>
      </c>
      <c r="G356" t="str">
        <f>TEXT(Raw_Data!B356,"ddd")</f>
        <v>Wed</v>
      </c>
      <c r="H356" t="str">
        <f>Raw_Data!D356</f>
        <v>Invoiced</v>
      </c>
      <c r="I356" t="str">
        <f>Raw_Data!F356</f>
        <v>Tele-in</v>
      </c>
      <c r="J356" t="str">
        <f>Raw_Data!G356</f>
        <v>Referral-CAM</v>
      </c>
      <c r="K356" t="str">
        <f>IFERROR(VLOOKUP(J356,Source_Assumptions!$A:$C,2,0),"Unmapped")</f>
        <v>Referral</v>
      </c>
      <c r="L356" t="str">
        <f>Raw_Data!H356</f>
        <v>5TH GEN CITY DE</v>
      </c>
      <c r="M356" t="str">
        <f>IFERROR(VLOOKUP(L356,Model_Assumptions!$A:$D,2,0),"Unmapped")</f>
        <v>Mid-size Sedan</v>
      </c>
      <c r="N356" t="str">
        <f>IFERROR(VLOOKUP(L356,Model_Assumptions!$A:$D,3,0),"Unmapped")</f>
        <v>Diesel</v>
      </c>
      <c r="O356">
        <f>IFERROR(VLOOKUP(L356,Model_Assumptions!$A:$D,4,0),0)</f>
        <v>1350000</v>
      </c>
      <c r="P356">
        <f>IFERROR(VLOOKUP(J356,Source_Assumptions!$A:$C,3,0),0)</f>
        <v>150</v>
      </c>
    </row>
    <row r="357" spans="1:16" x14ac:dyDescent="0.3">
      <c r="A357">
        <f>Raw_Data!A357</f>
        <v>356</v>
      </c>
      <c r="B357" s="2">
        <f>Raw_Data!B357</f>
        <v>44804.801817129599</v>
      </c>
      <c r="C357">
        <f>YEAR(Raw_Data!B357)</f>
        <v>2022</v>
      </c>
      <c r="D357" t="str">
        <f>IF(MONTH(Raw_Data!B357)&gt;=4,YEAR(Raw_Data!B357)&amp;"-"&amp;RIGHT(YEAR(Raw_Data!B357)+1,2),YEAR(Raw_Data!B357)-1&amp;"-"&amp;RIGHT(YEAR(Raw_Data!B357),2))</f>
        <v>2022-23</v>
      </c>
      <c r="E357" t="str">
        <f>"Q"&amp;ROUNDUP(MONTH(Raw_Data!B357)/3,0)</f>
        <v>Q3</v>
      </c>
      <c r="F357" t="str">
        <f>TEXT(Raw_Data!B357,"mmm")</f>
        <v>Aug</v>
      </c>
      <c r="G357" t="str">
        <f>TEXT(Raw_Data!B357,"ddd")</f>
        <v>Wed</v>
      </c>
      <c r="H357" t="str">
        <f>Raw_Data!D357</f>
        <v>Invoiced</v>
      </c>
      <c r="I357" t="str">
        <f>Raw_Data!F357</f>
        <v>Tele-in</v>
      </c>
      <c r="J357" t="str">
        <f>Raw_Data!G357</f>
        <v>Referral (HC/HBLP)</v>
      </c>
      <c r="K357" t="str">
        <f>IFERROR(VLOOKUP(J357,Source_Assumptions!$A:$C,2,0),"Unmapped")</f>
        <v>Referral (Happy Customer)</v>
      </c>
      <c r="L357" t="str">
        <f>Raw_Data!H357</f>
        <v>AMAZE Petrol</v>
      </c>
      <c r="M357" t="str">
        <f>IFERROR(VLOOKUP(L357,Model_Assumptions!$A:$D,2,0),"Unmapped")</f>
        <v>Sub-4m Sedan</v>
      </c>
      <c r="N357" t="str">
        <f>IFERROR(VLOOKUP(L357,Model_Assumptions!$A:$D,3,0),"Unmapped")</f>
        <v>Petrol</v>
      </c>
      <c r="O357">
        <f>IFERROR(VLOOKUP(L357,Model_Assumptions!$A:$D,4,0),0)</f>
        <v>850000</v>
      </c>
      <c r="P357">
        <f>IFERROR(VLOOKUP(J357,Source_Assumptions!$A:$C,3,0),0)</f>
        <v>100</v>
      </c>
    </row>
    <row r="358" spans="1:16" x14ac:dyDescent="0.3">
      <c r="A358">
        <f>Raw_Data!A358</f>
        <v>357</v>
      </c>
      <c r="B358" s="2">
        <f>Raw_Data!B358</f>
        <v>44804.808831018498</v>
      </c>
      <c r="C358">
        <f>YEAR(Raw_Data!B358)</f>
        <v>2022</v>
      </c>
      <c r="D358" t="str">
        <f>IF(MONTH(Raw_Data!B358)&gt;=4,YEAR(Raw_Data!B358)&amp;"-"&amp;RIGHT(YEAR(Raw_Data!B358)+1,2),YEAR(Raw_Data!B358)-1&amp;"-"&amp;RIGHT(YEAR(Raw_Data!B358),2))</f>
        <v>2022-23</v>
      </c>
      <c r="E358" t="str">
        <f>"Q"&amp;ROUNDUP(MONTH(Raw_Data!B358)/3,0)</f>
        <v>Q3</v>
      </c>
      <c r="F358" t="str">
        <f>TEXT(Raw_Data!B358,"mmm")</f>
        <v>Aug</v>
      </c>
      <c r="G358" t="str">
        <f>TEXT(Raw_Data!B358,"ddd")</f>
        <v>Wed</v>
      </c>
      <c r="H358" t="str">
        <f>Raw_Data!D358</f>
        <v>Invoiced</v>
      </c>
      <c r="I358" t="str">
        <f>Raw_Data!F358</f>
        <v>Walk-in Showroom</v>
      </c>
      <c r="J358" t="str">
        <f>Raw_Data!G358</f>
        <v>Adver. (TVC/Print/Hoarding/FM)</v>
      </c>
      <c r="K358" t="str">
        <f>IFERROR(VLOOKUP(J358,Source_Assumptions!$A:$C,2,0),"Unmapped")</f>
        <v>Traditional Advertising</v>
      </c>
      <c r="L358" t="str">
        <f>Raw_Data!H358</f>
        <v>AMAZE Petrol</v>
      </c>
      <c r="M358" t="str">
        <f>IFERROR(VLOOKUP(L358,Model_Assumptions!$A:$D,2,0),"Unmapped")</f>
        <v>Sub-4m Sedan</v>
      </c>
      <c r="N358" t="str">
        <f>IFERROR(VLOOKUP(L358,Model_Assumptions!$A:$D,3,0),"Unmapped")</f>
        <v>Petrol</v>
      </c>
      <c r="O358">
        <f>IFERROR(VLOOKUP(L358,Model_Assumptions!$A:$D,4,0),0)</f>
        <v>850000</v>
      </c>
      <c r="P358">
        <f>IFERROR(VLOOKUP(J358,Source_Assumptions!$A:$C,3,0),0)</f>
        <v>1200</v>
      </c>
    </row>
    <row r="359" spans="1:16" x14ac:dyDescent="0.3">
      <c r="A359">
        <f>Raw_Data!A359</f>
        <v>358</v>
      </c>
      <c r="B359" s="2">
        <f>Raw_Data!B359</f>
        <v>44804.849861111099</v>
      </c>
      <c r="C359">
        <f>YEAR(Raw_Data!B359)</f>
        <v>2022</v>
      </c>
      <c r="D359" t="str">
        <f>IF(MONTH(Raw_Data!B359)&gt;=4,YEAR(Raw_Data!B359)&amp;"-"&amp;RIGHT(YEAR(Raw_Data!B359)+1,2),YEAR(Raw_Data!B359)-1&amp;"-"&amp;RIGHT(YEAR(Raw_Data!B359),2))</f>
        <v>2022-23</v>
      </c>
      <c r="E359" t="str">
        <f>"Q"&amp;ROUNDUP(MONTH(Raw_Data!B359)/3,0)</f>
        <v>Q3</v>
      </c>
      <c r="F359" t="str">
        <f>TEXT(Raw_Data!B359,"mmm")</f>
        <v>Aug</v>
      </c>
      <c r="G359" t="str">
        <f>TEXT(Raw_Data!B359,"ddd")</f>
        <v>Wed</v>
      </c>
      <c r="H359" t="str">
        <f>Raw_Data!D359</f>
        <v>Invoiced</v>
      </c>
      <c r="I359" t="str">
        <f>Raw_Data!F359</f>
        <v>Tele-in</v>
      </c>
      <c r="J359" t="str">
        <f>Raw_Data!G359</f>
        <v>Dealer Webpage Tele-In</v>
      </c>
      <c r="K359" t="str">
        <f>IFERROR(VLOOKUP(J359,Source_Assumptions!$A:$C,2,0),"Unmapped")</f>
        <v>Digital - Owned</v>
      </c>
      <c r="L359" t="str">
        <f>Raw_Data!H359</f>
        <v>AMAZE Petrol</v>
      </c>
      <c r="M359" t="str">
        <f>IFERROR(VLOOKUP(L359,Model_Assumptions!$A:$D,2,0),"Unmapped")</f>
        <v>Sub-4m Sedan</v>
      </c>
      <c r="N359" t="str">
        <f>IFERROR(VLOOKUP(L359,Model_Assumptions!$A:$D,3,0),"Unmapped")</f>
        <v>Petrol</v>
      </c>
      <c r="O359">
        <f>IFERROR(VLOOKUP(L359,Model_Assumptions!$A:$D,4,0),0)</f>
        <v>850000</v>
      </c>
      <c r="P359">
        <f>IFERROR(VLOOKUP(J359,Source_Assumptions!$A:$C,3,0),0)</f>
        <v>300</v>
      </c>
    </row>
    <row r="360" spans="1:16" x14ac:dyDescent="0.3">
      <c r="A360">
        <f>Raw_Data!A360</f>
        <v>359</v>
      </c>
      <c r="B360" s="2">
        <f>Raw_Data!B360</f>
        <v>44807.524641203701</v>
      </c>
      <c r="C360">
        <f>YEAR(Raw_Data!B360)</f>
        <v>2022</v>
      </c>
      <c r="D360" t="str">
        <f>IF(MONTH(Raw_Data!B360)&gt;=4,YEAR(Raw_Data!B360)&amp;"-"&amp;RIGHT(YEAR(Raw_Data!B360)+1,2),YEAR(Raw_Data!B360)-1&amp;"-"&amp;RIGHT(YEAR(Raw_Data!B360),2))</f>
        <v>2022-23</v>
      </c>
      <c r="E360" t="str">
        <f>"Q"&amp;ROUNDUP(MONTH(Raw_Data!B360)/3,0)</f>
        <v>Q3</v>
      </c>
      <c r="F360" t="str">
        <f>TEXT(Raw_Data!B360,"mmm")</f>
        <v>Sep</v>
      </c>
      <c r="G360" t="str">
        <f>TEXT(Raw_Data!B360,"ddd")</f>
        <v>Sat</v>
      </c>
      <c r="H360" t="str">
        <f>Raw_Data!D360</f>
        <v>Invoiced</v>
      </c>
      <c r="I360" t="str">
        <f>Raw_Data!F360</f>
        <v>Tele-in</v>
      </c>
      <c r="J360" t="str">
        <f>Raw_Data!G360</f>
        <v>Referral-CAM</v>
      </c>
      <c r="K360" t="str">
        <f>IFERROR(VLOOKUP(J360,Source_Assumptions!$A:$C,2,0),"Unmapped")</f>
        <v>Referral</v>
      </c>
      <c r="L360" t="str">
        <f>Raw_Data!H360</f>
        <v>5TH GEN CITY PE</v>
      </c>
      <c r="M360" t="str">
        <f>IFERROR(VLOOKUP(L360,Model_Assumptions!$A:$D,2,0),"Unmapped")</f>
        <v>Mid-size Sedan</v>
      </c>
      <c r="N360" t="str">
        <f>IFERROR(VLOOKUP(L360,Model_Assumptions!$A:$D,3,0),"Unmapped")</f>
        <v>Petrol</v>
      </c>
      <c r="O360">
        <f>IFERROR(VLOOKUP(L360,Model_Assumptions!$A:$D,4,0),0)</f>
        <v>1250000</v>
      </c>
      <c r="P360">
        <f>IFERROR(VLOOKUP(J360,Source_Assumptions!$A:$C,3,0),0)</f>
        <v>150</v>
      </c>
    </row>
    <row r="361" spans="1:16" x14ac:dyDescent="0.3">
      <c r="A361">
        <f>Raw_Data!A361</f>
        <v>360</v>
      </c>
      <c r="B361" s="2">
        <f>Raw_Data!B361</f>
        <v>44807.534965277802</v>
      </c>
      <c r="C361">
        <f>YEAR(Raw_Data!B361)</f>
        <v>2022</v>
      </c>
      <c r="D361" t="str">
        <f>IF(MONTH(Raw_Data!B361)&gt;=4,YEAR(Raw_Data!B361)&amp;"-"&amp;RIGHT(YEAR(Raw_Data!B361)+1,2),YEAR(Raw_Data!B361)-1&amp;"-"&amp;RIGHT(YEAR(Raw_Data!B361),2))</f>
        <v>2022-23</v>
      </c>
      <c r="E361" t="str">
        <f>"Q"&amp;ROUNDUP(MONTH(Raw_Data!B361)/3,0)</f>
        <v>Q3</v>
      </c>
      <c r="F361" t="str">
        <f>TEXT(Raw_Data!B361,"mmm")</f>
        <v>Sep</v>
      </c>
      <c r="G361" t="str">
        <f>TEXT(Raw_Data!B361,"ddd")</f>
        <v>Sat</v>
      </c>
      <c r="H361" t="str">
        <f>Raw_Data!D361</f>
        <v>Invoiced</v>
      </c>
      <c r="I361" t="str">
        <f>Raw_Data!F361</f>
        <v>SMS/ Tele-Out</v>
      </c>
      <c r="J361" t="str">
        <f>Raw_Data!G361</f>
        <v>I-BAP Referral</v>
      </c>
      <c r="K361" t="str">
        <f>IFERROR(VLOOKUP(J361,Source_Assumptions!$A:$C,2,0),"Unmapped")</f>
        <v>Referral (Insurance/Banking Partner)</v>
      </c>
      <c r="L361" t="str">
        <f>Raw_Data!H361</f>
        <v>5TH GEN CITY PE</v>
      </c>
      <c r="M361" t="str">
        <f>IFERROR(VLOOKUP(L361,Model_Assumptions!$A:$D,2,0),"Unmapped")</f>
        <v>Mid-size Sedan</v>
      </c>
      <c r="N361" t="str">
        <f>IFERROR(VLOOKUP(L361,Model_Assumptions!$A:$D,3,0),"Unmapped")</f>
        <v>Petrol</v>
      </c>
      <c r="O361">
        <f>IFERROR(VLOOKUP(L361,Model_Assumptions!$A:$D,4,0),0)</f>
        <v>1250000</v>
      </c>
      <c r="P361">
        <f>IFERROR(VLOOKUP(J361,Source_Assumptions!$A:$C,3,0),0)</f>
        <v>150</v>
      </c>
    </row>
    <row r="362" spans="1:16" x14ac:dyDescent="0.3">
      <c r="A362">
        <f>Raw_Data!A362</f>
        <v>361</v>
      </c>
      <c r="B362" s="2">
        <f>Raw_Data!B362</f>
        <v>44809.505972222199</v>
      </c>
      <c r="C362">
        <f>YEAR(Raw_Data!B362)</f>
        <v>2022</v>
      </c>
      <c r="D362" t="str">
        <f>IF(MONTH(Raw_Data!B362)&gt;=4,YEAR(Raw_Data!B362)&amp;"-"&amp;RIGHT(YEAR(Raw_Data!B362)+1,2),YEAR(Raw_Data!B362)-1&amp;"-"&amp;RIGHT(YEAR(Raw_Data!B362),2))</f>
        <v>2022-23</v>
      </c>
      <c r="E362" t="str">
        <f>"Q"&amp;ROUNDUP(MONTH(Raw_Data!B362)/3,0)</f>
        <v>Q3</v>
      </c>
      <c r="F362" t="str">
        <f>TEXT(Raw_Data!B362,"mmm")</f>
        <v>Sep</v>
      </c>
      <c r="G362" t="str">
        <f>TEXT(Raw_Data!B362,"ddd")</f>
        <v>Mon</v>
      </c>
      <c r="H362" t="str">
        <f>Raw_Data!D362</f>
        <v>Invoiced</v>
      </c>
      <c r="I362" t="str">
        <f>Raw_Data!F362</f>
        <v>Tele-in</v>
      </c>
      <c r="J362" t="str">
        <f>Raw_Data!G362</f>
        <v>Dealer Webpage Tele-In</v>
      </c>
      <c r="K362" t="str">
        <f>IFERROR(VLOOKUP(J362,Source_Assumptions!$A:$C,2,0),"Unmapped")</f>
        <v>Digital - Owned</v>
      </c>
      <c r="L362" t="str">
        <f>Raw_Data!H362</f>
        <v>WR-V PE</v>
      </c>
      <c r="M362" t="str">
        <f>IFERROR(VLOOKUP(L362,Model_Assumptions!$A:$D,2,0),"Unmapped")</f>
        <v>Compact SUV</v>
      </c>
      <c r="N362" t="str">
        <f>IFERROR(VLOOKUP(L362,Model_Assumptions!$A:$D,3,0),"Unmapped")</f>
        <v>Petrol</v>
      </c>
      <c r="O362">
        <f>IFERROR(VLOOKUP(L362,Model_Assumptions!$A:$D,4,0),0)</f>
        <v>950000</v>
      </c>
      <c r="P362">
        <f>IFERROR(VLOOKUP(J362,Source_Assumptions!$A:$C,3,0),0)</f>
        <v>300</v>
      </c>
    </row>
    <row r="363" spans="1:16" x14ac:dyDescent="0.3">
      <c r="A363">
        <f>Raw_Data!A363</f>
        <v>362</v>
      </c>
      <c r="B363" s="2">
        <f>Raw_Data!B363</f>
        <v>44809.591527777797</v>
      </c>
      <c r="C363">
        <f>YEAR(Raw_Data!B363)</f>
        <v>2022</v>
      </c>
      <c r="D363" t="str">
        <f>IF(MONTH(Raw_Data!B363)&gt;=4,YEAR(Raw_Data!B363)&amp;"-"&amp;RIGHT(YEAR(Raw_Data!B363)+1,2),YEAR(Raw_Data!B363)-1&amp;"-"&amp;RIGHT(YEAR(Raw_Data!B363),2))</f>
        <v>2022-23</v>
      </c>
      <c r="E363" t="str">
        <f>"Q"&amp;ROUNDUP(MONTH(Raw_Data!B363)/3,0)</f>
        <v>Q3</v>
      </c>
      <c r="F363" t="str">
        <f>TEXT(Raw_Data!B363,"mmm")</f>
        <v>Sep</v>
      </c>
      <c r="G363" t="str">
        <f>TEXT(Raw_Data!B363,"ddd")</f>
        <v>Mon</v>
      </c>
      <c r="H363" t="str">
        <f>Raw_Data!D363</f>
        <v>Invoiced</v>
      </c>
      <c r="I363" t="str">
        <f>Raw_Data!F363</f>
        <v>Web Lead</v>
      </c>
      <c r="J363" t="str">
        <f>Raw_Data!G363</f>
        <v>Web</v>
      </c>
      <c r="K363" t="str">
        <f>IFERROR(VLOOKUP(J363,Source_Assumptions!$A:$C,2,0),"Unmapped")</f>
        <v>Digital - Owned</v>
      </c>
      <c r="L363" t="str">
        <f>Raw_Data!H363</f>
        <v>WR-V PE</v>
      </c>
      <c r="M363" t="str">
        <f>IFERROR(VLOOKUP(L363,Model_Assumptions!$A:$D,2,0),"Unmapped")</f>
        <v>Compact SUV</v>
      </c>
      <c r="N363" t="str">
        <f>IFERROR(VLOOKUP(L363,Model_Assumptions!$A:$D,3,0),"Unmapped")</f>
        <v>Petrol</v>
      </c>
      <c r="O363">
        <f>IFERROR(VLOOKUP(L363,Model_Assumptions!$A:$D,4,0),0)</f>
        <v>950000</v>
      </c>
      <c r="P363">
        <f>IFERROR(VLOOKUP(J363,Source_Assumptions!$A:$C,3,0),0)</f>
        <v>300</v>
      </c>
    </row>
    <row r="364" spans="1:16" x14ac:dyDescent="0.3">
      <c r="A364">
        <f>Raw_Data!A364</f>
        <v>363</v>
      </c>
      <c r="B364" s="2">
        <f>Raw_Data!B364</f>
        <v>44813.559282407397</v>
      </c>
      <c r="C364">
        <f>YEAR(Raw_Data!B364)</f>
        <v>2022</v>
      </c>
      <c r="D364" t="str">
        <f>IF(MONTH(Raw_Data!B364)&gt;=4,YEAR(Raw_Data!B364)&amp;"-"&amp;RIGHT(YEAR(Raw_Data!B364)+1,2),YEAR(Raw_Data!B364)-1&amp;"-"&amp;RIGHT(YEAR(Raw_Data!B364),2))</f>
        <v>2022-23</v>
      </c>
      <c r="E364" t="str">
        <f>"Q"&amp;ROUNDUP(MONTH(Raw_Data!B364)/3,0)</f>
        <v>Q3</v>
      </c>
      <c r="F364" t="str">
        <f>TEXT(Raw_Data!B364,"mmm")</f>
        <v>Sep</v>
      </c>
      <c r="G364" t="str">
        <f>TEXT(Raw_Data!B364,"ddd")</f>
        <v>Fri</v>
      </c>
      <c r="H364" t="str">
        <f>Raw_Data!D364</f>
        <v>Invoiced</v>
      </c>
      <c r="I364" t="str">
        <f>Raw_Data!F364</f>
        <v>Tele-in</v>
      </c>
      <c r="J364" t="str">
        <f>Raw_Data!G364</f>
        <v>Referral-CAM</v>
      </c>
      <c r="K364" t="str">
        <f>IFERROR(VLOOKUP(J364,Source_Assumptions!$A:$C,2,0),"Unmapped")</f>
        <v>Referral</v>
      </c>
      <c r="L364" t="str">
        <f>Raw_Data!H364</f>
        <v>AMAZE Petrol</v>
      </c>
      <c r="M364" t="str">
        <f>IFERROR(VLOOKUP(L364,Model_Assumptions!$A:$D,2,0),"Unmapped")</f>
        <v>Sub-4m Sedan</v>
      </c>
      <c r="N364" t="str">
        <f>IFERROR(VLOOKUP(L364,Model_Assumptions!$A:$D,3,0),"Unmapped")</f>
        <v>Petrol</v>
      </c>
      <c r="O364">
        <f>IFERROR(VLOOKUP(L364,Model_Assumptions!$A:$D,4,0),0)</f>
        <v>850000</v>
      </c>
      <c r="P364">
        <f>IFERROR(VLOOKUP(J364,Source_Assumptions!$A:$C,3,0),0)</f>
        <v>150</v>
      </c>
    </row>
    <row r="365" spans="1:16" x14ac:dyDescent="0.3">
      <c r="A365">
        <f>Raw_Data!A365</f>
        <v>364</v>
      </c>
      <c r="B365" s="2">
        <f>Raw_Data!B365</f>
        <v>44814.421631944497</v>
      </c>
      <c r="C365">
        <f>YEAR(Raw_Data!B365)</f>
        <v>2022</v>
      </c>
      <c r="D365" t="str">
        <f>IF(MONTH(Raw_Data!B365)&gt;=4,YEAR(Raw_Data!B365)&amp;"-"&amp;RIGHT(YEAR(Raw_Data!B365)+1,2),YEAR(Raw_Data!B365)-1&amp;"-"&amp;RIGHT(YEAR(Raw_Data!B365),2))</f>
        <v>2022-23</v>
      </c>
      <c r="E365" t="str">
        <f>"Q"&amp;ROUNDUP(MONTH(Raw_Data!B365)/3,0)</f>
        <v>Q3</v>
      </c>
      <c r="F365" t="str">
        <f>TEXT(Raw_Data!B365,"mmm")</f>
        <v>Sep</v>
      </c>
      <c r="G365" t="str">
        <f>TEXT(Raw_Data!B365,"ddd")</f>
        <v>Sat</v>
      </c>
      <c r="H365" t="str">
        <f>Raw_Data!D365</f>
        <v>Invoiced</v>
      </c>
      <c r="I365" t="str">
        <f>Raw_Data!F365</f>
        <v>Tele-in</v>
      </c>
      <c r="J365" t="str">
        <f>Raw_Data!G365</f>
        <v>Dealer Webpage Tele-In</v>
      </c>
      <c r="K365" t="str">
        <f>IFERROR(VLOOKUP(J365,Source_Assumptions!$A:$C,2,0),"Unmapped")</f>
        <v>Digital - Owned</v>
      </c>
      <c r="L365" t="str">
        <f>Raw_Data!H365</f>
        <v>5TH GEN CITY PE</v>
      </c>
      <c r="M365" t="str">
        <f>IFERROR(VLOOKUP(L365,Model_Assumptions!$A:$D,2,0),"Unmapped")</f>
        <v>Mid-size Sedan</v>
      </c>
      <c r="N365" t="str">
        <f>IFERROR(VLOOKUP(L365,Model_Assumptions!$A:$D,3,0),"Unmapped")</f>
        <v>Petrol</v>
      </c>
      <c r="O365">
        <f>IFERROR(VLOOKUP(L365,Model_Assumptions!$A:$D,4,0),0)</f>
        <v>1250000</v>
      </c>
      <c r="P365">
        <f>IFERROR(VLOOKUP(J365,Source_Assumptions!$A:$C,3,0),0)</f>
        <v>300</v>
      </c>
    </row>
    <row r="366" spans="1:16" x14ac:dyDescent="0.3">
      <c r="A366">
        <f>Raw_Data!A366</f>
        <v>365</v>
      </c>
      <c r="B366" s="2">
        <f>Raw_Data!B366</f>
        <v>44817.430833333303</v>
      </c>
      <c r="C366">
        <f>YEAR(Raw_Data!B366)</f>
        <v>2022</v>
      </c>
      <c r="D366" t="str">
        <f>IF(MONTH(Raw_Data!B366)&gt;=4,YEAR(Raw_Data!B366)&amp;"-"&amp;RIGHT(YEAR(Raw_Data!B366)+1,2),YEAR(Raw_Data!B366)-1&amp;"-"&amp;RIGHT(YEAR(Raw_Data!B366),2))</f>
        <v>2022-23</v>
      </c>
      <c r="E366" t="str">
        <f>"Q"&amp;ROUNDUP(MONTH(Raw_Data!B366)/3,0)</f>
        <v>Q3</v>
      </c>
      <c r="F366" t="str">
        <f>TEXT(Raw_Data!B366,"mmm")</f>
        <v>Sep</v>
      </c>
      <c r="G366" t="str">
        <f>TEXT(Raw_Data!B366,"ddd")</f>
        <v>Tue</v>
      </c>
      <c r="H366" t="str">
        <f>Raw_Data!D366</f>
        <v>Invoiced</v>
      </c>
      <c r="I366" t="str">
        <f>Raw_Data!F366</f>
        <v>Tele-in</v>
      </c>
      <c r="J366" t="str">
        <f>Raw_Data!G366</f>
        <v>Dealer Webpage Tele-In</v>
      </c>
      <c r="K366" t="str">
        <f>IFERROR(VLOOKUP(J366,Source_Assumptions!$A:$C,2,0),"Unmapped")</f>
        <v>Digital - Owned</v>
      </c>
      <c r="L366" t="str">
        <f>Raw_Data!H366</f>
        <v>AMAZE Petrol</v>
      </c>
      <c r="M366" t="str">
        <f>IFERROR(VLOOKUP(L366,Model_Assumptions!$A:$D,2,0),"Unmapped")</f>
        <v>Sub-4m Sedan</v>
      </c>
      <c r="N366" t="str">
        <f>IFERROR(VLOOKUP(L366,Model_Assumptions!$A:$D,3,0),"Unmapped")</f>
        <v>Petrol</v>
      </c>
      <c r="O366">
        <f>IFERROR(VLOOKUP(L366,Model_Assumptions!$A:$D,4,0),0)</f>
        <v>850000</v>
      </c>
      <c r="P366">
        <f>IFERROR(VLOOKUP(J366,Source_Assumptions!$A:$C,3,0),0)</f>
        <v>300</v>
      </c>
    </row>
    <row r="367" spans="1:16" x14ac:dyDescent="0.3">
      <c r="A367">
        <f>Raw_Data!A367</f>
        <v>366</v>
      </c>
      <c r="B367" s="2">
        <f>Raw_Data!B367</f>
        <v>44818.472199074102</v>
      </c>
      <c r="C367">
        <f>YEAR(Raw_Data!B367)</f>
        <v>2022</v>
      </c>
      <c r="D367" t="str">
        <f>IF(MONTH(Raw_Data!B367)&gt;=4,YEAR(Raw_Data!B367)&amp;"-"&amp;RIGHT(YEAR(Raw_Data!B367)+1,2),YEAR(Raw_Data!B367)-1&amp;"-"&amp;RIGHT(YEAR(Raw_Data!B367),2))</f>
        <v>2022-23</v>
      </c>
      <c r="E367" t="str">
        <f>"Q"&amp;ROUNDUP(MONTH(Raw_Data!B367)/3,0)</f>
        <v>Q3</v>
      </c>
      <c r="F367" t="str">
        <f>TEXT(Raw_Data!B367,"mmm")</f>
        <v>Sep</v>
      </c>
      <c r="G367" t="str">
        <f>TEXT(Raw_Data!B367,"ddd")</f>
        <v>Wed</v>
      </c>
      <c r="H367" t="str">
        <f>Raw_Data!D367</f>
        <v>Invoiced</v>
      </c>
      <c r="I367" t="str">
        <f>Raw_Data!F367</f>
        <v>SMS/ Tele-Out</v>
      </c>
      <c r="J367" t="str">
        <f>Raw_Data!G367</f>
        <v>Database Activity(Teleout/SMS)</v>
      </c>
      <c r="K367" t="str">
        <f>IFERROR(VLOOKUP(J367,Source_Assumptions!$A:$C,2,0),"Unmapped")</f>
        <v>Outbound/Database</v>
      </c>
      <c r="L367" t="str">
        <f>Raw_Data!H367</f>
        <v>5TH GEN CITY PE</v>
      </c>
      <c r="M367" t="str">
        <f>IFERROR(VLOOKUP(L367,Model_Assumptions!$A:$D,2,0),"Unmapped")</f>
        <v>Mid-size Sedan</v>
      </c>
      <c r="N367" t="str">
        <f>IFERROR(VLOOKUP(L367,Model_Assumptions!$A:$D,3,0),"Unmapped")</f>
        <v>Petrol</v>
      </c>
      <c r="O367">
        <f>IFERROR(VLOOKUP(L367,Model_Assumptions!$A:$D,4,0),0)</f>
        <v>1250000</v>
      </c>
      <c r="P367">
        <f>IFERROR(VLOOKUP(J367,Source_Assumptions!$A:$C,3,0),0)</f>
        <v>250</v>
      </c>
    </row>
    <row r="368" spans="1:16" x14ac:dyDescent="0.3">
      <c r="A368">
        <f>Raw_Data!A368</f>
        <v>367</v>
      </c>
      <c r="B368" s="2">
        <f>Raw_Data!B368</f>
        <v>44818.487916666701</v>
      </c>
      <c r="C368">
        <f>YEAR(Raw_Data!B368)</f>
        <v>2022</v>
      </c>
      <c r="D368" t="str">
        <f>IF(MONTH(Raw_Data!B368)&gt;=4,YEAR(Raw_Data!B368)&amp;"-"&amp;RIGHT(YEAR(Raw_Data!B368)+1,2),YEAR(Raw_Data!B368)-1&amp;"-"&amp;RIGHT(YEAR(Raw_Data!B368),2))</f>
        <v>2022-23</v>
      </c>
      <c r="E368" t="str">
        <f>"Q"&amp;ROUNDUP(MONTH(Raw_Data!B368)/3,0)</f>
        <v>Q3</v>
      </c>
      <c r="F368" t="str">
        <f>TEXT(Raw_Data!B368,"mmm")</f>
        <v>Sep</v>
      </c>
      <c r="G368" t="str">
        <f>TEXT(Raw_Data!B368,"ddd")</f>
        <v>Wed</v>
      </c>
      <c r="H368" t="str">
        <f>Raw_Data!D368</f>
        <v>Invoiced</v>
      </c>
      <c r="I368" t="str">
        <f>Raw_Data!F368</f>
        <v>Tele-in</v>
      </c>
      <c r="J368" t="str">
        <f>Raw_Data!G368</f>
        <v>Referral-CAM</v>
      </c>
      <c r="K368" t="str">
        <f>IFERROR(VLOOKUP(J368,Source_Assumptions!$A:$C,2,0),"Unmapped")</f>
        <v>Referral</v>
      </c>
      <c r="L368" t="str">
        <f>Raw_Data!H368</f>
        <v>5TH GEN CITY PE</v>
      </c>
      <c r="M368" t="str">
        <f>IFERROR(VLOOKUP(L368,Model_Assumptions!$A:$D,2,0),"Unmapped")</f>
        <v>Mid-size Sedan</v>
      </c>
      <c r="N368" t="str">
        <f>IFERROR(VLOOKUP(L368,Model_Assumptions!$A:$D,3,0),"Unmapped")</f>
        <v>Petrol</v>
      </c>
      <c r="O368">
        <f>IFERROR(VLOOKUP(L368,Model_Assumptions!$A:$D,4,0),0)</f>
        <v>1250000</v>
      </c>
      <c r="P368">
        <f>IFERROR(VLOOKUP(J368,Source_Assumptions!$A:$C,3,0),0)</f>
        <v>150</v>
      </c>
    </row>
    <row r="369" spans="1:16" x14ac:dyDescent="0.3">
      <c r="A369">
        <f>Raw_Data!A369</f>
        <v>368</v>
      </c>
      <c r="B369" s="2">
        <f>Raw_Data!B369</f>
        <v>44818.545578703699</v>
      </c>
      <c r="C369">
        <f>YEAR(Raw_Data!B369)</f>
        <v>2022</v>
      </c>
      <c r="D369" t="str">
        <f>IF(MONTH(Raw_Data!B369)&gt;=4,YEAR(Raw_Data!B369)&amp;"-"&amp;RIGHT(YEAR(Raw_Data!B369)+1,2),YEAR(Raw_Data!B369)-1&amp;"-"&amp;RIGHT(YEAR(Raw_Data!B369),2))</f>
        <v>2022-23</v>
      </c>
      <c r="E369" t="str">
        <f>"Q"&amp;ROUNDUP(MONTH(Raw_Data!B369)/3,0)</f>
        <v>Q3</v>
      </c>
      <c r="F369" t="str">
        <f>TEXT(Raw_Data!B369,"mmm")</f>
        <v>Sep</v>
      </c>
      <c r="G369" t="str">
        <f>TEXT(Raw_Data!B369,"ddd")</f>
        <v>Wed</v>
      </c>
      <c r="H369" t="str">
        <f>Raw_Data!D369</f>
        <v>Invoiced</v>
      </c>
      <c r="I369" t="str">
        <f>Raw_Data!F369</f>
        <v>SMS/ Tele-Out</v>
      </c>
      <c r="J369" t="str">
        <f>Raw_Data!G369</f>
        <v>Database Activity(Teleout/SMS)</v>
      </c>
      <c r="K369" t="str">
        <f>IFERROR(VLOOKUP(J369,Source_Assumptions!$A:$C,2,0),"Unmapped")</f>
        <v>Outbound/Database</v>
      </c>
      <c r="L369" t="str">
        <f>Raw_Data!H369</f>
        <v>5TH GEN CITY PE</v>
      </c>
      <c r="M369" t="str">
        <f>IFERROR(VLOOKUP(L369,Model_Assumptions!$A:$D,2,0),"Unmapped")</f>
        <v>Mid-size Sedan</v>
      </c>
      <c r="N369" t="str">
        <f>IFERROR(VLOOKUP(L369,Model_Assumptions!$A:$D,3,0),"Unmapped")</f>
        <v>Petrol</v>
      </c>
      <c r="O369">
        <f>IFERROR(VLOOKUP(L369,Model_Assumptions!$A:$D,4,0),0)</f>
        <v>1250000</v>
      </c>
      <c r="P369">
        <f>IFERROR(VLOOKUP(J369,Source_Assumptions!$A:$C,3,0),0)</f>
        <v>250</v>
      </c>
    </row>
    <row r="370" spans="1:16" x14ac:dyDescent="0.3">
      <c r="A370">
        <f>Raw_Data!A370</f>
        <v>369</v>
      </c>
      <c r="B370" s="2">
        <f>Raw_Data!B370</f>
        <v>44818.719942129603</v>
      </c>
      <c r="C370">
        <f>YEAR(Raw_Data!B370)</f>
        <v>2022</v>
      </c>
      <c r="D370" t="str">
        <f>IF(MONTH(Raw_Data!B370)&gt;=4,YEAR(Raw_Data!B370)&amp;"-"&amp;RIGHT(YEAR(Raw_Data!B370)+1,2),YEAR(Raw_Data!B370)-1&amp;"-"&amp;RIGHT(YEAR(Raw_Data!B370),2))</f>
        <v>2022-23</v>
      </c>
      <c r="E370" t="str">
        <f>"Q"&amp;ROUNDUP(MONTH(Raw_Data!B370)/3,0)</f>
        <v>Q3</v>
      </c>
      <c r="F370" t="str">
        <f>TEXT(Raw_Data!B370,"mmm")</f>
        <v>Sep</v>
      </c>
      <c r="G370" t="str">
        <f>TEXT(Raw_Data!B370,"ddd")</f>
        <v>Wed</v>
      </c>
      <c r="H370" t="str">
        <f>Raw_Data!D370</f>
        <v>Invoiced</v>
      </c>
      <c r="I370" t="str">
        <f>Raw_Data!F370</f>
        <v>SMS/ Tele-Out</v>
      </c>
      <c r="J370" t="str">
        <f>Raw_Data!G370</f>
        <v>Database Activity(Teleout/SMS)</v>
      </c>
      <c r="K370" t="str">
        <f>IFERROR(VLOOKUP(J370,Source_Assumptions!$A:$C,2,0),"Unmapped")</f>
        <v>Outbound/Database</v>
      </c>
      <c r="L370" t="str">
        <f>Raw_Data!H370</f>
        <v>5TH GEN CITY PE</v>
      </c>
      <c r="M370" t="str">
        <f>IFERROR(VLOOKUP(L370,Model_Assumptions!$A:$D,2,0),"Unmapped")</f>
        <v>Mid-size Sedan</v>
      </c>
      <c r="N370" t="str">
        <f>IFERROR(VLOOKUP(L370,Model_Assumptions!$A:$D,3,0),"Unmapped")</f>
        <v>Petrol</v>
      </c>
      <c r="O370">
        <f>IFERROR(VLOOKUP(L370,Model_Assumptions!$A:$D,4,0),0)</f>
        <v>1250000</v>
      </c>
      <c r="P370">
        <f>IFERROR(VLOOKUP(J370,Source_Assumptions!$A:$C,3,0),0)</f>
        <v>250</v>
      </c>
    </row>
    <row r="371" spans="1:16" x14ac:dyDescent="0.3">
      <c r="A371">
        <f>Raw_Data!A371</f>
        <v>370</v>
      </c>
      <c r="B371" s="2">
        <f>Raw_Data!B371</f>
        <v>44819.554131944496</v>
      </c>
      <c r="C371">
        <f>YEAR(Raw_Data!B371)</f>
        <v>2022</v>
      </c>
      <c r="D371" t="str">
        <f>IF(MONTH(Raw_Data!B371)&gt;=4,YEAR(Raw_Data!B371)&amp;"-"&amp;RIGHT(YEAR(Raw_Data!B371)+1,2),YEAR(Raw_Data!B371)-1&amp;"-"&amp;RIGHT(YEAR(Raw_Data!B371),2))</f>
        <v>2022-23</v>
      </c>
      <c r="E371" t="str">
        <f>"Q"&amp;ROUNDUP(MONTH(Raw_Data!B371)/3,0)</f>
        <v>Q3</v>
      </c>
      <c r="F371" t="str">
        <f>TEXT(Raw_Data!B371,"mmm")</f>
        <v>Sep</v>
      </c>
      <c r="G371" t="str">
        <f>TEXT(Raw_Data!B371,"ddd")</f>
        <v>Thu</v>
      </c>
      <c r="H371" t="str">
        <f>Raw_Data!D371</f>
        <v>Invoiced</v>
      </c>
      <c r="I371" t="str">
        <f>Raw_Data!F371</f>
        <v>Walk-in Showroom</v>
      </c>
      <c r="J371" t="str">
        <f>Raw_Data!G371</f>
        <v>Adver. (TVC/Print/Hoarding/FM)</v>
      </c>
      <c r="K371" t="str">
        <f>IFERROR(VLOOKUP(J371,Source_Assumptions!$A:$C,2,0),"Unmapped")</f>
        <v>Traditional Advertising</v>
      </c>
      <c r="L371" t="str">
        <f>Raw_Data!H371</f>
        <v>AMAZE Petrol</v>
      </c>
      <c r="M371" t="str">
        <f>IFERROR(VLOOKUP(L371,Model_Assumptions!$A:$D,2,0),"Unmapped")</f>
        <v>Sub-4m Sedan</v>
      </c>
      <c r="N371" t="str">
        <f>IFERROR(VLOOKUP(L371,Model_Assumptions!$A:$D,3,0),"Unmapped")</f>
        <v>Petrol</v>
      </c>
      <c r="O371">
        <f>IFERROR(VLOOKUP(L371,Model_Assumptions!$A:$D,4,0),0)</f>
        <v>850000</v>
      </c>
      <c r="P371">
        <f>IFERROR(VLOOKUP(J371,Source_Assumptions!$A:$C,3,0),0)</f>
        <v>1200</v>
      </c>
    </row>
    <row r="372" spans="1:16" x14ac:dyDescent="0.3">
      <c r="A372">
        <f>Raw_Data!A372</f>
        <v>371</v>
      </c>
      <c r="B372" s="2">
        <f>Raw_Data!B372</f>
        <v>44820.737083333297</v>
      </c>
      <c r="C372">
        <f>YEAR(Raw_Data!B372)</f>
        <v>2022</v>
      </c>
      <c r="D372" t="str">
        <f>IF(MONTH(Raw_Data!B372)&gt;=4,YEAR(Raw_Data!B372)&amp;"-"&amp;RIGHT(YEAR(Raw_Data!B372)+1,2),YEAR(Raw_Data!B372)-1&amp;"-"&amp;RIGHT(YEAR(Raw_Data!B372),2))</f>
        <v>2022-23</v>
      </c>
      <c r="E372" t="str">
        <f>"Q"&amp;ROUNDUP(MONTH(Raw_Data!B372)/3,0)</f>
        <v>Q3</v>
      </c>
      <c r="F372" t="str">
        <f>TEXT(Raw_Data!B372,"mmm")</f>
        <v>Sep</v>
      </c>
      <c r="G372" t="str">
        <f>TEXT(Raw_Data!B372,"ddd")</f>
        <v>Fri</v>
      </c>
      <c r="H372" t="str">
        <f>Raw_Data!D372</f>
        <v>Invoiced</v>
      </c>
      <c r="I372" t="str">
        <f>Raw_Data!F372</f>
        <v>Web Lead</v>
      </c>
      <c r="J372" t="str">
        <f>Raw_Data!G372</f>
        <v>Web_CarDekho</v>
      </c>
      <c r="K372" t="str">
        <f>IFERROR(VLOOKUP(J372,Source_Assumptions!$A:$C,2,0),"Unmapped")</f>
        <v>Digital - Aggregator (Paid)</v>
      </c>
      <c r="L372" t="str">
        <f>Raw_Data!H372</f>
        <v>AMAZE Petrol</v>
      </c>
      <c r="M372" t="str">
        <f>IFERROR(VLOOKUP(L372,Model_Assumptions!$A:$D,2,0),"Unmapped")</f>
        <v>Sub-4m Sedan</v>
      </c>
      <c r="N372" t="str">
        <f>IFERROR(VLOOKUP(L372,Model_Assumptions!$A:$D,3,0),"Unmapped")</f>
        <v>Petrol</v>
      </c>
      <c r="O372">
        <f>IFERROR(VLOOKUP(L372,Model_Assumptions!$A:$D,4,0),0)</f>
        <v>850000</v>
      </c>
      <c r="P372">
        <f>IFERROR(VLOOKUP(J372,Source_Assumptions!$A:$C,3,0),0)</f>
        <v>900</v>
      </c>
    </row>
    <row r="373" spans="1:16" x14ac:dyDescent="0.3">
      <c r="A373">
        <f>Raw_Data!A373</f>
        <v>372</v>
      </c>
      <c r="B373" s="2">
        <f>Raw_Data!B373</f>
        <v>44820.742152777799</v>
      </c>
      <c r="C373">
        <f>YEAR(Raw_Data!B373)</f>
        <v>2022</v>
      </c>
      <c r="D373" t="str">
        <f>IF(MONTH(Raw_Data!B373)&gt;=4,YEAR(Raw_Data!B373)&amp;"-"&amp;RIGHT(YEAR(Raw_Data!B373)+1,2),YEAR(Raw_Data!B373)-1&amp;"-"&amp;RIGHT(YEAR(Raw_Data!B373),2))</f>
        <v>2022-23</v>
      </c>
      <c r="E373" t="str">
        <f>"Q"&amp;ROUNDUP(MONTH(Raw_Data!B373)/3,0)</f>
        <v>Q3</v>
      </c>
      <c r="F373" t="str">
        <f>TEXT(Raw_Data!B373,"mmm")</f>
        <v>Sep</v>
      </c>
      <c r="G373" t="str">
        <f>TEXT(Raw_Data!B373,"ddd")</f>
        <v>Fri</v>
      </c>
      <c r="H373" t="str">
        <f>Raw_Data!D373</f>
        <v>Invoiced</v>
      </c>
      <c r="I373" t="str">
        <f>Raw_Data!F373</f>
        <v>Tele-in</v>
      </c>
      <c r="J373" t="str">
        <f>Raw_Data!G373</f>
        <v>Dealer Webpage Tele-In</v>
      </c>
      <c r="K373" t="str">
        <f>IFERROR(VLOOKUP(J373,Source_Assumptions!$A:$C,2,0),"Unmapped")</f>
        <v>Digital - Owned</v>
      </c>
      <c r="L373" t="str">
        <f>Raw_Data!H373</f>
        <v>AMAZE Petrol</v>
      </c>
      <c r="M373" t="str">
        <f>IFERROR(VLOOKUP(L373,Model_Assumptions!$A:$D,2,0),"Unmapped")</f>
        <v>Sub-4m Sedan</v>
      </c>
      <c r="N373" t="str">
        <f>IFERROR(VLOOKUP(L373,Model_Assumptions!$A:$D,3,0),"Unmapped")</f>
        <v>Petrol</v>
      </c>
      <c r="O373">
        <f>IFERROR(VLOOKUP(L373,Model_Assumptions!$A:$D,4,0),0)</f>
        <v>850000</v>
      </c>
      <c r="P373">
        <f>IFERROR(VLOOKUP(J373,Source_Assumptions!$A:$C,3,0),0)</f>
        <v>300</v>
      </c>
    </row>
    <row r="374" spans="1:16" x14ac:dyDescent="0.3">
      <c r="A374">
        <f>Raw_Data!A374</f>
        <v>373</v>
      </c>
      <c r="B374" s="2">
        <f>Raw_Data!B374</f>
        <v>44821.741307870398</v>
      </c>
      <c r="C374">
        <f>YEAR(Raw_Data!B374)</f>
        <v>2022</v>
      </c>
      <c r="D374" t="str">
        <f>IF(MONTH(Raw_Data!B374)&gt;=4,YEAR(Raw_Data!B374)&amp;"-"&amp;RIGHT(YEAR(Raw_Data!B374)+1,2),YEAR(Raw_Data!B374)-1&amp;"-"&amp;RIGHT(YEAR(Raw_Data!B374),2))</f>
        <v>2022-23</v>
      </c>
      <c r="E374" t="str">
        <f>"Q"&amp;ROUNDUP(MONTH(Raw_Data!B374)/3,0)</f>
        <v>Q3</v>
      </c>
      <c r="F374" t="str">
        <f>TEXT(Raw_Data!B374,"mmm")</f>
        <v>Sep</v>
      </c>
      <c r="G374" t="str">
        <f>TEXT(Raw_Data!B374,"ddd")</f>
        <v>Sat</v>
      </c>
      <c r="H374" t="str">
        <f>Raw_Data!D374</f>
        <v>Invoiced</v>
      </c>
      <c r="I374" t="str">
        <f>Raw_Data!F374</f>
        <v>Tele-in</v>
      </c>
      <c r="J374" t="str">
        <f>Raw_Data!G374</f>
        <v>Dealer Webpage Tele-In</v>
      </c>
      <c r="K374" t="str">
        <f>IFERROR(VLOOKUP(J374,Source_Assumptions!$A:$C,2,0),"Unmapped")</f>
        <v>Digital - Owned</v>
      </c>
      <c r="L374" t="str">
        <f>Raw_Data!H374</f>
        <v>AMAZE Petrol</v>
      </c>
      <c r="M374" t="str">
        <f>IFERROR(VLOOKUP(L374,Model_Assumptions!$A:$D,2,0),"Unmapped")</f>
        <v>Sub-4m Sedan</v>
      </c>
      <c r="N374" t="str">
        <f>IFERROR(VLOOKUP(L374,Model_Assumptions!$A:$D,3,0),"Unmapped")</f>
        <v>Petrol</v>
      </c>
      <c r="O374">
        <f>IFERROR(VLOOKUP(L374,Model_Assumptions!$A:$D,4,0),0)</f>
        <v>850000</v>
      </c>
      <c r="P374">
        <f>IFERROR(VLOOKUP(J374,Source_Assumptions!$A:$C,3,0),0)</f>
        <v>300</v>
      </c>
    </row>
    <row r="375" spans="1:16" x14ac:dyDescent="0.3">
      <c r="A375">
        <f>Raw_Data!A375</f>
        <v>374</v>
      </c>
      <c r="B375" s="2">
        <f>Raw_Data!B375</f>
        <v>44824.782291666699</v>
      </c>
      <c r="C375">
        <f>YEAR(Raw_Data!B375)</f>
        <v>2022</v>
      </c>
      <c r="D375" t="str">
        <f>IF(MONTH(Raw_Data!B375)&gt;=4,YEAR(Raw_Data!B375)&amp;"-"&amp;RIGHT(YEAR(Raw_Data!B375)+1,2),YEAR(Raw_Data!B375)-1&amp;"-"&amp;RIGHT(YEAR(Raw_Data!B375),2))</f>
        <v>2022-23</v>
      </c>
      <c r="E375" t="str">
        <f>"Q"&amp;ROUNDUP(MONTH(Raw_Data!B375)/3,0)</f>
        <v>Q3</v>
      </c>
      <c r="F375" t="str">
        <f>TEXT(Raw_Data!B375,"mmm")</f>
        <v>Sep</v>
      </c>
      <c r="G375" t="str">
        <f>TEXT(Raw_Data!B375,"ddd")</f>
        <v>Tue</v>
      </c>
      <c r="H375" t="str">
        <f>Raw_Data!D375</f>
        <v>Invoiced</v>
      </c>
      <c r="I375" t="str">
        <f>Raw_Data!F375</f>
        <v>Walk-in Showroom</v>
      </c>
      <c r="J375" t="str">
        <f>Raw_Data!G375</f>
        <v>Adver. (TVC/Print/Hoarding/FM)</v>
      </c>
      <c r="K375" t="str">
        <f>IFERROR(VLOOKUP(J375,Source_Assumptions!$A:$C,2,0),"Unmapped")</f>
        <v>Traditional Advertising</v>
      </c>
      <c r="L375" t="str">
        <f>Raw_Data!H375</f>
        <v>5TH GEN CITY PE</v>
      </c>
      <c r="M375" t="str">
        <f>IFERROR(VLOOKUP(L375,Model_Assumptions!$A:$D,2,0),"Unmapped")</f>
        <v>Mid-size Sedan</v>
      </c>
      <c r="N375" t="str">
        <f>IFERROR(VLOOKUP(L375,Model_Assumptions!$A:$D,3,0),"Unmapped")</f>
        <v>Petrol</v>
      </c>
      <c r="O375">
        <f>IFERROR(VLOOKUP(L375,Model_Assumptions!$A:$D,4,0),0)</f>
        <v>1250000</v>
      </c>
      <c r="P375">
        <f>IFERROR(VLOOKUP(J375,Source_Assumptions!$A:$C,3,0),0)</f>
        <v>1200</v>
      </c>
    </row>
    <row r="376" spans="1:16" x14ac:dyDescent="0.3">
      <c r="A376">
        <f>Raw_Data!A376</f>
        <v>375</v>
      </c>
      <c r="B376" s="2">
        <f>Raw_Data!B376</f>
        <v>44825.559374999997</v>
      </c>
      <c r="C376">
        <f>YEAR(Raw_Data!B376)</f>
        <v>2022</v>
      </c>
      <c r="D376" t="str">
        <f>IF(MONTH(Raw_Data!B376)&gt;=4,YEAR(Raw_Data!B376)&amp;"-"&amp;RIGHT(YEAR(Raw_Data!B376)+1,2),YEAR(Raw_Data!B376)-1&amp;"-"&amp;RIGHT(YEAR(Raw_Data!B376),2))</f>
        <v>2022-23</v>
      </c>
      <c r="E376" t="str">
        <f>"Q"&amp;ROUNDUP(MONTH(Raw_Data!B376)/3,0)</f>
        <v>Q3</v>
      </c>
      <c r="F376" t="str">
        <f>TEXT(Raw_Data!B376,"mmm")</f>
        <v>Sep</v>
      </c>
      <c r="G376" t="str">
        <f>TEXT(Raw_Data!B376,"ddd")</f>
        <v>Wed</v>
      </c>
      <c r="H376" t="str">
        <f>Raw_Data!D376</f>
        <v>Invoiced</v>
      </c>
      <c r="I376" t="str">
        <f>Raw_Data!F376</f>
        <v>SMS/ Tele-Out</v>
      </c>
      <c r="J376" t="str">
        <f>Raw_Data!G376</f>
        <v>I-BAP Referral</v>
      </c>
      <c r="K376" t="str">
        <f>IFERROR(VLOOKUP(J376,Source_Assumptions!$A:$C,2,0),"Unmapped")</f>
        <v>Referral (Insurance/Banking Partner)</v>
      </c>
      <c r="L376" t="str">
        <f>Raw_Data!H376</f>
        <v>AMAZE Petrol</v>
      </c>
      <c r="M376" t="str">
        <f>IFERROR(VLOOKUP(L376,Model_Assumptions!$A:$D,2,0),"Unmapped")</f>
        <v>Sub-4m Sedan</v>
      </c>
      <c r="N376" t="str">
        <f>IFERROR(VLOOKUP(L376,Model_Assumptions!$A:$D,3,0),"Unmapped")</f>
        <v>Petrol</v>
      </c>
      <c r="O376">
        <f>IFERROR(VLOOKUP(L376,Model_Assumptions!$A:$D,4,0),0)</f>
        <v>850000</v>
      </c>
      <c r="P376">
        <f>IFERROR(VLOOKUP(J376,Source_Assumptions!$A:$C,3,0),0)</f>
        <v>150</v>
      </c>
    </row>
    <row r="377" spans="1:16" x14ac:dyDescent="0.3">
      <c r="A377">
        <f>Raw_Data!A377</f>
        <v>376</v>
      </c>
      <c r="B377" s="2">
        <f>Raw_Data!B377</f>
        <v>44827.4874768519</v>
      </c>
      <c r="C377">
        <f>YEAR(Raw_Data!B377)</f>
        <v>2022</v>
      </c>
      <c r="D377" t="str">
        <f>IF(MONTH(Raw_Data!B377)&gt;=4,YEAR(Raw_Data!B377)&amp;"-"&amp;RIGHT(YEAR(Raw_Data!B377)+1,2),YEAR(Raw_Data!B377)-1&amp;"-"&amp;RIGHT(YEAR(Raw_Data!B377),2))</f>
        <v>2022-23</v>
      </c>
      <c r="E377" t="str">
        <f>"Q"&amp;ROUNDUP(MONTH(Raw_Data!B377)/3,0)</f>
        <v>Q3</v>
      </c>
      <c r="F377" t="str">
        <f>TEXT(Raw_Data!B377,"mmm")</f>
        <v>Sep</v>
      </c>
      <c r="G377" t="str">
        <f>TEXT(Raw_Data!B377,"ddd")</f>
        <v>Fri</v>
      </c>
      <c r="H377" t="str">
        <f>Raw_Data!D377</f>
        <v>Invoiced</v>
      </c>
      <c r="I377" t="str">
        <f>Raw_Data!F377</f>
        <v>SMS/ Tele-Out</v>
      </c>
      <c r="J377" t="str">
        <f>Raw_Data!G377</f>
        <v>Database Activity(Teleout/SMS)</v>
      </c>
      <c r="K377" t="str">
        <f>IFERROR(VLOOKUP(J377,Source_Assumptions!$A:$C,2,0),"Unmapped")</f>
        <v>Outbound/Database</v>
      </c>
      <c r="L377" t="str">
        <f>Raw_Data!H377</f>
        <v>AMAZE Petrol</v>
      </c>
      <c r="M377" t="str">
        <f>IFERROR(VLOOKUP(L377,Model_Assumptions!$A:$D,2,0),"Unmapped")</f>
        <v>Sub-4m Sedan</v>
      </c>
      <c r="N377" t="str">
        <f>IFERROR(VLOOKUP(L377,Model_Assumptions!$A:$D,3,0),"Unmapped")</f>
        <v>Petrol</v>
      </c>
      <c r="O377">
        <f>IFERROR(VLOOKUP(L377,Model_Assumptions!$A:$D,4,0),0)</f>
        <v>850000</v>
      </c>
      <c r="P377">
        <f>IFERROR(VLOOKUP(J377,Source_Assumptions!$A:$C,3,0),0)</f>
        <v>250</v>
      </c>
    </row>
    <row r="378" spans="1:16" x14ac:dyDescent="0.3">
      <c r="A378">
        <f>Raw_Data!A378</f>
        <v>377</v>
      </c>
      <c r="B378" s="2">
        <f>Raw_Data!B378</f>
        <v>44828.478275463</v>
      </c>
      <c r="C378">
        <f>YEAR(Raw_Data!B378)</f>
        <v>2022</v>
      </c>
      <c r="D378" t="str">
        <f>IF(MONTH(Raw_Data!B378)&gt;=4,YEAR(Raw_Data!B378)&amp;"-"&amp;RIGHT(YEAR(Raw_Data!B378)+1,2),YEAR(Raw_Data!B378)-1&amp;"-"&amp;RIGHT(YEAR(Raw_Data!B378),2))</f>
        <v>2022-23</v>
      </c>
      <c r="E378" t="str">
        <f>"Q"&amp;ROUNDUP(MONTH(Raw_Data!B378)/3,0)</f>
        <v>Q3</v>
      </c>
      <c r="F378" t="str">
        <f>TEXT(Raw_Data!B378,"mmm")</f>
        <v>Sep</v>
      </c>
      <c r="G378" t="str">
        <f>TEXT(Raw_Data!B378,"ddd")</f>
        <v>Sat</v>
      </c>
      <c r="H378" t="str">
        <f>Raw_Data!D378</f>
        <v>Invoiced</v>
      </c>
      <c r="I378" t="str">
        <f>Raw_Data!F378</f>
        <v>Tele-in</v>
      </c>
      <c r="J378" t="str">
        <f>Raw_Data!G378</f>
        <v>Dealer Webpage Tele-In</v>
      </c>
      <c r="K378" t="str">
        <f>IFERROR(VLOOKUP(J378,Source_Assumptions!$A:$C,2,0),"Unmapped")</f>
        <v>Digital - Owned</v>
      </c>
      <c r="L378" t="str">
        <f>Raw_Data!H378</f>
        <v>5TH GEN CITY PE</v>
      </c>
      <c r="M378" t="str">
        <f>IFERROR(VLOOKUP(L378,Model_Assumptions!$A:$D,2,0),"Unmapped")</f>
        <v>Mid-size Sedan</v>
      </c>
      <c r="N378" t="str">
        <f>IFERROR(VLOOKUP(L378,Model_Assumptions!$A:$D,3,0),"Unmapped")</f>
        <v>Petrol</v>
      </c>
      <c r="O378">
        <f>IFERROR(VLOOKUP(L378,Model_Assumptions!$A:$D,4,0),0)</f>
        <v>1250000</v>
      </c>
      <c r="P378">
        <f>IFERROR(VLOOKUP(J378,Source_Assumptions!$A:$C,3,0),0)</f>
        <v>300</v>
      </c>
    </row>
    <row r="379" spans="1:16" x14ac:dyDescent="0.3">
      <c r="A379">
        <f>Raw_Data!A379</f>
        <v>378</v>
      </c>
      <c r="B379" s="2">
        <f>Raw_Data!B379</f>
        <v>44828.573865740698</v>
      </c>
      <c r="C379">
        <f>YEAR(Raw_Data!B379)</f>
        <v>2022</v>
      </c>
      <c r="D379" t="str">
        <f>IF(MONTH(Raw_Data!B379)&gt;=4,YEAR(Raw_Data!B379)&amp;"-"&amp;RIGHT(YEAR(Raw_Data!B379)+1,2),YEAR(Raw_Data!B379)-1&amp;"-"&amp;RIGHT(YEAR(Raw_Data!B379),2))</f>
        <v>2022-23</v>
      </c>
      <c r="E379" t="str">
        <f>"Q"&amp;ROUNDUP(MONTH(Raw_Data!B379)/3,0)</f>
        <v>Q3</v>
      </c>
      <c r="F379" t="str">
        <f>TEXT(Raw_Data!B379,"mmm")</f>
        <v>Sep</v>
      </c>
      <c r="G379" t="str">
        <f>TEXT(Raw_Data!B379,"ddd")</f>
        <v>Sat</v>
      </c>
      <c r="H379" t="str">
        <f>Raw_Data!D379</f>
        <v>Invoiced</v>
      </c>
      <c r="I379" t="str">
        <f>Raw_Data!F379</f>
        <v>Tele-in</v>
      </c>
      <c r="J379" t="str">
        <f>Raw_Data!G379</f>
        <v>Adver. (TVC/Print/Hoarding/FM)</v>
      </c>
      <c r="K379" t="str">
        <f>IFERROR(VLOOKUP(J379,Source_Assumptions!$A:$C,2,0),"Unmapped")</f>
        <v>Traditional Advertising</v>
      </c>
      <c r="L379" t="str">
        <f>Raw_Data!H379</f>
        <v>AMAZE Petrol</v>
      </c>
      <c r="M379" t="str">
        <f>IFERROR(VLOOKUP(L379,Model_Assumptions!$A:$D,2,0),"Unmapped")</f>
        <v>Sub-4m Sedan</v>
      </c>
      <c r="N379" t="str">
        <f>IFERROR(VLOOKUP(L379,Model_Assumptions!$A:$D,3,0),"Unmapped")</f>
        <v>Petrol</v>
      </c>
      <c r="O379">
        <f>IFERROR(VLOOKUP(L379,Model_Assumptions!$A:$D,4,0),0)</f>
        <v>850000</v>
      </c>
      <c r="P379">
        <f>IFERROR(VLOOKUP(J379,Source_Assumptions!$A:$C,3,0),0)</f>
        <v>1200</v>
      </c>
    </row>
    <row r="380" spans="1:16" x14ac:dyDescent="0.3">
      <c r="A380">
        <f>Raw_Data!A380</f>
        <v>379</v>
      </c>
      <c r="B380" s="2">
        <f>Raw_Data!B380</f>
        <v>44830.507650462998</v>
      </c>
      <c r="C380">
        <f>YEAR(Raw_Data!B380)</f>
        <v>2022</v>
      </c>
      <c r="D380" t="str">
        <f>IF(MONTH(Raw_Data!B380)&gt;=4,YEAR(Raw_Data!B380)&amp;"-"&amp;RIGHT(YEAR(Raw_Data!B380)+1,2),YEAR(Raw_Data!B380)-1&amp;"-"&amp;RIGHT(YEAR(Raw_Data!B380),2))</f>
        <v>2022-23</v>
      </c>
      <c r="E380" t="str">
        <f>"Q"&amp;ROUNDUP(MONTH(Raw_Data!B380)/3,0)</f>
        <v>Q3</v>
      </c>
      <c r="F380" t="str">
        <f>TEXT(Raw_Data!B380,"mmm")</f>
        <v>Sep</v>
      </c>
      <c r="G380" t="str">
        <f>TEXT(Raw_Data!B380,"ddd")</f>
        <v>Mon</v>
      </c>
      <c r="H380" t="str">
        <f>Raw_Data!D380</f>
        <v>Invoiced</v>
      </c>
      <c r="I380" t="str">
        <f>Raw_Data!F380</f>
        <v>SMS/ Tele-Out</v>
      </c>
      <c r="J380" t="str">
        <f>Raw_Data!G380</f>
        <v>Database Activity(Teleout/SMS)</v>
      </c>
      <c r="K380" t="str">
        <f>IFERROR(VLOOKUP(J380,Source_Assumptions!$A:$C,2,0),"Unmapped")</f>
        <v>Outbound/Database</v>
      </c>
      <c r="L380" t="str">
        <f>Raw_Data!H380</f>
        <v>JAZZ PE</v>
      </c>
      <c r="M380" t="str">
        <f>IFERROR(VLOOKUP(L380,Model_Assumptions!$A:$D,2,0),"Unmapped")</f>
        <v>Hatchback</v>
      </c>
      <c r="N380" t="str">
        <f>IFERROR(VLOOKUP(L380,Model_Assumptions!$A:$D,3,0),"Unmapped")</f>
        <v>Petrol</v>
      </c>
      <c r="O380">
        <f>IFERROR(VLOOKUP(L380,Model_Assumptions!$A:$D,4,0),0)</f>
        <v>800000</v>
      </c>
      <c r="P380">
        <f>IFERROR(VLOOKUP(J380,Source_Assumptions!$A:$C,3,0),0)</f>
        <v>250</v>
      </c>
    </row>
    <row r="381" spans="1:16" x14ac:dyDescent="0.3">
      <c r="A381">
        <f>Raw_Data!A381</f>
        <v>380</v>
      </c>
      <c r="B381" s="2">
        <f>Raw_Data!B381</f>
        <v>44830.726724537002</v>
      </c>
      <c r="C381">
        <f>YEAR(Raw_Data!B381)</f>
        <v>2022</v>
      </c>
      <c r="D381" t="str">
        <f>IF(MONTH(Raw_Data!B381)&gt;=4,YEAR(Raw_Data!B381)&amp;"-"&amp;RIGHT(YEAR(Raw_Data!B381)+1,2),YEAR(Raw_Data!B381)-1&amp;"-"&amp;RIGHT(YEAR(Raw_Data!B381),2))</f>
        <v>2022-23</v>
      </c>
      <c r="E381" t="str">
        <f>"Q"&amp;ROUNDUP(MONTH(Raw_Data!B381)/3,0)</f>
        <v>Q3</v>
      </c>
      <c r="F381" t="str">
        <f>TEXT(Raw_Data!B381,"mmm")</f>
        <v>Sep</v>
      </c>
      <c r="G381" t="str">
        <f>TEXT(Raw_Data!B381,"ddd")</f>
        <v>Mon</v>
      </c>
      <c r="H381" t="str">
        <f>Raw_Data!D381</f>
        <v>Invoiced</v>
      </c>
      <c r="I381" t="str">
        <f>Raw_Data!F381</f>
        <v>Tele-in</v>
      </c>
      <c r="J381" t="str">
        <f>Raw_Data!G381</f>
        <v>Dealer Webpage Tele-In</v>
      </c>
      <c r="K381" t="str">
        <f>IFERROR(VLOOKUP(J381,Source_Assumptions!$A:$C,2,0),"Unmapped")</f>
        <v>Digital - Owned</v>
      </c>
      <c r="L381" t="str">
        <f>Raw_Data!H381</f>
        <v>AMAZE Petrol</v>
      </c>
      <c r="M381" t="str">
        <f>IFERROR(VLOOKUP(L381,Model_Assumptions!$A:$D,2,0),"Unmapped")</f>
        <v>Sub-4m Sedan</v>
      </c>
      <c r="N381" t="str">
        <f>IFERROR(VLOOKUP(L381,Model_Assumptions!$A:$D,3,0),"Unmapped")</f>
        <v>Petrol</v>
      </c>
      <c r="O381">
        <f>IFERROR(VLOOKUP(L381,Model_Assumptions!$A:$D,4,0),0)</f>
        <v>850000</v>
      </c>
      <c r="P381">
        <f>IFERROR(VLOOKUP(J381,Source_Assumptions!$A:$C,3,0),0)</f>
        <v>300</v>
      </c>
    </row>
    <row r="382" spans="1:16" x14ac:dyDescent="0.3">
      <c r="A382">
        <f>Raw_Data!A382</f>
        <v>381</v>
      </c>
      <c r="B382" s="2">
        <f>Raw_Data!B382</f>
        <v>44831.6268865741</v>
      </c>
      <c r="C382">
        <f>YEAR(Raw_Data!B382)</f>
        <v>2022</v>
      </c>
      <c r="D382" t="str">
        <f>IF(MONTH(Raw_Data!B382)&gt;=4,YEAR(Raw_Data!B382)&amp;"-"&amp;RIGHT(YEAR(Raw_Data!B382)+1,2),YEAR(Raw_Data!B382)-1&amp;"-"&amp;RIGHT(YEAR(Raw_Data!B382),2))</f>
        <v>2022-23</v>
      </c>
      <c r="E382" t="str">
        <f>"Q"&amp;ROUNDUP(MONTH(Raw_Data!B382)/3,0)</f>
        <v>Q3</v>
      </c>
      <c r="F382" t="str">
        <f>TEXT(Raw_Data!B382,"mmm")</f>
        <v>Sep</v>
      </c>
      <c r="G382" t="str">
        <f>TEXT(Raw_Data!B382,"ddd")</f>
        <v>Tue</v>
      </c>
      <c r="H382" t="str">
        <f>Raw_Data!D382</f>
        <v>Invoiced</v>
      </c>
      <c r="I382" t="str">
        <f>Raw_Data!F382</f>
        <v>Tele-in</v>
      </c>
      <c r="J382" t="str">
        <f>Raw_Data!G382</f>
        <v>Referral-CAM</v>
      </c>
      <c r="K382" t="str">
        <f>IFERROR(VLOOKUP(J382,Source_Assumptions!$A:$C,2,0),"Unmapped")</f>
        <v>Referral</v>
      </c>
      <c r="L382" t="str">
        <f>Raw_Data!H382</f>
        <v>AMAZE Petrol</v>
      </c>
      <c r="M382" t="str">
        <f>IFERROR(VLOOKUP(L382,Model_Assumptions!$A:$D,2,0),"Unmapped")</f>
        <v>Sub-4m Sedan</v>
      </c>
      <c r="N382" t="str">
        <f>IFERROR(VLOOKUP(L382,Model_Assumptions!$A:$D,3,0),"Unmapped")</f>
        <v>Petrol</v>
      </c>
      <c r="O382">
        <f>IFERROR(VLOOKUP(L382,Model_Assumptions!$A:$D,4,0),0)</f>
        <v>850000</v>
      </c>
      <c r="P382">
        <f>IFERROR(VLOOKUP(J382,Source_Assumptions!$A:$C,3,0),0)</f>
        <v>150</v>
      </c>
    </row>
    <row r="383" spans="1:16" x14ac:dyDescent="0.3">
      <c r="A383">
        <f>Raw_Data!A383</f>
        <v>382</v>
      </c>
      <c r="B383" s="2">
        <f>Raw_Data!B383</f>
        <v>44831.730624999997</v>
      </c>
      <c r="C383">
        <f>YEAR(Raw_Data!B383)</f>
        <v>2022</v>
      </c>
      <c r="D383" t="str">
        <f>IF(MONTH(Raw_Data!B383)&gt;=4,YEAR(Raw_Data!B383)&amp;"-"&amp;RIGHT(YEAR(Raw_Data!B383)+1,2),YEAR(Raw_Data!B383)-1&amp;"-"&amp;RIGHT(YEAR(Raw_Data!B383),2))</f>
        <v>2022-23</v>
      </c>
      <c r="E383" t="str">
        <f>"Q"&amp;ROUNDUP(MONTH(Raw_Data!B383)/3,0)</f>
        <v>Q3</v>
      </c>
      <c r="F383" t="str">
        <f>TEXT(Raw_Data!B383,"mmm")</f>
        <v>Sep</v>
      </c>
      <c r="G383" t="str">
        <f>TEXT(Raw_Data!B383,"ddd")</f>
        <v>Tue</v>
      </c>
      <c r="H383" t="str">
        <f>Raw_Data!D383</f>
        <v>Invoiced</v>
      </c>
      <c r="I383" t="str">
        <f>Raw_Data!F383</f>
        <v>Tele-in</v>
      </c>
      <c r="J383" t="str">
        <f>Raw_Data!G383</f>
        <v>Dealer Webpage Tele-In</v>
      </c>
      <c r="K383" t="str">
        <f>IFERROR(VLOOKUP(J383,Source_Assumptions!$A:$C,2,0),"Unmapped")</f>
        <v>Digital - Owned</v>
      </c>
      <c r="L383" t="str">
        <f>Raw_Data!H383</f>
        <v>5TH GEN CITY PE</v>
      </c>
      <c r="M383" t="str">
        <f>IFERROR(VLOOKUP(L383,Model_Assumptions!$A:$D,2,0),"Unmapped")</f>
        <v>Mid-size Sedan</v>
      </c>
      <c r="N383" t="str">
        <f>IFERROR(VLOOKUP(L383,Model_Assumptions!$A:$D,3,0),"Unmapped")</f>
        <v>Petrol</v>
      </c>
      <c r="O383">
        <f>IFERROR(VLOOKUP(L383,Model_Assumptions!$A:$D,4,0),0)</f>
        <v>1250000</v>
      </c>
      <c r="P383">
        <f>IFERROR(VLOOKUP(J383,Source_Assumptions!$A:$C,3,0),0)</f>
        <v>300</v>
      </c>
    </row>
    <row r="384" spans="1:16" x14ac:dyDescent="0.3">
      <c r="A384">
        <f>Raw_Data!A384</f>
        <v>383</v>
      </c>
      <c r="B384" s="2">
        <f>Raw_Data!B384</f>
        <v>44831.750914351898</v>
      </c>
      <c r="C384">
        <f>YEAR(Raw_Data!B384)</f>
        <v>2022</v>
      </c>
      <c r="D384" t="str">
        <f>IF(MONTH(Raw_Data!B384)&gt;=4,YEAR(Raw_Data!B384)&amp;"-"&amp;RIGHT(YEAR(Raw_Data!B384)+1,2),YEAR(Raw_Data!B384)-1&amp;"-"&amp;RIGHT(YEAR(Raw_Data!B384),2))</f>
        <v>2022-23</v>
      </c>
      <c r="E384" t="str">
        <f>"Q"&amp;ROUNDUP(MONTH(Raw_Data!B384)/3,0)</f>
        <v>Q3</v>
      </c>
      <c r="F384" t="str">
        <f>TEXT(Raw_Data!B384,"mmm")</f>
        <v>Sep</v>
      </c>
      <c r="G384" t="str">
        <f>TEXT(Raw_Data!B384,"ddd")</f>
        <v>Tue</v>
      </c>
      <c r="H384" t="str">
        <f>Raw_Data!D384</f>
        <v>Invoiced</v>
      </c>
      <c r="I384" t="str">
        <f>Raw_Data!F384</f>
        <v>Web Lead</v>
      </c>
      <c r="J384" t="str">
        <f>Raw_Data!G384</f>
        <v>Web_Organic</v>
      </c>
      <c r="K384" t="str">
        <f>IFERROR(VLOOKUP(J384,Source_Assumptions!$A:$C,2,0),"Unmapped")</f>
        <v>Digital - Organic</v>
      </c>
      <c r="L384" t="str">
        <f>Raw_Data!H384</f>
        <v>AMAZE Petrol</v>
      </c>
      <c r="M384" t="str">
        <f>IFERROR(VLOOKUP(L384,Model_Assumptions!$A:$D,2,0),"Unmapped")</f>
        <v>Sub-4m Sedan</v>
      </c>
      <c r="N384" t="str">
        <f>IFERROR(VLOOKUP(L384,Model_Assumptions!$A:$D,3,0),"Unmapped")</f>
        <v>Petrol</v>
      </c>
      <c r="O384">
        <f>IFERROR(VLOOKUP(L384,Model_Assumptions!$A:$D,4,0),0)</f>
        <v>850000</v>
      </c>
      <c r="P384">
        <f>IFERROR(VLOOKUP(J384,Source_Assumptions!$A:$C,3,0),0)</f>
        <v>100</v>
      </c>
    </row>
    <row r="385" spans="1:16" x14ac:dyDescent="0.3">
      <c r="A385">
        <f>Raw_Data!A385</f>
        <v>384</v>
      </c>
      <c r="B385" s="2">
        <f>Raw_Data!B385</f>
        <v>44831.772118055596</v>
      </c>
      <c r="C385">
        <f>YEAR(Raw_Data!B385)</f>
        <v>2022</v>
      </c>
      <c r="D385" t="str">
        <f>IF(MONTH(Raw_Data!B385)&gt;=4,YEAR(Raw_Data!B385)&amp;"-"&amp;RIGHT(YEAR(Raw_Data!B385)+1,2),YEAR(Raw_Data!B385)-1&amp;"-"&amp;RIGHT(YEAR(Raw_Data!B385),2))</f>
        <v>2022-23</v>
      </c>
      <c r="E385" t="str">
        <f>"Q"&amp;ROUNDUP(MONTH(Raw_Data!B385)/3,0)</f>
        <v>Q3</v>
      </c>
      <c r="F385" t="str">
        <f>TEXT(Raw_Data!B385,"mmm")</f>
        <v>Sep</v>
      </c>
      <c r="G385" t="str">
        <f>TEXT(Raw_Data!B385,"ddd")</f>
        <v>Tue</v>
      </c>
      <c r="H385" t="str">
        <f>Raw_Data!D385</f>
        <v>Invoiced</v>
      </c>
      <c r="I385" t="str">
        <f>Raw_Data!F385</f>
        <v>SMS/ Tele-Out</v>
      </c>
      <c r="J385" t="str">
        <f>Raw_Data!G385</f>
        <v>Database Activity(Teleout/SMS)</v>
      </c>
      <c r="K385" t="str">
        <f>IFERROR(VLOOKUP(J385,Source_Assumptions!$A:$C,2,0),"Unmapped")</f>
        <v>Outbound/Database</v>
      </c>
      <c r="L385" t="str">
        <f>Raw_Data!H385</f>
        <v>AMAZE Petrol</v>
      </c>
      <c r="M385" t="str">
        <f>IFERROR(VLOOKUP(L385,Model_Assumptions!$A:$D,2,0),"Unmapped")</f>
        <v>Sub-4m Sedan</v>
      </c>
      <c r="N385" t="str">
        <f>IFERROR(VLOOKUP(L385,Model_Assumptions!$A:$D,3,0),"Unmapped")</f>
        <v>Petrol</v>
      </c>
      <c r="O385">
        <f>IFERROR(VLOOKUP(L385,Model_Assumptions!$A:$D,4,0),0)</f>
        <v>850000</v>
      </c>
      <c r="P385">
        <f>IFERROR(VLOOKUP(J385,Source_Assumptions!$A:$C,3,0),0)</f>
        <v>250</v>
      </c>
    </row>
    <row r="386" spans="1:16" x14ac:dyDescent="0.3">
      <c r="A386">
        <f>Raw_Data!A386</f>
        <v>385</v>
      </c>
      <c r="B386" s="2">
        <f>Raw_Data!B386</f>
        <v>44832.493900463</v>
      </c>
      <c r="C386">
        <f>YEAR(Raw_Data!B386)</f>
        <v>2022</v>
      </c>
      <c r="D386" t="str">
        <f>IF(MONTH(Raw_Data!B386)&gt;=4,YEAR(Raw_Data!B386)&amp;"-"&amp;RIGHT(YEAR(Raw_Data!B386)+1,2),YEAR(Raw_Data!B386)-1&amp;"-"&amp;RIGHT(YEAR(Raw_Data!B386),2))</f>
        <v>2022-23</v>
      </c>
      <c r="E386" t="str">
        <f>"Q"&amp;ROUNDUP(MONTH(Raw_Data!B386)/3,0)</f>
        <v>Q3</v>
      </c>
      <c r="F386" t="str">
        <f>TEXT(Raw_Data!B386,"mmm")</f>
        <v>Sep</v>
      </c>
      <c r="G386" t="str">
        <f>TEXT(Raw_Data!B386,"ddd")</f>
        <v>Wed</v>
      </c>
      <c r="H386" t="str">
        <f>Raw_Data!D386</f>
        <v>Invoiced</v>
      </c>
      <c r="I386" t="str">
        <f>Raw_Data!F386</f>
        <v>Walk-in Showroom</v>
      </c>
      <c r="J386" t="str">
        <f>Raw_Data!G386</f>
        <v>Adver. (TVC/Print/Hoarding/FM)</v>
      </c>
      <c r="K386" t="str">
        <f>IFERROR(VLOOKUP(J386,Source_Assumptions!$A:$C,2,0),"Unmapped")</f>
        <v>Traditional Advertising</v>
      </c>
      <c r="L386" t="str">
        <f>Raw_Data!H386</f>
        <v>CITY PE</v>
      </c>
      <c r="M386" t="str">
        <f>IFERROR(VLOOKUP(L386,Model_Assumptions!$A:$D,2,0),"Unmapped")</f>
        <v>Mid-size Sedan</v>
      </c>
      <c r="N386" t="str">
        <f>IFERROR(VLOOKUP(L386,Model_Assumptions!$A:$D,3,0),"Unmapped")</f>
        <v>Petrol</v>
      </c>
      <c r="O386">
        <f>IFERROR(VLOOKUP(L386,Model_Assumptions!$A:$D,4,0),0)</f>
        <v>1100000</v>
      </c>
      <c r="P386">
        <f>IFERROR(VLOOKUP(J386,Source_Assumptions!$A:$C,3,0),0)</f>
        <v>1200</v>
      </c>
    </row>
    <row r="387" spans="1:16" x14ac:dyDescent="0.3">
      <c r="A387">
        <f>Raw_Data!A387</f>
        <v>386</v>
      </c>
      <c r="B387" s="2">
        <f>Raw_Data!B387</f>
        <v>44832.691446759301</v>
      </c>
      <c r="C387">
        <f>YEAR(Raw_Data!B387)</f>
        <v>2022</v>
      </c>
      <c r="D387" t="str">
        <f>IF(MONTH(Raw_Data!B387)&gt;=4,YEAR(Raw_Data!B387)&amp;"-"&amp;RIGHT(YEAR(Raw_Data!B387)+1,2),YEAR(Raw_Data!B387)-1&amp;"-"&amp;RIGHT(YEAR(Raw_Data!B387),2))</f>
        <v>2022-23</v>
      </c>
      <c r="E387" t="str">
        <f>"Q"&amp;ROUNDUP(MONTH(Raw_Data!B387)/3,0)</f>
        <v>Q3</v>
      </c>
      <c r="F387" t="str">
        <f>TEXT(Raw_Data!B387,"mmm")</f>
        <v>Sep</v>
      </c>
      <c r="G387" t="str">
        <f>TEXT(Raw_Data!B387,"ddd")</f>
        <v>Wed</v>
      </c>
      <c r="H387" t="str">
        <f>Raw_Data!D387</f>
        <v>Invoiced</v>
      </c>
      <c r="I387" t="str">
        <f>Raw_Data!F387</f>
        <v>Tele-in</v>
      </c>
      <c r="J387" t="str">
        <f>Raw_Data!G387</f>
        <v>Dealer Webpage Tele-In</v>
      </c>
      <c r="K387" t="str">
        <f>IFERROR(VLOOKUP(J387,Source_Assumptions!$A:$C,2,0),"Unmapped")</f>
        <v>Digital - Owned</v>
      </c>
      <c r="L387" t="str">
        <f>Raw_Data!H387</f>
        <v>JAZZ PE</v>
      </c>
      <c r="M387" t="str">
        <f>IFERROR(VLOOKUP(L387,Model_Assumptions!$A:$D,2,0),"Unmapped")</f>
        <v>Hatchback</v>
      </c>
      <c r="N387" t="str">
        <f>IFERROR(VLOOKUP(L387,Model_Assumptions!$A:$D,3,0),"Unmapped")</f>
        <v>Petrol</v>
      </c>
      <c r="O387">
        <f>IFERROR(VLOOKUP(L387,Model_Assumptions!$A:$D,4,0),0)</f>
        <v>800000</v>
      </c>
      <c r="P387">
        <f>IFERROR(VLOOKUP(J387,Source_Assumptions!$A:$C,3,0),0)</f>
        <v>300</v>
      </c>
    </row>
    <row r="388" spans="1:16" x14ac:dyDescent="0.3">
      <c r="A388">
        <f>Raw_Data!A388</f>
        <v>387</v>
      </c>
      <c r="B388" s="2">
        <f>Raw_Data!B388</f>
        <v>44832.693159722199</v>
      </c>
      <c r="C388">
        <f>YEAR(Raw_Data!B388)</f>
        <v>2022</v>
      </c>
      <c r="D388" t="str">
        <f>IF(MONTH(Raw_Data!B388)&gt;=4,YEAR(Raw_Data!B388)&amp;"-"&amp;RIGHT(YEAR(Raw_Data!B388)+1,2),YEAR(Raw_Data!B388)-1&amp;"-"&amp;RIGHT(YEAR(Raw_Data!B388),2))</f>
        <v>2022-23</v>
      </c>
      <c r="E388" t="str">
        <f>"Q"&amp;ROUNDUP(MONTH(Raw_Data!B388)/3,0)</f>
        <v>Q3</v>
      </c>
      <c r="F388" t="str">
        <f>TEXT(Raw_Data!B388,"mmm")</f>
        <v>Sep</v>
      </c>
      <c r="G388" t="str">
        <f>TEXT(Raw_Data!B388,"ddd")</f>
        <v>Wed</v>
      </c>
      <c r="H388" t="str">
        <f>Raw_Data!D388</f>
        <v>Invoiced</v>
      </c>
      <c r="I388" t="str">
        <f>Raw_Data!F388</f>
        <v>Web Lead</v>
      </c>
      <c r="J388" t="str">
        <f>Raw_Data!G388</f>
        <v>Web</v>
      </c>
      <c r="K388" t="str">
        <f>IFERROR(VLOOKUP(J388,Source_Assumptions!$A:$C,2,0),"Unmapped")</f>
        <v>Digital - Owned</v>
      </c>
      <c r="L388" t="str">
        <f>Raw_Data!H388</f>
        <v>AMAZE Petrol</v>
      </c>
      <c r="M388" t="str">
        <f>IFERROR(VLOOKUP(L388,Model_Assumptions!$A:$D,2,0),"Unmapped")</f>
        <v>Sub-4m Sedan</v>
      </c>
      <c r="N388" t="str">
        <f>IFERROR(VLOOKUP(L388,Model_Assumptions!$A:$D,3,0),"Unmapped")</f>
        <v>Petrol</v>
      </c>
      <c r="O388">
        <f>IFERROR(VLOOKUP(L388,Model_Assumptions!$A:$D,4,0),0)</f>
        <v>850000</v>
      </c>
      <c r="P388">
        <f>IFERROR(VLOOKUP(J388,Source_Assumptions!$A:$C,3,0),0)</f>
        <v>300</v>
      </c>
    </row>
    <row r="389" spans="1:16" x14ac:dyDescent="0.3">
      <c r="A389">
        <f>Raw_Data!A389</f>
        <v>388</v>
      </c>
      <c r="B389" s="2">
        <f>Raw_Data!B389</f>
        <v>44832.737395833297</v>
      </c>
      <c r="C389">
        <f>YEAR(Raw_Data!B389)</f>
        <v>2022</v>
      </c>
      <c r="D389" t="str">
        <f>IF(MONTH(Raw_Data!B389)&gt;=4,YEAR(Raw_Data!B389)&amp;"-"&amp;RIGHT(YEAR(Raw_Data!B389)+1,2),YEAR(Raw_Data!B389)-1&amp;"-"&amp;RIGHT(YEAR(Raw_Data!B389),2))</f>
        <v>2022-23</v>
      </c>
      <c r="E389" t="str">
        <f>"Q"&amp;ROUNDUP(MONTH(Raw_Data!B389)/3,0)</f>
        <v>Q3</v>
      </c>
      <c r="F389" t="str">
        <f>TEXT(Raw_Data!B389,"mmm")</f>
        <v>Sep</v>
      </c>
      <c r="G389" t="str">
        <f>TEXT(Raw_Data!B389,"ddd")</f>
        <v>Wed</v>
      </c>
      <c r="H389" t="str">
        <f>Raw_Data!D389</f>
        <v>Invoiced</v>
      </c>
      <c r="I389" t="str">
        <f>Raw_Data!F389</f>
        <v>SMS/ Tele-Out</v>
      </c>
      <c r="J389" t="str">
        <f>Raw_Data!G389</f>
        <v>Database Activity(Teleout/SMS)</v>
      </c>
      <c r="K389" t="str">
        <f>IFERROR(VLOOKUP(J389,Source_Assumptions!$A:$C,2,0),"Unmapped")</f>
        <v>Outbound/Database</v>
      </c>
      <c r="L389" t="str">
        <f>Raw_Data!H389</f>
        <v>AMAZE Petrol</v>
      </c>
      <c r="M389" t="str">
        <f>IFERROR(VLOOKUP(L389,Model_Assumptions!$A:$D,2,0),"Unmapped")</f>
        <v>Sub-4m Sedan</v>
      </c>
      <c r="N389" t="str">
        <f>IFERROR(VLOOKUP(L389,Model_Assumptions!$A:$D,3,0),"Unmapped")</f>
        <v>Petrol</v>
      </c>
      <c r="O389">
        <f>IFERROR(VLOOKUP(L389,Model_Assumptions!$A:$D,4,0),0)</f>
        <v>850000</v>
      </c>
      <c r="P389">
        <f>IFERROR(VLOOKUP(J389,Source_Assumptions!$A:$C,3,0),0)</f>
        <v>250</v>
      </c>
    </row>
    <row r="390" spans="1:16" x14ac:dyDescent="0.3">
      <c r="A390">
        <f>Raw_Data!A390</f>
        <v>389</v>
      </c>
      <c r="B390" s="2">
        <f>Raw_Data!B390</f>
        <v>44832.750393518501</v>
      </c>
      <c r="C390">
        <f>YEAR(Raw_Data!B390)</f>
        <v>2022</v>
      </c>
      <c r="D390" t="str">
        <f>IF(MONTH(Raw_Data!B390)&gt;=4,YEAR(Raw_Data!B390)&amp;"-"&amp;RIGHT(YEAR(Raw_Data!B390)+1,2),YEAR(Raw_Data!B390)-1&amp;"-"&amp;RIGHT(YEAR(Raw_Data!B390),2))</f>
        <v>2022-23</v>
      </c>
      <c r="E390" t="str">
        <f>"Q"&amp;ROUNDUP(MONTH(Raw_Data!B390)/3,0)</f>
        <v>Q3</v>
      </c>
      <c r="F390" t="str">
        <f>TEXT(Raw_Data!B390,"mmm")</f>
        <v>Sep</v>
      </c>
      <c r="G390" t="str">
        <f>TEXT(Raw_Data!B390,"ddd")</f>
        <v>Wed</v>
      </c>
      <c r="H390" t="str">
        <f>Raw_Data!D390</f>
        <v>Invoiced</v>
      </c>
      <c r="I390" t="str">
        <f>Raw_Data!F390</f>
        <v>Web Lead</v>
      </c>
      <c r="J390" t="str">
        <f>Raw_Data!G390</f>
        <v>Online Booking</v>
      </c>
      <c r="K390" t="str">
        <f>IFERROR(VLOOKUP(J390,Source_Assumptions!$A:$C,2,0),"Unmapped")</f>
        <v>Digital - Owned</v>
      </c>
      <c r="L390" t="str">
        <f>Raw_Data!H390</f>
        <v>5TH GEN CITY e:HEV</v>
      </c>
      <c r="M390" t="str">
        <f>IFERROR(VLOOKUP(L390,Model_Assumptions!$A:$D,2,0),"Unmapped")</f>
        <v>Mid-size Sedan</v>
      </c>
      <c r="N390" t="str">
        <f>IFERROR(VLOOKUP(L390,Model_Assumptions!$A:$D,3,0),"Unmapped")</f>
        <v>Hybrid</v>
      </c>
      <c r="O390">
        <f>IFERROR(VLOOKUP(L390,Model_Assumptions!$A:$D,4,0),0)</f>
        <v>1950000</v>
      </c>
      <c r="P390">
        <f>IFERROR(VLOOKUP(J390,Source_Assumptions!$A:$C,3,0),0)</f>
        <v>300</v>
      </c>
    </row>
    <row r="391" spans="1:16" x14ac:dyDescent="0.3">
      <c r="A391">
        <f>Raw_Data!A391</f>
        <v>390</v>
      </c>
      <c r="B391" s="2">
        <f>Raw_Data!B391</f>
        <v>44833.542592592603</v>
      </c>
      <c r="C391">
        <f>YEAR(Raw_Data!B391)</f>
        <v>2022</v>
      </c>
      <c r="D391" t="str">
        <f>IF(MONTH(Raw_Data!B391)&gt;=4,YEAR(Raw_Data!B391)&amp;"-"&amp;RIGHT(YEAR(Raw_Data!B391)+1,2),YEAR(Raw_Data!B391)-1&amp;"-"&amp;RIGHT(YEAR(Raw_Data!B391),2))</f>
        <v>2022-23</v>
      </c>
      <c r="E391" t="str">
        <f>"Q"&amp;ROUNDUP(MONTH(Raw_Data!B391)/3,0)</f>
        <v>Q3</v>
      </c>
      <c r="F391" t="str">
        <f>TEXT(Raw_Data!B391,"mmm")</f>
        <v>Sep</v>
      </c>
      <c r="G391" t="str">
        <f>TEXT(Raw_Data!B391,"ddd")</f>
        <v>Thu</v>
      </c>
      <c r="H391" t="str">
        <f>Raw_Data!D391</f>
        <v>Invoiced</v>
      </c>
      <c r="I391" t="str">
        <f>Raw_Data!F391</f>
        <v>Tele-in</v>
      </c>
      <c r="J391" t="str">
        <f>Raw_Data!G391</f>
        <v>Dealer Webpage Tele-In</v>
      </c>
      <c r="K391" t="str">
        <f>IFERROR(VLOOKUP(J391,Source_Assumptions!$A:$C,2,0),"Unmapped")</f>
        <v>Digital - Owned</v>
      </c>
      <c r="L391" t="str">
        <f>Raw_Data!H391</f>
        <v>5TH GEN CITY PE</v>
      </c>
      <c r="M391" t="str">
        <f>IFERROR(VLOOKUP(L391,Model_Assumptions!$A:$D,2,0),"Unmapped")</f>
        <v>Mid-size Sedan</v>
      </c>
      <c r="N391" t="str">
        <f>IFERROR(VLOOKUP(L391,Model_Assumptions!$A:$D,3,0),"Unmapped")</f>
        <v>Petrol</v>
      </c>
      <c r="O391">
        <f>IFERROR(VLOOKUP(L391,Model_Assumptions!$A:$D,4,0),0)</f>
        <v>1250000</v>
      </c>
      <c r="P391">
        <f>IFERROR(VLOOKUP(J391,Source_Assumptions!$A:$C,3,0),0)</f>
        <v>300</v>
      </c>
    </row>
    <row r="392" spans="1:16" x14ac:dyDescent="0.3">
      <c r="A392">
        <f>Raw_Data!A392</f>
        <v>391</v>
      </c>
      <c r="B392" s="2">
        <f>Raw_Data!B392</f>
        <v>44833.547337962998</v>
      </c>
      <c r="C392">
        <f>YEAR(Raw_Data!B392)</f>
        <v>2022</v>
      </c>
      <c r="D392" t="str">
        <f>IF(MONTH(Raw_Data!B392)&gt;=4,YEAR(Raw_Data!B392)&amp;"-"&amp;RIGHT(YEAR(Raw_Data!B392)+1,2),YEAR(Raw_Data!B392)-1&amp;"-"&amp;RIGHT(YEAR(Raw_Data!B392),2))</f>
        <v>2022-23</v>
      </c>
      <c r="E392" t="str">
        <f>"Q"&amp;ROUNDUP(MONTH(Raw_Data!B392)/3,0)</f>
        <v>Q3</v>
      </c>
      <c r="F392" t="str">
        <f>TEXT(Raw_Data!B392,"mmm")</f>
        <v>Sep</v>
      </c>
      <c r="G392" t="str">
        <f>TEXT(Raw_Data!B392,"ddd")</f>
        <v>Thu</v>
      </c>
      <c r="H392" t="str">
        <f>Raw_Data!D392</f>
        <v>Invoiced</v>
      </c>
      <c r="I392" t="str">
        <f>Raw_Data!F392</f>
        <v>Tele-in</v>
      </c>
      <c r="J392" t="str">
        <f>Raw_Data!G392</f>
        <v>Dealer Webpage Tele-In</v>
      </c>
      <c r="K392" t="str">
        <f>IFERROR(VLOOKUP(J392,Source_Assumptions!$A:$C,2,0),"Unmapped")</f>
        <v>Digital - Owned</v>
      </c>
      <c r="L392" t="str">
        <f>Raw_Data!H392</f>
        <v>JAZZ PE</v>
      </c>
      <c r="M392" t="str">
        <f>IFERROR(VLOOKUP(L392,Model_Assumptions!$A:$D,2,0),"Unmapped")</f>
        <v>Hatchback</v>
      </c>
      <c r="N392" t="str">
        <f>IFERROR(VLOOKUP(L392,Model_Assumptions!$A:$D,3,0),"Unmapped")</f>
        <v>Petrol</v>
      </c>
      <c r="O392">
        <f>IFERROR(VLOOKUP(L392,Model_Assumptions!$A:$D,4,0),0)</f>
        <v>800000</v>
      </c>
      <c r="P392">
        <f>IFERROR(VLOOKUP(J392,Source_Assumptions!$A:$C,3,0),0)</f>
        <v>300</v>
      </c>
    </row>
    <row r="393" spans="1:16" x14ac:dyDescent="0.3">
      <c r="A393">
        <f>Raw_Data!A393</f>
        <v>392</v>
      </c>
      <c r="B393" s="2">
        <f>Raw_Data!B393</f>
        <v>44833.770902777796</v>
      </c>
      <c r="C393">
        <f>YEAR(Raw_Data!B393)</f>
        <v>2022</v>
      </c>
      <c r="D393" t="str">
        <f>IF(MONTH(Raw_Data!B393)&gt;=4,YEAR(Raw_Data!B393)&amp;"-"&amp;RIGHT(YEAR(Raw_Data!B393)+1,2),YEAR(Raw_Data!B393)-1&amp;"-"&amp;RIGHT(YEAR(Raw_Data!B393),2))</f>
        <v>2022-23</v>
      </c>
      <c r="E393" t="str">
        <f>"Q"&amp;ROUNDUP(MONTH(Raw_Data!B393)/3,0)</f>
        <v>Q3</v>
      </c>
      <c r="F393" t="str">
        <f>TEXT(Raw_Data!B393,"mmm")</f>
        <v>Sep</v>
      </c>
      <c r="G393" t="str">
        <f>TEXT(Raw_Data!B393,"ddd")</f>
        <v>Thu</v>
      </c>
      <c r="H393" t="str">
        <f>Raw_Data!D393</f>
        <v>Invoiced</v>
      </c>
      <c r="I393" t="str">
        <f>Raw_Data!F393</f>
        <v>Web Lead</v>
      </c>
      <c r="J393" t="str">
        <f>Raw_Data!G393</f>
        <v>Web_Organic</v>
      </c>
      <c r="K393" t="str">
        <f>IFERROR(VLOOKUP(J393,Source_Assumptions!$A:$C,2,0),"Unmapped")</f>
        <v>Digital - Organic</v>
      </c>
      <c r="L393" t="str">
        <f>Raw_Data!H393</f>
        <v>AMAZE Petrol</v>
      </c>
      <c r="M393" t="str">
        <f>IFERROR(VLOOKUP(L393,Model_Assumptions!$A:$D,2,0),"Unmapped")</f>
        <v>Sub-4m Sedan</v>
      </c>
      <c r="N393" t="str">
        <f>IFERROR(VLOOKUP(L393,Model_Assumptions!$A:$D,3,0),"Unmapped")</f>
        <v>Petrol</v>
      </c>
      <c r="O393">
        <f>IFERROR(VLOOKUP(L393,Model_Assumptions!$A:$D,4,0),0)</f>
        <v>850000</v>
      </c>
      <c r="P393">
        <f>IFERROR(VLOOKUP(J393,Source_Assumptions!$A:$C,3,0),0)</f>
        <v>100</v>
      </c>
    </row>
    <row r="394" spans="1:16" x14ac:dyDescent="0.3">
      <c r="A394">
        <f>Raw_Data!A394</f>
        <v>393</v>
      </c>
      <c r="B394" s="2">
        <f>Raw_Data!B394</f>
        <v>44834.480046296303</v>
      </c>
      <c r="C394">
        <f>YEAR(Raw_Data!B394)</f>
        <v>2022</v>
      </c>
      <c r="D394" t="str">
        <f>IF(MONTH(Raw_Data!B394)&gt;=4,YEAR(Raw_Data!B394)&amp;"-"&amp;RIGHT(YEAR(Raw_Data!B394)+1,2),YEAR(Raw_Data!B394)-1&amp;"-"&amp;RIGHT(YEAR(Raw_Data!B394),2))</f>
        <v>2022-23</v>
      </c>
      <c r="E394" t="str">
        <f>"Q"&amp;ROUNDUP(MONTH(Raw_Data!B394)/3,0)</f>
        <v>Q3</v>
      </c>
      <c r="F394" t="str">
        <f>TEXT(Raw_Data!B394,"mmm")</f>
        <v>Sep</v>
      </c>
      <c r="G394" t="str">
        <f>TEXT(Raw_Data!B394,"ddd")</f>
        <v>Fri</v>
      </c>
      <c r="H394" t="str">
        <f>Raw_Data!D394</f>
        <v>Invoiced</v>
      </c>
      <c r="I394" t="str">
        <f>Raw_Data!F394</f>
        <v>SMS/ Tele-Out</v>
      </c>
      <c r="J394" t="str">
        <f>Raw_Data!G394</f>
        <v>Database Activity(Teleout/SMS)</v>
      </c>
      <c r="K394" t="str">
        <f>IFERROR(VLOOKUP(J394,Source_Assumptions!$A:$C,2,0),"Unmapped")</f>
        <v>Outbound/Database</v>
      </c>
      <c r="L394" t="str">
        <f>Raw_Data!H394</f>
        <v>AMAZE Petrol</v>
      </c>
      <c r="M394" t="str">
        <f>IFERROR(VLOOKUP(L394,Model_Assumptions!$A:$D,2,0),"Unmapped")</f>
        <v>Sub-4m Sedan</v>
      </c>
      <c r="N394" t="str">
        <f>IFERROR(VLOOKUP(L394,Model_Assumptions!$A:$D,3,0),"Unmapped")</f>
        <v>Petrol</v>
      </c>
      <c r="O394">
        <f>IFERROR(VLOOKUP(L394,Model_Assumptions!$A:$D,4,0),0)</f>
        <v>850000</v>
      </c>
      <c r="P394">
        <f>IFERROR(VLOOKUP(J394,Source_Assumptions!$A:$C,3,0),0)</f>
        <v>250</v>
      </c>
    </row>
    <row r="395" spans="1:16" x14ac:dyDescent="0.3">
      <c r="A395">
        <f>Raw_Data!A395</f>
        <v>394</v>
      </c>
      <c r="B395" s="2">
        <f>Raw_Data!B395</f>
        <v>44834.4984722222</v>
      </c>
      <c r="C395">
        <f>YEAR(Raw_Data!B395)</f>
        <v>2022</v>
      </c>
      <c r="D395" t="str">
        <f>IF(MONTH(Raw_Data!B395)&gt;=4,YEAR(Raw_Data!B395)&amp;"-"&amp;RIGHT(YEAR(Raw_Data!B395)+1,2),YEAR(Raw_Data!B395)-1&amp;"-"&amp;RIGHT(YEAR(Raw_Data!B395),2))</f>
        <v>2022-23</v>
      </c>
      <c r="E395" t="str">
        <f>"Q"&amp;ROUNDUP(MONTH(Raw_Data!B395)/3,0)</f>
        <v>Q3</v>
      </c>
      <c r="F395" t="str">
        <f>TEXT(Raw_Data!B395,"mmm")</f>
        <v>Sep</v>
      </c>
      <c r="G395" t="str">
        <f>TEXT(Raw_Data!B395,"ddd")</f>
        <v>Fri</v>
      </c>
      <c r="H395" t="str">
        <f>Raw_Data!D395</f>
        <v>Invoiced</v>
      </c>
      <c r="I395" t="str">
        <f>Raw_Data!F395</f>
        <v>Walk-in Showroom</v>
      </c>
      <c r="J395" t="str">
        <f>Raw_Data!G395</f>
        <v>Adver. (TVC/Print/Hoarding/FM)</v>
      </c>
      <c r="K395" t="str">
        <f>IFERROR(VLOOKUP(J395,Source_Assumptions!$A:$C,2,0),"Unmapped")</f>
        <v>Traditional Advertising</v>
      </c>
      <c r="L395" t="str">
        <f>Raw_Data!H395</f>
        <v>JAZZ PE</v>
      </c>
      <c r="M395" t="str">
        <f>IFERROR(VLOOKUP(L395,Model_Assumptions!$A:$D,2,0),"Unmapped")</f>
        <v>Hatchback</v>
      </c>
      <c r="N395" t="str">
        <f>IFERROR(VLOOKUP(L395,Model_Assumptions!$A:$D,3,0),"Unmapped")</f>
        <v>Petrol</v>
      </c>
      <c r="O395">
        <f>IFERROR(VLOOKUP(L395,Model_Assumptions!$A:$D,4,0),0)</f>
        <v>800000</v>
      </c>
      <c r="P395">
        <f>IFERROR(VLOOKUP(J395,Source_Assumptions!$A:$C,3,0),0)</f>
        <v>1200</v>
      </c>
    </row>
    <row r="396" spans="1:16" x14ac:dyDescent="0.3">
      <c r="A396">
        <f>Raw_Data!A396</f>
        <v>395</v>
      </c>
      <c r="B396" s="2">
        <f>Raw_Data!B396</f>
        <v>44834.712118055599</v>
      </c>
      <c r="C396">
        <f>YEAR(Raw_Data!B396)</f>
        <v>2022</v>
      </c>
      <c r="D396" t="str">
        <f>IF(MONTH(Raw_Data!B396)&gt;=4,YEAR(Raw_Data!B396)&amp;"-"&amp;RIGHT(YEAR(Raw_Data!B396)+1,2),YEAR(Raw_Data!B396)-1&amp;"-"&amp;RIGHT(YEAR(Raw_Data!B396),2))</f>
        <v>2022-23</v>
      </c>
      <c r="E396" t="str">
        <f>"Q"&amp;ROUNDUP(MONTH(Raw_Data!B396)/3,0)</f>
        <v>Q3</v>
      </c>
      <c r="F396" t="str">
        <f>TEXT(Raw_Data!B396,"mmm")</f>
        <v>Sep</v>
      </c>
      <c r="G396" t="str">
        <f>TEXT(Raw_Data!B396,"ddd")</f>
        <v>Fri</v>
      </c>
      <c r="H396" t="str">
        <f>Raw_Data!D396</f>
        <v>Invoiced</v>
      </c>
      <c r="I396" t="str">
        <f>Raw_Data!F396</f>
        <v>Web Lead</v>
      </c>
      <c r="J396" t="str">
        <f>Raw_Data!G396</f>
        <v>Web_CarDekho</v>
      </c>
      <c r="K396" t="str">
        <f>IFERROR(VLOOKUP(J396,Source_Assumptions!$A:$C,2,0),"Unmapped")</f>
        <v>Digital - Aggregator (Paid)</v>
      </c>
      <c r="L396" t="str">
        <f>Raw_Data!H396</f>
        <v>JAZZ PE</v>
      </c>
      <c r="M396" t="str">
        <f>IFERROR(VLOOKUP(L396,Model_Assumptions!$A:$D,2,0),"Unmapped")</f>
        <v>Hatchback</v>
      </c>
      <c r="N396" t="str">
        <f>IFERROR(VLOOKUP(L396,Model_Assumptions!$A:$D,3,0),"Unmapped")</f>
        <v>Petrol</v>
      </c>
      <c r="O396">
        <f>IFERROR(VLOOKUP(L396,Model_Assumptions!$A:$D,4,0),0)</f>
        <v>800000</v>
      </c>
      <c r="P396">
        <f>IFERROR(VLOOKUP(J396,Source_Assumptions!$A:$C,3,0),0)</f>
        <v>900</v>
      </c>
    </row>
    <row r="397" spans="1:16" x14ac:dyDescent="0.3">
      <c r="A397">
        <f>Raw_Data!A397</f>
        <v>396</v>
      </c>
      <c r="B397" s="2">
        <f>Raw_Data!B397</f>
        <v>44834.765810185199</v>
      </c>
      <c r="C397">
        <f>YEAR(Raw_Data!B397)</f>
        <v>2022</v>
      </c>
      <c r="D397" t="str">
        <f>IF(MONTH(Raw_Data!B397)&gt;=4,YEAR(Raw_Data!B397)&amp;"-"&amp;RIGHT(YEAR(Raw_Data!B397)+1,2),YEAR(Raw_Data!B397)-1&amp;"-"&amp;RIGHT(YEAR(Raw_Data!B397),2))</f>
        <v>2022-23</v>
      </c>
      <c r="E397" t="str">
        <f>"Q"&amp;ROUNDUP(MONTH(Raw_Data!B397)/3,0)</f>
        <v>Q3</v>
      </c>
      <c r="F397" t="str">
        <f>TEXT(Raw_Data!B397,"mmm")</f>
        <v>Sep</v>
      </c>
      <c r="G397" t="str">
        <f>TEXT(Raw_Data!B397,"ddd")</f>
        <v>Fri</v>
      </c>
      <c r="H397" t="str">
        <f>Raw_Data!D397</f>
        <v>Invoiced</v>
      </c>
      <c r="I397" t="str">
        <f>Raw_Data!F397</f>
        <v>SMS/ Tele-Out</v>
      </c>
      <c r="J397" t="str">
        <f>Raw_Data!G397</f>
        <v>I-BAP Referral</v>
      </c>
      <c r="K397" t="str">
        <f>IFERROR(VLOOKUP(J397,Source_Assumptions!$A:$C,2,0),"Unmapped")</f>
        <v>Referral (Insurance/Banking Partner)</v>
      </c>
      <c r="L397" t="str">
        <f>Raw_Data!H397</f>
        <v>5TH GEN CITY PE</v>
      </c>
      <c r="M397" t="str">
        <f>IFERROR(VLOOKUP(L397,Model_Assumptions!$A:$D,2,0),"Unmapped")</f>
        <v>Mid-size Sedan</v>
      </c>
      <c r="N397" t="str">
        <f>IFERROR(VLOOKUP(L397,Model_Assumptions!$A:$D,3,0),"Unmapped")</f>
        <v>Petrol</v>
      </c>
      <c r="O397">
        <f>IFERROR(VLOOKUP(L397,Model_Assumptions!$A:$D,4,0),0)</f>
        <v>1250000</v>
      </c>
      <c r="P397">
        <f>IFERROR(VLOOKUP(J397,Source_Assumptions!$A:$C,3,0),0)</f>
        <v>150</v>
      </c>
    </row>
    <row r="398" spans="1:16" x14ac:dyDescent="0.3">
      <c r="A398">
        <f>Raw_Data!A398</f>
        <v>397</v>
      </c>
      <c r="B398" s="2">
        <f>Raw_Data!B398</f>
        <v>44834.770185185203</v>
      </c>
      <c r="C398">
        <f>YEAR(Raw_Data!B398)</f>
        <v>2022</v>
      </c>
      <c r="D398" t="str">
        <f>IF(MONTH(Raw_Data!B398)&gt;=4,YEAR(Raw_Data!B398)&amp;"-"&amp;RIGHT(YEAR(Raw_Data!B398)+1,2),YEAR(Raw_Data!B398)-1&amp;"-"&amp;RIGHT(YEAR(Raw_Data!B398),2))</f>
        <v>2022-23</v>
      </c>
      <c r="E398" t="str">
        <f>"Q"&amp;ROUNDUP(MONTH(Raw_Data!B398)/3,0)</f>
        <v>Q3</v>
      </c>
      <c r="F398" t="str">
        <f>TEXT(Raw_Data!B398,"mmm")</f>
        <v>Sep</v>
      </c>
      <c r="G398" t="str">
        <f>TEXT(Raw_Data!B398,"ddd")</f>
        <v>Fri</v>
      </c>
      <c r="H398" t="str">
        <f>Raw_Data!D398</f>
        <v>Invoiced</v>
      </c>
      <c r="I398" t="str">
        <f>Raw_Data!F398</f>
        <v>Web Lead</v>
      </c>
      <c r="J398" t="str">
        <f>Raw_Data!G398</f>
        <v>Web_CarDekho</v>
      </c>
      <c r="K398" t="str">
        <f>IFERROR(VLOOKUP(J398,Source_Assumptions!$A:$C,2,0),"Unmapped")</f>
        <v>Digital - Aggregator (Paid)</v>
      </c>
      <c r="L398" t="str">
        <f>Raw_Data!H398</f>
        <v>AMAZE Petrol</v>
      </c>
      <c r="M398" t="str">
        <f>IFERROR(VLOOKUP(L398,Model_Assumptions!$A:$D,2,0),"Unmapped")</f>
        <v>Sub-4m Sedan</v>
      </c>
      <c r="N398" t="str">
        <f>IFERROR(VLOOKUP(L398,Model_Assumptions!$A:$D,3,0),"Unmapped")</f>
        <v>Petrol</v>
      </c>
      <c r="O398">
        <f>IFERROR(VLOOKUP(L398,Model_Assumptions!$A:$D,4,0),0)</f>
        <v>850000</v>
      </c>
      <c r="P398">
        <f>IFERROR(VLOOKUP(J398,Source_Assumptions!$A:$C,3,0),0)</f>
        <v>900</v>
      </c>
    </row>
    <row r="399" spans="1:16" x14ac:dyDescent="0.3">
      <c r="A399">
        <f>Raw_Data!A399</f>
        <v>398</v>
      </c>
      <c r="B399" s="2">
        <f>Raw_Data!B399</f>
        <v>44834.773113425901</v>
      </c>
      <c r="C399">
        <f>YEAR(Raw_Data!B399)</f>
        <v>2022</v>
      </c>
      <c r="D399" t="str">
        <f>IF(MONTH(Raw_Data!B399)&gt;=4,YEAR(Raw_Data!B399)&amp;"-"&amp;RIGHT(YEAR(Raw_Data!B399)+1,2),YEAR(Raw_Data!B399)-1&amp;"-"&amp;RIGHT(YEAR(Raw_Data!B399),2))</f>
        <v>2022-23</v>
      </c>
      <c r="E399" t="str">
        <f>"Q"&amp;ROUNDUP(MONTH(Raw_Data!B399)/3,0)</f>
        <v>Q3</v>
      </c>
      <c r="F399" t="str">
        <f>TEXT(Raw_Data!B399,"mmm")</f>
        <v>Sep</v>
      </c>
      <c r="G399" t="str">
        <f>TEXT(Raw_Data!B399,"ddd")</f>
        <v>Fri</v>
      </c>
      <c r="H399" t="str">
        <f>Raw_Data!D399</f>
        <v>Invoiced</v>
      </c>
      <c r="I399" t="str">
        <f>Raw_Data!F399</f>
        <v>Tele-in</v>
      </c>
      <c r="J399" t="str">
        <f>Raw_Data!G399</f>
        <v>Referral-CAM</v>
      </c>
      <c r="K399" t="str">
        <f>IFERROR(VLOOKUP(J399,Source_Assumptions!$A:$C,2,0),"Unmapped")</f>
        <v>Referral</v>
      </c>
      <c r="L399" t="str">
        <f>Raw_Data!H399</f>
        <v>AMAZE Petrol</v>
      </c>
      <c r="M399" t="str">
        <f>IFERROR(VLOOKUP(L399,Model_Assumptions!$A:$D,2,0),"Unmapped")</f>
        <v>Sub-4m Sedan</v>
      </c>
      <c r="N399" t="str">
        <f>IFERROR(VLOOKUP(L399,Model_Assumptions!$A:$D,3,0),"Unmapped")</f>
        <v>Petrol</v>
      </c>
      <c r="O399">
        <f>IFERROR(VLOOKUP(L399,Model_Assumptions!$A:$D,4,0),0)</f>
        <v>850000</v>
      </c>
      <c r="P399">
        <f>IFERROR(VLOOKUP(J399,Source_Assumptions!$A:$C,3,0),0)</f>
        <v>150</v>
      </c>
    </row>
    <row r="400" spans="1:16" x14ac:dyDescent="0.3">
      <c r="A400">
        <f>Raw_Data!A400</f>
        <v>399</v>
      </c>
      <c r="B400" s="2">
        <f>Raw_Data!B400</f>
        <v>44839</v>
      </c>
      <c r="C400">
        <f>YEAR(Raw_Data!B400)</f>
        <v>2022</v>
      </c>
      <c r="D400" t="str">
        <f>IF(MONTH(Raw_Data!B400)&gt;=4,YEAR(Raw_Data!B400)&amp;"-"&amp;RIGHT(YEAR(Raw_Data!B400)+1,2),YEAR(Raw_Data!B400)-1&amp;"-"&amp;RIGHT(YEAR(Raw_Data!B400),2))</f>
        <v>2022-23</v>
      </c>
      <c r="E400" t="str">
        <f>"Q"&amp;ROUNDUP(MONTH(Raw_Data!B400)/3,0)</f>
        <v>Q4</v>
      </c>
      <c r="F400" t="str">
        <f>TEXT(Raw_Data!B400,"mmm")</f>
        <v>Oct</v>
      </c>
      <c r="G400" t="str">
        <f>TEXT(Raw_Data!B400,"ddd")</f>
        <v>Wed</v>
      </c>
      <c r="H400" t="str">
        <f>Raw_Data!D400</f>
        <v>Invoiced</v>
      </c>
      <c r="I400" t="str">
        <f>Raw_Data!F400</f>
        <v>SMS/ Tele-Out</v>
      </c>
      <c r="J400" t="str">
        <f>Raw_Data!G400</f>
        <v>Database Activity(Teleout/SMS)</v>
      </c>
      <c r="K400" t="str">
        <f>IFERROR(VLOOKUP(J400,Source_Assumptions!$A:$C,2,0),"Unmapped")</f>
        <v>Outbound/Database</v>
      </c>
      <c r="L400" t="str">
        <f>Raw_Data!H400</f>
        <v>AMAZE Petrol</v>
      </c>
      <c r="M400" t="str">
        <f>IFERROR(VLOOKUP(L400,Model_Assumptions!$A:$D,2,0),"Unmapped")</f>
        <v>Sub-4m Sedan</v>
      </c>
      <c r="N400" t="str">
        <f>IFERROR(VLOOKUP(L400,Model_Assumptions!$A:$D,3,0),"Unmapped")</f>
        <v>Petrol</v>
      </c>
      <c r="O400">
        <f>IFERROR(VLOOKUP(L400,Model_Assumptions!$A:$D,4,0),0)</f>
        <v>850000</v>
      </c>
      <c r="P400">
        <f>IFERROR(VLOOKUP(J400,Source_Assumptions!$A:$C,3,0),0)</f>
        <v>250</v>
      </c>
    </row>
    <row r="401" spans="1:16" x14ac:dyDescent="0.3">
      <c r="A401">
        <f>Raw_Data!A401</f>
        <v>400</v>
      </c>
      <c r="B401" s="2">
        <f>Raw_Data!B401</f>
        <v>44840</v>
      </c>
      <c r="C401">
        <f>YEAR(Raw_Data!B401)</f>
        <v>2022</v>
      </c>
      <c r="D401" t="str">
        <f>IF(MONTH(Raw_Data!B401)&gt;=4,YEAR(Raw_Data!B401)&amp;"-"&amp;RIGHT(YEAR(Raw_Data!B401)+1,2),YEAR(Raw_Data!B401)-1&amp;"-"&amp;RIGHT(YEAR(Raw_Data!B401),2))</f>
        <v>2022-23</v>
      </c>
      <c r="E401" t="str">
        <f>"Q"&amp;ROUNDUP(MONTH(Raw_Data!B401)/3,0)</f>
        <v>Q4</v>
      </c>
      <c r="F401" t="str">
        <f>TEXT(Raw_Data!B401,"mmm")</f>
        <v>Oct</v>
      </c>
      <c r="G401" t="str">
        <f>TEXT(Raw_Data!B401,"ddd")</f>
        <v>Thu</v>
      </c>
      <c r="H401" t="str">
        <f>Raw_Data!D401</f>
        <v>Invoiced</v>
      </c>
      <c r="I401" t="str">
        <f>Raw_Data!F401</f>
        <v>Web Lead</v>
      </c>
      <c r="J401" t="str">
        <f>Raw_Data!G401</f>
        <v>Online Booking</v>
      </c>
      <c r="K401" t="str">
        <f>IFERROR(VLOOKUP(J401,Source_Assumptions!$A:$C,2,0),"Unmapped")</f>
        <v>Digital - Owned</v>
      </c>
      <c r="L401" t="str">
        <f>Raw_Data!H401</f>
        <v>5TH GEN CITY e:HEV</v>
      </c>
      <c r="M401" t="str">
        <f>IFERROR(VLOOKUP(L401,Model_Assumptions!$A:$D,2,0),"Unmapped")</f>
        <v>Mid-size Sedan</v>
      </c>
      <c r="N401" t="str">
        <f>IFERROR(VLOOKUP(L401,Model_Assumptions!$A:$D,3,0),"Unmapped")</f>
        <v>Hybrid</v>
      </c>
      <c r="O401">
        <f>IFERROR(VLOOKUP(L401,Model_Assumptions!$A:$D,4,0),0)</f>
        <v>1950000</v>
      </c>
      <c r="P401">
        <f>IFERROR(VLOOKUP(J401,Source_Assumptions!$A:$C,3,0),0)</f>
        <v>300</v>
      </c>
    </row>
    <row r="402" spans="1:16" x14ac:dyDescent="0.3">
      <c r="A402">
        <f>Raw_Data!A402</f>
        <v>401</v>
      </c>
      <c r="B402" s="2">
        <f>Raw_Data!B402</f>
        <v>44844</v>
      </c>
      <c r="C402">
        <f>YEAR(Raw_Data!B402)</f>
        <v>2022</v>
      </c>
      <c r="D402" t="str">
        <f>IF(MONTH(Raw_Data!B402)&gt;=4,YEAR(Raw_Data!B402)&amp;"-"&amp;RIGHT(YEAR(Raw_Data!B402)+1,2),YEAR(Raw_Data!B402)-1&amp;"-"&amp;RIGHT(YEAR(Raw_Data!B402),2))</f>
        <v>2022-23</v>
      </c>
      <c r="E402" t="str">
        <f>"Q"&amp;ROUNDUP(MONTH(Raw_Data!B402)/3,0)</f>
        <v>Q4</v>
      </c>
      <c r="F402" t="str">
        <f>TEXT(Raw_Data!B402,"mmm")</f>
        <v>Oct</v>
      </c>
      <c r="G402" t="str">
        <f>TEXT(Raw_Data!B402,"ddd")</f>
        <v>Mon</v>
      </c>
      <c r="H402" t="str">
        <f>Raw_Data!D402</f>
        <v>Invoiced</v>
      </c>
      <c r="I402" t="str">
        <f>Raw_Data!F402</f>
        <v>Web Lead</v>
      </c>
      <c r="J402" t="str">
        <f>Raw_Data!G402</f>
        <v>Online Booking</v>
      </c>
      <c r="K402" t="str">
        <f>IFERROR(VLOOKUP(J402,Source_Assumptions!$A:$C,2,0),"Unmapped")</f>
        <v>Digital - Owned</v>
      </c>
      <c r="L402" t="str">
        <f>Raw_Data!H402</f>
        <v>5TH GEN CITY e:HEV</v>
      </c>
      <c r="M402" t="str">
        <f>IFERROR(VLOOKUP(L402,Model_Assumptions!$A:$D,2,0),"Unmapped")</f>
        <v>Mid-size Sedan</v>
      </c>
      <c r="N402" t="str">
        <f>IFERROR(VLOOKUP(L402,Model_Assumptions!$A:$D,3,0),"Unmapped")</f>
        <v>Hybrid</v>
      </c>
      <c r="O402">
        <f>IFERROR(VLOOKUP(L402,Model_Assumptions!$A:$D,4,0),0)</f>
        <v>1950000</v>
      </c>
      <c r="P402">
        <f>IFERROR(VLOOKUP(J402,Source_Assumptions!$A:$C,3,0),0)</f>
        <v>300</v>
      </c>
    </row>
    <row r="403" spans="1:16" x14ac:dyDescent="0.3">
      <c r="A403">
        <f>Raw_Data!A403</f>
        <v>402</v>
      </c>
      <c r="B403" s="2">
        <f>Raw_Data!B403</f>
        <v>44845</v>
      </c>
      <c r="C403">
        <f>YEAR(Raw_Data!B403)</f>
        <v>2022</v>
      </c>
      <c r="D403" t="str">
        <f>IF(MONTH(Raw_Data!B403)&gt;=4,YEAR(Raw_Data!B403)&amp;"-"&amp;RIGHT(YEAR(Raw_Data!B403)+1,2),YEAR(Raw_Data!B403)-1&amp;"-"&amp;RIGHT(YEAR(Raw_Data!B403),2))</f>
        <v>2022-23</v>
      </c>
      <c r="E403" t="str">
        <f>"Q"&amp;ROUNDUP(MONTH(Raw_Data!B403)/3,0)</f>
        <v>Q4</v>
      </c>
      <c r="F403" t="str">
        <f>TEXT(Raw_Data!B403,"mmm")</f>
        <v>Oct</v>
      </c>
      <c r="G403" t="str">
        <f>TEXT(Raw_Data!B403,"ddd")</f>
        <v>Tue</v>
      </c>
      <c r="H403" t="str">
        <f>Raw_Data!D403</f>
        <v>Invoiced</v>
      </c>
      <c r="I403" t="str">
        <f>Raw_Data!F403</f>
        <v>Web Lead</v>
      </c>
      <c r="J403" t="str">
        <f>Raw_Data!G403</f>
        <v>Web_Organic</v>
      </c>
      <c r="K403" t="str">
        <f>IFERROR(VLOOKUP(J403,Source_Assumptions!$A:$C,2,0),"Unmapped")</f>
        <v>Digital - Organic</v>
      </c>
      <c r="L403" t="str">
        <f>Raw_Data!H403</f>
        <v>5TH GEN CITY PE</v>
      </c>
      <c r="M403" t="str">
        <f>IFERROR(VLOOKUP(L403,Model_Assumptions!$A:$D,2,0),"Unmapped")</f>
        <v>Mid-size Sedan</v>
      </c>
      <c r="N403" t="str">
        <f>IFERROR(VLOOKUP(L403,Model_Assumptions!$A:$D,3,0),"Unmapped")</f>
        <v>Petrol</v>
      </c>
      <c r="O403">
        <f>IFERROR(VLOOKUP(L403,Model_Assumptions!$A:$D,4,0),0)</f>
        <v>1250000</v>
      </c>
      <c r="P403">
        <f>IFERROR(VLOOKUP(J403,Source_Assumptions!$A:$C,3,0),0)</f>
        <v>100</v>
      </c>
    </row>
    <row r="404" spans="1:16" x14ac:dyDescent="0.3">
      <c r="A404">
        <f>Raw_Data!A404</f>
        <v>403</v>
      </c>
      <c r="B404" s="2">
        <f>Raw_Data!B404</f>
        <v>44845</v>
      </c>
      <c r="C404">
        <f>YEAR(Raw_Data!B404)</f>
        <v>2022</v>
      </c>
      <c r="D404" t="str">
        <f>IF(MONTH(Raw_Data!B404)&gt;=4,YEAR(Raw_Data!B404)&amp;"-"&amp;RIGHT(YEAR(Raw_Data!B404)+1,2),YEAR(Raw_Data!B404)-1&amp;"-"&amp;RIGHT(YEAR(Raw_Data!B404),2))</f>
        <v>2022-23</v>
      </c>
      <c r="E404" t="str">
        <f>"Q"&amp;ROUNDUP(MONTH(Raw_Data!B404)/3,0)</f>
        <v>Q4</v>
      </c>
      <c r="F404" t="str">
        <f>TEXT(Raw_Data!B404,"mmm")</f>
        <v>Oct</v>
      </c>
      <c r="G404" t="str">
        <f>TEXT(Raw_Data!B404,"ddd")</f>
        <v>Tue</v>
      </c>
      <c r="H404" t="str">
        <f>Raw_Data!D404</f>
        <v>Invoiced</v>
      </c>
      <c r="I404" t="str">
        <f>Raw_Data!F404</f>
        <v>Tele-in</v>
      </c>
      <c r="J404" t="str">
        <f>Raw_Data!G404</f>
        <v>Dealer Webpage Tele-In</v>
      </c>
      <c r="K404" t="str">
        <f>IFERROR(VLOOKUP(J404,Source_Assumptions!$A:$C,2,0),"Unmapped")</f>
        <v>Digital - Owned</v>
      </c>
      <c r="L404" t="str">
        <f>Raw_Data!H404</f>
        <v>CITY PE</v>
      </c>
      <c r="M404" t="str">
        <f>IFERROR(VLOOKUP(L404,Model_Assumptions!$A:$D,2,0),"Unmapped")</f>
        <v>Mid-size Sedan</v>
      </c>
      <c r="N404" t="str">
        <f>IFERROR(VLOOKUP(L404,Model_Assumptions!$A:$D,3,0),"Unmapped")</f>
        <v>Petrol</v>
      </c>
      <c r="O404">
        <f>IFERROR(VLOOKUP(L404,Model_Assumptions!$A:$D,4,0),0)</f>
        <v>1100000</v>
      </c>
      <c r="P404">
        <f>IFERROR(VLOOKUP(J404,Source_Assumptions!$A:$C,3,0),0)</f>
        <v>300</v>
      </c>
    </row>
    <row r="405" spans="1:16" x14ac:dyDescent="0.3">
      <c r="A405">
        <f>Raw_Data!A405</f>
        <v>404</v>
      </c>
      <c r="B405" s="2">
        <f>Raw_Data!B405</f>
        <v>44847</v>
      </c>
      <c r="C405">
        <f>YEAR(Raw_Data!B405)</f>
        <v>2022</v>
      </c>
      <c r="D405" t="str">
        <f>IF(MONTH(Raw_Data!B405)&gt;=4,YEAR(Raw_Data!B405)&amp;"-"&amp;RIGHT(YEAR(Raw_Data!B405)+1,2),YEAR(Raw_Data!B405)-1&amp;"-"&amp;RIGHT(YEAR(Raw_Data!B405),2))</f>
        <v>2022-23</v>
      </c>
      <c r="E405" t="str">
        <f>"Q"&amp;ROUNDUP(MONTH(Raw_Data!B405)/3,0)</f>
        <v>Q4</v>
      </c>
      <c r="F405" t="str">
        <f>TEXT(Raw_Data!B405,"mmm")</f>
        <v>Oct</v>
      </c>
      <c r="G405" t="str">
        <f>TEXT(Raw_Data!B405,"ddd")</f>
        <v>Thu</v>
      </c>
      <c r="H405" t="str">
        <f>Raw_Data!D405</f>
        <v>Invoiced</v>
      </c>
      <c r="I405" t="str">
        <f>Raw_Data!F405</f>
        <v>Tele-in</v>
      </c>
      <c r="J405" t="str">
        <f>Raw_Data!G405</f>
        <v>Referral-CAM</v>
      </c>
      <c r="K405" t="str">
        <f>IFERROR(VLOOKUP(J405,Source_Assumptions!$A:$C,2,0),"Unmapped")</f>
        <v>Referral</v>
      </c>
      <c r="L405" t="str">
        <f>Raw_Data!H405</f>
        <v>AMAZE Petrol</v>
      </c>
      <c r="M405" t="str">
        <f>IFERROR(VLOOKUP(L405,Model_Assumptions!$A:$D,2,0),"Unmapped")</f>
        <v>Sub-4m Sedan</v>
      </c>
      <c r="N405" t="str">
        <f>IFERROR(VLOOKUP(L405,Model_Assumptions!$A:$D,3,0),"Unmapped")</f>
        <v>Petrol</v>
      </c>
      <c r="O405">
        <f>IFERROR(VLOOKUP(L405,Model_Assumptions!$A:$D,4,0),0)</f>
        <v>850000</v>
      </c>
      <c r="P405">
        <f>IFERROR(VLOOKUP(J405,Source_Assumptions!$A:$C,3,0),0)</f>
        <v>150</v>
      </c>
    </row>
    <row r="406" spans="1:16" x14ac:dyDescent="0.3">
      <c r="A406">
        <f>Raw_Data!A406</f>
        <v>405</v>
      </c>
      <c r="B406" s="2">
        <f>Raw_Data!B406</f>
        <v>44848</v>
      </c>
      <c r="C406">
        <f>YEAR(Raw_Data!B406)</f>
        <v>2022</v>
      </c>
      <c r="D406" t="str">
        <f>IF(MONTH(Raw_Data!B406)&gt;=4,YEAR(Raw_Data!B406)&amp;"-"&amp;RIGHT(YEAR(Raw_Data!B406)+1,2),YEAR(Raw_Data!B406)-1&amp;"-"&amp;RIGHT(YEAR(Raw_Data!B406),2))</f>
        <v>2022-23</v>
      </c>
      <c r="E406" t="str">
        <f>"Q"&amp;ROUNDUP(MONTH(Raw_Data!B406)/3,0)</f>
        <v>Q4</v>
      </c>
      <c r="F406" t="str">
        <f>TEXT(Raw_Data!B406,"mmm")</f>
        <v>Oct</v>
      </c>
      <c r="G406" t="str">
        <f>TEXT(Raw_Data!B406,"ddd")</f>
        <v>Fri</v>
      </c>
      <c r="H406" t="str">
        <f>Raw_Data!D406</f>
        <v>Invoiced</v>
      </c>
      <c r="I406" t="str">
        <f>Raw_Data!F406</f>
        <v>SMS/ Tele-Out</v>
      </c>
      <c r="J406" t="str">
        <f>Raw_Data!G406</f>
        <v>Database Activity(Teleout/SMS)</v>
      </c>
      <c r="K406" t="str">
        <f>IFERROR(VLOOKUP(J406,Source_Assumptions!$A:$C,2,0),"Unmapped")</f>
        <v>Outbound/Database</v>
      </c>
      <c r="L406" t="str">
        <f>Raw_Data!H406</f>
        <v>AMAZE Petrol</v>
      </c>
      <c r="M406" t="str">
        <f>IFERROR(VLOOKUP(L406,Model_Assumptions!$A:$D,2,0),"Unmapped")</f>
        <v>Sub-4m Sedan</v>
      </c>
      <c r="N406" t="str">
        <f>IFERROR(VLOOKUP(L406,Model_Assumptions!$A:$D,3,0),"Unmapped")</f>
        <v>Petrol</v>
      </c>
      <c r="O406">
        <f>IFERROR(VLOOKUP(L406,Model_Assumptions!$A:$D,4,0),0)</f>
        <v>850000</v>
      </c>
      <c r="P406">
        <f>IFERROR(VLOOKUP(J406,Source_Assumptions!$A:$C,3,0),0)</f>
        <v>250</v>
      </c>
    </row>
    <row r="407" spans="1:16" x14ac:dyDescent="0.3">
      <c r="A407">
        <f>Raw_Data!A407</f>
        <v>406</v>
      </c>
      <c r="B407" s="2">
        <f>Raw_Data!B407</f>
        <v>44848</v>
      </c>
      <c r="C407">
        <f>YEAR(Raw_Data!B407)</f>
        <v>2022</v>
      </c>
      <c r="D407" t="str">
        <f>IF(MONTH(Raw_Data!B407)&gt;=4,YEAR(Raw_Data!B407)&amp;"-"&amp;RIGHT(YEAR(Raw_Data!B407)+1,2),YEAR(Raw_Data!B407)-1&amp;"-"&amp;RIGHT(YEAR(Raw_Data!B407),2))</f>
        <v>2022-23</v>
      </c>
      <c r="E407" t="str">
        <f>"Q"&amp;ROUNDUP(MONTH(Raw_Data!B407)/3,0)</f>
        <v>Q4</v>
      </c>
      <c r="F407" t="str">
        <f>TEXT(Raw_Data!B407,"mmm")</f>
        <v>Oct</v>
      </c>
      <c r="G407" t="str">
        <f>TEXT(Raw_Data!B407,"ddd")</f>
        <v>Fri</v>
      </c>
      <c r="H407" t="str">
        <f>Raw_Data!D407</f>
        <v>Invoiced</v>
      </c>
      <c r="I407" t="str">
        <f>Raw_Data!F407</f>
        <v>Walk-in Showroom</v>
      </c>
      <c r="J407" t="str">
        <f>Raw_Data!G407</f>
        <v>Adver. (TVC/Print/Hoarding/FM)</v>
      </c>
      <c r="K407" t="str">
        <f>IFERROR(VLOOKUP(J407,Source_Assumptions!$A:$C,2,0),"Unmapped")</f>
        <v>Traditional Advertising</v>
      </c>
      <c r="L407" t="str">
        <f>Raw_Data!H407</f>
        <v>AMAZE Petrol</v>
      </c>
      <c r="M407" t="str">
        <f>IFERROR(VLOOKUP(L407,Model_Assumptions!$A:$D,2,0),"Unmapped")</f>
        <v>Sub-4m Sedan</v>
      </c>
      <c r="N407" t="str">
        <f>IFERROR(VLOOKUP(L407,Model_Assumptions!$A:$D,3,0),"Unmapped")</f>
        <v>Petrol</v>
      </c>
      <c r="O407">
        <f>IFERROR(VLOOKUP(L407,Model_Assumptions!$A:$D,4,0),0)</f>
        <v>850000</v>
      </c>
      <c r="P407">
        <f>IFERROR(VLOOKUP(J407,Source_Assumptions!$A:$C,3,0),0)</f>
        <v>1200</v>
      </c>
    </row>
    <row r="408" spans="1:16" x14ac:dyDescent="0.3">
      <c r="A408">
        <f>Raw_Data!A408</f>
        <v>407</v>
      </c>
      <c r="B408" s="2">
        <f>Raw_Data!B408</f>
        <v>44849</v>
      </c>
      <c r="C408">
        <f>YEAR(Raw_Data!B408)</f>
        <v>2022</v>
      </c>
      <c r="D408" t="str">
        <f>IF(MONTH(Raw_Data!B408)&gt;=4,YEAR(Raw_Data!B408)&amp;"-"&amp;RIGHT(YEAR(Raw_Data!B408)+1,2),YEAR(Raw_Data!B408)-1&amp;"-"&amp;RIGHT(YEAR(Raw_Data!B408),2))</f>
        <v>2022-23</v>
      </c>
      <c r="E408" t="str">
        <f>"Q"&amp;ROUNDUP(MONTH(Raw_Data!B408)/3,0)</f>
        <v>Q4</v>
      </c>
      <c r="F408" t="str">
        <f>TEXT(Raw_Data!B408,"mmm")</f>
        <v>Oct</v>
      </c>
      <c r="G408" t="str">
        <f>TEXT(Raw_Data!B408,"ddd")</f>
        <v>Sat</v>
      </c>
      <c r="H408" t="str">
        <f>Raw_Data!D408</f>
        <v>Invoiced</v>
      </c>
      <c r="I408" t="str">
        <f>Raw_Data!F408</f>
        <v>Web Lead</v>
      </c>
      <c r="J408" t="str">
        <f>Raw_Data!G408</f>
        <v>Web_CarDekho</v>
      </c>
      <c r="K408" t="str">
        <f>IFERROR(VLOOKUP(J408,Source_Assumptions!$A:$C,2,0),"Unmapped")</f>
        <v>Digital - Aggregator (Paid)</v>
      </c>
      <c r="L408" t="str">
        <f>Raw_Data!H408</f>
        <v>AMAZE Petrol</v>
      </c>
      <c r="M408" t="str">
        <f>IFERROR(VLOOKUP(L408,Model_Assumptions!$A:$D,2,0),"Unmapped")</f>
        <v>Sub-4m Sedan</v>
      </c>
      <c r="N408" t="str">
        <f>IFERROR(VLOOKUP(L408,Model_Assumptions!$A:$D,3,0),"Unmapped")</f>
        <v>Petrol</v>
      </c>
      <c r="O408">
        <f>IFERROR(VLOOKUP(L408,Model_Assumptions!$A:$D,4,0),0)</f>
        <v>850000</v>
      </c>
      <c r="P408">
        <f>IFERROR(VLOOKUP(J408,Source_Assumptions!$A:$C,3,0),0)</f>
        <v>900</v>
      </c>
    </row>
    <row r="409" spans="1:16" x14ac:dyDescent="0.3">
      <c r="A409">
        <f>Raw_Data!A409</f>
        <v>408</v>
      </c>
      <c r="B409" s="2">
        <f>Raw_Data!B409</f>
        <v>44849</v>
      </c>
      <c r="C409">
        <f>YEAR(Raw_Data!B409)</f>
        <v>2022</v>
      </c>
      <c r="D409" t="str">
        <f>IF(MONTH(Raw_Data!B409)&gt;=4,YEAR(Raw_Data!B409)&amp;"-"&amp;RIGHT(YEAR(Raw_Data!B409)+1,2),YEAR(Raw_Data!B409)-1&amp;"-"&amp;RIGHT(YEAR(Raw_Data!B409),2))</f>
        <v>2022-23</v>
      </c>
      <c r="E409" t="str">
        <f>"Q"&amp;ROUNDUP(MONTH(Raw_Data!B409)/3,0)</f>
        <v>Q4</v>
      </c>
      <c r="F409" t="str">
        <f>TEXT(Raw_Data!B409,"mmm")</f>
        <v>Oct</v>
      </c>
      <c r="G409" t="str">
        <f>TEXT(Raw_Data!B409,"ddd")</f>
        <v>Sat</v>
      </c>
      <c r="H409" t="str">
        <f>Raw_Data!D409</f>
        <v>Invoiced</v>
      </c>
      <c r="I409" t="str">
        <f>Raw_Data!F409</f>
        <v>Web Lead</v>
      </c>
      <c r="J409" t="str">
        <f>Raw_Data!G409</f>
        <v>Online Booking</v>
      </c>
      <c r="K409" t="str">
        <f>IFERROR(VLOOKUP(J409,Source_Assumptions!$A:$C,2,0),"Unmapped")</f>
        <v>Digital - Owned</v>
      </c>
      <c r="L409" t="str">
        <f>Raw_Data!H409</f>
        <v>JAZZ PE</v>
      </c>
      <c r="M409" t="str">
        <f>IFERROR(VLOOKUP(L409,Model_Assumptions!$A:$D,2,0),"Unmapped")</f>
        <v>Hatchback</v>
      </c>
      <c r="N409" t="str">
        <f>IFERROR(VLOOKUP(L409,Model_Assumptions!$A:$D,3,0),"Unmapped")</f>
        <v>Petrol</v>
      </c>
      <c r="O409">
        <f>IFERROR(VLOOKUP(L409,Model_Assumptions!$A:$D,4,0),0)</f>
        <v>800000</v>
      </c>
      <c r="P409">
        <f>IFERROR(VLOOKUP(J409,Source_Assumptions!$A:$C,3,0),0)</f>
        <v>300</v>
      </c>
    </row>
    <row r="410" spans="1:16" x14ac:dyDescent="0.3">
      <c r="A410">
        <f>Raw_Data!A410</f>
        <v>409</v>
      </c>
      <c r="B410" s="2">
        <f>Raw_Data!B410</f>
        <v>44851</v>
      </c>
      <c r="C410">
        <f>YEAR(Raw_Data!B410)</f>
        <v>2022</v>
      </c>
      <c r="D410" t="str">
        <f>IF(MONTH(Raw_Data!B410)&gt;=4,YEAR(Raw_Data!B410)&amp;"-"&amp;RIGHT(YEAR(Raw_Data!B410)+1,2),YEAR(Raw_Data!B410)-1&amp;"-"&amp;RIGHT(YEAR(Raw_Data!B410),2))</f>
        <v>2022-23</v>
      </c>
      <c r="E410" t="str">
        <f>"Q"&amp;ROUNDUP(MONTH(Raw_Data!B410)/3,0)</f>
        <v>Q4</v>
      </c>
      <c r="F410" t="str">
        <f>TEXT(Raw_Data!B410,"mmm")</f>
        <v>Oct</v>
      </c>
      <c r="G410" t="str">
        <f>TEXT(Raw_Data!B410,"ddd")</f>
        <v>Mon</v>
      </c>
      <c r="H410" t="str">
        <f>Raw_Data!D410</f>
        <v>Invoiced</v>
      </c>
      <c r="I410" t="str">
        <f>Raw_Data!F410</f>
        <v>Web Lead</v>
      </c>
      <c r="J410" t="str">
        <f>Raw_Data!G410</f>
        <v>Web</v>
      </c>
      <c r="K410" t="str">
        <f>IFERROR(VLOOKUP(J410,Source_Assumptions!$A:$C,2,0),"Unmapped")</f>
        <v>Digital - Owned</v>
      </c>
      <c r="L410" t="str">
        <f>Raw_Data!H410</f>
        <v>AMAZE Petrol</v>
      </c>
      <c r="M410" t="str">
        <f>IFERROR(VLOOKUP(L410,Model_Assumptions!$A:$D,2,0),"Unmapped")</f>
        <v>Sub-4m Sedan</v>
      </c>
      <c r="N410" t="str">
        <f>IFERROR(VLOOKUP(L410,Model_Assumptions!$A:$D,3,0),"Unmapped")</f>
        <v>Petrol</v>
      </c>
      <c r="O410">
        <f>IFERROR(VLOOKUP(L410,Model_Assumptions!$A:$D,4,0),0)</f>
        <v>850000</v>
      </c>
      <c r="P410">
        <f>IFERROR(VLOOKUP(J410,Source_Assumptions!$A:$C,3,0),0)</f>
        <v>300</v>
      </c>
    </row>
    <row r="411" spans="1:16" x14ac:dyDescent="0.3">
      <c r="A411">
        <f>Raw_Data!A411</f>
        <v>410</v>
      </c>
      <c r="B411" s="2">
        <f>Raw_Data!B411</f>
        <v>44851</v>
      </c>
      <c r="C411">
        <f>YEAR(Raw_Data!B411)</f>
        <v>2022</v>
      </c>
      <c r="D411" t="str">
        <f>IF(MONTH(Raw_Data!B411)&gt;=4,YEAR(Raw_Data!B411)&amp;"-"&amp;RIGHT(YEAR(Raw_Data!B411)+1,2),YEAR(Raw_Data!B411)-1&amp;"-"&amp;RIGHT(YEAR(Raw_Data!B411),2))</f>
        <v>2022-23</v>
      </c>
      <c r="E411" t="str">
        <f>"Q"&amp;ROUNDUP(MONTH(Raw_Data!B411)/3,0)</f>
        <v>Q4</v>
      </c>
      <c r="F411" t="str">
        <f>TEXT(Raw_Data!B411,"mmm")</f>
        <v>Oct</v>
      </c>
      <c r="G411" t="str">
        <f>TEXT(Raw_Data!B411,"ddd")</f>
        <v>Mon</v>
      </c>
      <c r="H411" t="str">
        <f>Raw_Data!D411</f>
        <v>Invoiced</v>
      </c>
      <c r="I411" t="str">
        <f>Raw_Data!F411</f>
        <v>Walk-in Showroom</v>
      </c>
      <c r="J411" t="str">
        <f>Raw_Data!G411</f>
        <v>Adver. (TVC/Print/Hoarding/FM)</v>
      </c>
      <c r="K411" t="str">
        <f>IFERROR(VLOOKUP(J411,Source_Assumptions!$A:$C,2,0),"Unmapped")</f>
        <v>Traditional Advertising</v>
      </c>
      <c r="L411" t="str">
        <f>Raw_Data!H411</f>
        <v>JAZZ PE</v>
      </c>
      <c r="M411" t="str">
        <f>IFERROR(VLOOKUP(L411,Model_Assumptions!$A:$D,2,0),"Unmapped")</f>
        <v>Hatchback</v>
      </c>
      <c r="N411" t="str">
        <f>IFERROR(VLOOKUP(L411,Model_Assumptions!$A:$D,3,0),"Unmapped")</f>
        <v>Petrol</v>
      </c>
      <c r="O411">
        <f>IFERROR(VLOOKUP(L411,Model_Assumptions!$A:$D,4,0),0)</f>
        <v>800000</v>
      </c>
      <c r="P411">
        <f>IFERROR(VLOOKUP(J411,Source_Assumptions!$A:$C,3,0),0)</f>
        <v>1200</v>
      </c>
    </row>
    <row r="412" spans="1:16" x14ac:dyDescent="0.3">
      <c r="A412">
        <f>Raw_Data!A412</f>
        <v>411</v>
      </c>
      <c r="B412" s="2">
        <f>Raw_Data!B412</f>
        <v>44851</v>
      </c>
      <c r="C412">
        <f>YEAR(Raw_Data!B412)</f>
        <v>2022</v>
      </c>
      <c r="D412" t="str">
        <f>IF(MONTH(Raw_Data!B412)&gt;=4,YEAR(Raw_Data!B412)&amp;"-"&amp;RIGHT(YEAR(Raw_Data!B412)+1,2),YEAR(Raw_Data!B412)-1&amp;"-"&amp;RIGHT(YEAR(Raw_Data!B412),2))</f>
        <v>2022-23</v>
      </c>
      <c r="E412" t="str">
        <f>"Q"&amp;ROUNDUP(MONTH(Raw_Data!B412)/3,0)</f>
        <v>Q4</v>
      </c>
      <c r="F412" t="str">
        <f>TEXT(Raw_Data!B412,"mmm")</f>
        <v>Oct</v>
      </c>
      <c r="G412" t="str">
        <f>TEXT(Raw_Data!B412,"ddd")</f>
        <v>Mon</v>
      </c>
      <c r="H412" t="str">
        <f>Raw_Data!D412</f>
        <v>Invoiced</v>
      </c>
      <c r="I412" t="str">
        <f>Raw_Data!F412</f>
        <v>Walk-in Showroom</v>
      </c>
      <c r="J412" t="str">
        <f>Raw_Data!G412</f>
        <v>Adver. (TVC/Print/Hoarding/FM)</v>
      </c>
      <c r="K412" t="str">
        <f>IFERROR(VLOOKUP(J412,Source_Assumptions!$A:$C,2,0),"Unmapped")</f>
        <v>Traditional Advertising</v>
      </c>
      <c r="L412" t="str">
        <f>Raw_Data!H412</f>
        <v>AMAZE Petrol</v>
      </c>
      <c r="M412" t="str">
        <f>IFERROR(VLOOKUP(L412,Model_Assumptions!$A:$D,2,0),"Unmapped")</f>
        <v>Sub-4m Sedan</v>
      </c>
      <c r="N412" t="str">
        <f>IFERROR(VLOOKUP(L412,Model_Assumptions!$A:$D,3,0),"Unmapped")</f>
        <v>Petrol</v>
      </c>
      <c r="O412">
        <f>IFERROR(VLOOKUP(L412,Model_Assumptions!$A:$D,4,0),0)</f>
        <v>850000</v>
      </c>
      <c r="P412">
        <f>IFERROR(VLOOKUP(J412,Source_Assumptions!$A:$C,3,0),0)</f>
        <v>1200</v>
      </c>
    </row>
    <row r="413" spans="1:16" x14ac:dyDescent="0.3">
      <c r="A413">
        <f>Raw_Data!A413</f>
        <v>412</v>
      </c>
      <c r="B413" s="2">
        <f>Raw_Data!B413</f>
        <v>44852</v>
      </c>
      <c r="C413">
        <f>YEAR(Raw_Data!B413)</f>
        <v>2022</v>
      </c>
      <c r="D413" t="str">
        <f>IF(MONTH(Raw_Data!B413)&gt;=4,YEAR(Raw_Data!B413)&amp;"-"&amp;RIGHT(YEAR(Raw_Data!B413)+1,2),YEAR(Raw_Data!B413)-1&amp;"-"&amp;RIGHT(YEAR(Raw_Data!B413),2))</f>
        <v>2022-23</v>
      </c>
      <c r="E413" t="str">
        <f>"Q"&amp;ROUNDUP(MONTH(Raw_Data!B413)/3,0)</f>
        <v>Q4</v>
      </c>
      <c r="F413" t="str">
        <f>TEXT(Raw_Data!B413,"mmm")</f>
        <v>Oct</v>
      </c>
      <c r="G413" t="str">
        <f>TEXT(Raw_Data!B413,"ddd")</f>
        <v>Tue</v>
      </c>
      <c r="H413" t="str">
        <f>Raw_Data!D413</f>
        <v>Invoiced</v>
      </c>
      <c r="I413" t="str">
        <f>Raw_Data!F413</f>
        <v>Walk-in Showroom</v>
      </c>
      <c r="J413" t="str">
        <f>Raw_Data!G413</f>
        <v>Adver. (TVC/Print/Hoarding/FM)</v>
      </c>
      <c r="K413" t="str">
        <f>IFERROR(VLOOKUP(J413,Source_Assumptions!$A:$C,2,0),"Unmapped")</f>
        <v>Traditional Advertising</v>
      </c>
      <c r="L413" t="str">
        <f>Raw_Data!H413</f>
        <v>5TH GEN CITY PE</v>
      </c>
      <c r="M413" t="str">
        <f>IFERROR(VLOOKUP(L413,Model_Assumptions!$A:$D,2,0),"Unmapped")</f>
        <v>Mid-size Sedan</v>
      </c>
      <c r="N413" t="str">
        <f>IFERROR(VLOOKUP(L413,Model_Assumptions!$A:$D,3,0),"Unmapped")</f>
        <v>Petrol</v>
      </c>
      <c r="O413">
        <f>IFERROR(VLOOKUP(L413,Model_Assumptions!$A:$D,4,0),0)</f>
        <v>1250000</v>
      </c>
      <c r="P413">
        <f>IFERROR(VLOOKUP(J413,Source_Assumptions!$A:$C,3,0),0)</f>
        <v>1200</v>
      </c>
    </row>
    <row r="414" spans="1:16" x14ac:dyDescent="0.3">
      <c r="A414">
        <f>Raw_Data!A414</f>
        <v>413</v>
      </c>
      <c r="B414" s="2">
        <f>Raw_Data!B414</f>
        <v>44853</v>
      </c>
      <c r="C414">
        <f>YEAR(Raw_Data!B414)</f>
        <v>2022</v>
      </c>
      <c r="D414" t="str">
        <f>IF(MONTH(Raw_Data!B414)&gt;=4,YEAR(Raw_Data!B414)&amp;"-"&amp;RIGHT(YEAR(Raw_Data!B414)+1,2),YEAR(Raw_Data!B414)-1&amp;"-"&amp;RIGHT(YEAR(Raw_Data!B414),2))</f>
        <v>2022-23</v>
      </c>
      <c r="E414" t="str">
        <f>"Q"&amp;ROUNDUP(MONTH(Raw_Data!B414)/3,0)</f>
        <v>Q4</v>
      </c>
      <c r="F414" t="str">
        <f>TEXT(Raw_Data!B414,"mmm")</f>
        <v>Oct</v>
      </c>
      <c r="G414" t="str">
        <f>TEXT(Raw_Data!B414,"ddd")</f>
        <v>Wed</v>
      </c>
      <c r="H414" t="str">
        <f>Raw_Data!D414</f>
        <v>Invoiced</v>
      </c>
      <c r="I414" t="str">
        <f>Raw_Data!F414</f>
        <v>Tele-in</v>
      </c>
      <c r="J414" t="str">
        <f>Raw_Data!G414</f>
        <v>Dealer Webpage Tele-In</v>
      </c>
      <c r="K414" t="str">
        <f>IFERROR(VLOOKUP(J414,Source_Assumptions!$A:$C,2,0),"Unmapped")</f>
        <v>Digital - Owned</v>
      </c>
      <c r="L414" t="str">
        <f>Raw_Data!H414</f>
        <v>AMAZE Petrol</v>
      </c>
      <c r="M414" t="str">
        <f>IFERROR(VLOOKUP(L414,Model_Assumptions!$A:$D,2,0),"Unmapped")</f>
        <v>Sub-4m Sedan</v>
      </c>
      <c r="N414" t="str">
        <f>IFERROR(VLOOKUP(L414,Model_Assumptions!$A:$D,3,0),"Unmapped")</f>
        <v>Petrol</v>
      </c>
      <c r="O414">
        <f>IFERROR(VLOOKUP(L414,Model_Assumptions!$A:$D,4,0),0)</f>
        <v>850000</v>
      </c>
      <c r="P414">
        <f>IFERROR(VLOOKUP(J414,Source_Assumptions!$A:$C,3,0),0)</f>
        <v>300</v>
      </c>
    </row>
    <row r="415" spans="1:16" x14ac:dyDescent="0.3">
      <c r="A415">
        <f>Raw_Data!A415</f>
        <v>414</v>
      </c>
      <c r="B415" s="2">
        <f>Raw_Data!B415</f>
        <v>44853</v>
      </c>
      <c r="C415">
        <f>YEAR(Raw_Data!B415)</f>
        <v>2022</v>
      </c>
      <c r="D415" t="str">
        <f>IF(MONTH(Raw_Data!B415)&gt;=4,YEAR(Raw_Data!B415)&amp;"-"&amp;RIGHT(YEAR(Raw_Data!B415)+1,2),YEAR(Raw_Data!B415)-1&amp;"-"&amp;RIGHT(YEAR(Raw_Data!B415),2))</f>
        <v>2022-23</v>
      </c>
      <c r="E415" t="str">
        <f>"Q"&amp;ROUNDUP(MONTH(Raw_Data!B415)/3,0)</f>
        <v>Q4</v>
      </c>
      <c r="F415" t="str">
        <f>TEXT(Raw_Data!B415,"mmm")</f>
        <v>Oct</v>
      </c>
      <c r="G415" t="str">
        <f>TEXT(Raw_Data!B415,"ddd")</f>
        <v>Wed</v>
      </c>
      <c r="H415" t="str">
        <f>Raw_Data!D415</f>
        <v>Invoiced</v>
      </c>
      <c r="I415" t="str">
        <f>Raw_Data!F415</f>
        <v>Tele-in</v>
      </c>
      <c r="J415" t="str">
        <f>Raw_Data!G415</f>
        <v>Dealer Webpage Tele-In</v>
      </c>
      <c r="K415" t="str">
        <f>IFERROR(VLOOKUP(J415,Source_Assumptions!$A:$C,2,0),"Unmapped")</f>
        <v>Digital - Owned</v>
      </c>
      <c r="L415" t="str">
        <f>Raw_Data!H415</f>
        <v>CITY PE</v>
      </c>
      <c r="M415" t="str">
        <f>IFERROR(VLOOKUP(L415,Model_Assumptions!$A:$D,2,0),"Unmapped")</f>
        <v>Mid-size Sedan</v>
      </c>
      <c r="N415" t="str">
        <f>IFERROR(VLOOKUP(L415,Model_Assumptions!$A:$D,3,0),"Unmapped")</f>
        <v>Petrol</v>
      </c>
      <c r="O415">
        <f>IFERROR(VLOOKUP(L415,Model_Assumptions!$A:$D,4,0),0)</f>
        <v>1100000</v>
      </c>
      <c r="P415">
        <f>IFERROR(VLOOKUP(J415,Source_Assumptions!$A:$C,3,0),0)</f>
        <v>300</v>
      </c>
    </row>
    <row r="416" spans="1:16" x14ac:dyDescent="0.3">
      <c r="A416">
        <f>Raw_Data!A416</f>
        <v>415</v>
      </c>
      <c r="B416" s="2">
        <f>Raw_Data!B416</f>
        <v>44853</v>
      </c>
      <c r="C416">
        <f>YEAR(Raw_Data!B416)</f>
        <v>2022</v>
      </c>
      <c r="D416" t="str">
        <f>IF(MONTH(Raw_Data!B416)&gt;=4,YEAR(Raw_Data!B416)&amp;"-"&amp;RIGHT(YEAR(Raw_Data!B416)+1,2),YEAR(Raw_Data!B416)-1&amp;"-"&amp;RIGHT(YEAR(Raw_Data!B416),2))</f>
        <v>2022-23</v>
      </c>
      <c r="E416" t="str">
        <f>"Q"&amp;ROUNDUP(MONTH(Raw_Data!B416)/3,0)</f>
        <v>Q4</v>
      </c>
      <c r="F416" t="str">
        <f>TEXT(Raw_Data!B416,"mmm")</f>
        <v>Oct</v>
      </c>
      <c r="G416" t="str">
        <f>TEXT(Raw_Data!B416,"ddd")</f>
        <v>Wed</v>
      </c>
      <c r="H416" t="str">
        <f>Raw_Data!D416</f>
        <v>Invoiced</v>
      </c>
      <c r="I416" t="str">
        <f>Raw_Data!F416</f>
        <v>SMS/ Tele-Out</v>
      </c>
      <c r="J416" t="str">
        <f>Raw_Data!G416</f>
        <v>Database Activity(Teleout/SMS)</v>
      </c>
      <c r="K416" t="str">
        <f>IFERROR(VLOOKUP(J416,Source_Assumptions!$A:$C,2,0),"Unmapped")</f>
        <v>Outbound/Database</v>
      </c>
      <c r="L416" t="str">
        <f>Raw_Data!H416</f>
        <v>AMAZE Petrol</v>
      </c>
      <c r="M416" t="str">
        <f>IFERROR(VLOOKUP(L416,Model_Assumptions!$A:$D,2,0),"Unmapped")</f>
        <v>Sub-4m Sedan</v>
      </c>
      <c r="N416" t="str">
        <f>IFERROR(VLOOKUP(L416,Model_Assumptions!$A:$D,3,0),"Unmapped")</f>
        <v>Petrol</v>
      </c>
      <c r="O416">
        <f>IFERROR(VLOOKUP(L416,Model_Assumptions!$A:$D,4,0),0)</f>
        <v>850000</v>
      </c>
      <c r="P416">
        <f>IFERROR(VLOOKUP(J416,Source_Assumptions!$A:$C,3,0),0)</f>
        <v>250</v>
      </c>
    </row>
    <row r="417" spans="1:16" x14ac:dyDescent="0.3">
      <c r="A417">
        <f>Raw_Data!A417</f>
        <v>416</v>
      </c>
      <c r="B417" s="2">
        <f>Raw_Data!B417</f>
        <v>44854</v>
      </c>
      <c r="C417">
        <f>YEAR(Raw_Data!B417)</f>
        <v>2022</v>
      </c>
      <c r="D417" t="str">
        <f>IF(MONTH(Raw_Data!B417)&gt;=4,YEAR(Raw_Data!B417)&amp;"-"&amp;RIGHT(YEAR(Raw_Data!B417)+1,2),YEAR(Raw_Data!B417)-1&amp;"-"&amp;RIGHT(YEAR(Raw_Data!B417),2))</f>
        <v>2022-23</v>
      </c>
      <c r="E417" t="str">
        <f>"Q"&amp;ROUNDUP(MONTH(Raw_Data!B417)/3,0)</f>
        <v>Q4</v>
      </c>
      <c r="F417" t="str">
        <f>TEXT(Raw_Data!B417,"mmm")</f>
        <v>Oct</v>
      </c>
      <c r="G417" t="str">
        <f>TEXT(Raw_Data!B417,"ddd")</f>
        <v>Thu</v>
      </c>
      <c r="H417" t="str">
        <f>Raw_Data!D417</f>
        <v>Invoiced</v>
      </c>
      <c r="I417" t="str">
        <f>Raw_Data!F417</f>
        <v>Web Lead</v>
      </c>
      <c r="J417" t="str">
        <f>Raw_Data!G417</f>
        <v>Web</v>
      </c>
      <c r="K417" t="str">
        <f>IFERROR(VLOOKUP(J417,Source_Assumptions!$A:$C,2,0),"Unmapped")</f>
        <v>Digital - Owned</v>
      </c>
      <c r="L417" t="str">
        <f>Raw_Data!H417</f>
        <v>5TH GEN CITY PE</v>
      </c>
      <c r="M417" t="str">
        <f>IFERROR(VLOOKUP(L417,Model_Assumptions!$A:$D,2,0),"Unmapped")</f>
        <v>Mid-size Sedan</v>
      </c>
      <c r="N417" t="str">
        <f>IFERROR(VLOOKUP(L417,Model_Assumptions!$A:$D,3,0),"Unmapped")</f>
        <v>Petrol</v>
      </c>
      <c r="O417">
        <f>IFERROR(VLOOKUP(L417,Model_Assumptions!$A:$D,4,0),0)</f>
        <v>1250000</v>
      </c>
      <c r="P417">
        <f>IFERROR(VLOOKUP(J417,Source_Assumptions!$A:$C,3,0),0)</f>
        <v>300</v>
      </c>
    </row>
    <row r="418" spans="1:16" x14ac:dyDescent="0.3">
      <c r="A418">
        <f>Raw_Data!A418</f>
        <v>417</v>
      </c>
      <c r="B418" s="2">
        <f>Raw_Data!B418</f>
        <v>44854</v>
      </c>
      <c r="C418">
        <f>YEAR(Raw_Data!B418)</f>
        <v>2022</v>
      </c>
      <c r="D418" t="str">
        <f>IF(MONTH(Raw_Data!B418)&gt;=4,YEAR(Raw_Data!B418)&amp;"-"&amp;RIGHT(YEAR(Raw_Data!B418)+1,2),YEAR(Raw_Data!B418)-1&amp;"-"&amp;RIGHT(YEAR(Raw_Data!B418),2))</f>
        <v>2022-23</v>
      </c>
      <c r="E418" t="str">
        <f>"Q"&amp;ROUNDUP(MONTH(Raw_Data!B418)/3,0)</f>
        <v>Q4</v>
      </c>
      <c r="F418" t="str">
        <f>TEXT(Raw_Data!B418,"mmm")</f>
        <v>Oct</v>
      </c>
      <c r="G418" t="str">
        <f>TEXT(Raw_Data!B418,"ddd")</f>
        <v>Thu</v>
      </c>
      <c r="H418" t="str">
        <f>Raw_Data!D418</f>
        <v>Invoiced</v>
      </c>
      <c r="I418" t="str">
        <f>Raw_Data!F418</f>
        <v>Tele-in</v>
      </c>
      <c r="J418" t="str">
        <f>Raw_Data!G418</f>
        <v>Dealer Webpage Tele-In</v>
      </c>
      <c r="K418" t="str">
        <f>IFERROR(VLOOKUP(J418,Source_Assumptions!$A:$C,2,0),"Unmapped")</f>
        <v>Digital - Owned</v>
      </c>
      <c r="L418" t="str">
        <f>Raw_Data!H418</f>
        <v>AMAZE Petrol</v>
      </c>
      <c r="M418" t="str">
        <f>IFERROR(VLOOKUP(L418,Model_Assumptions!$A:$D,2,0),"Unmapped")</f>
        <v>Sub-4m Sedan</v>
      </c>
      <c r="N418" t="str">
        <f>IFERROR(VLOOKUP(L418,Model_Assumptions!$A:$D,3,0),"Unmapped")</f>
        <v>Petrol</v>
      </c>
      <c r="O418">
        <f>IFERROR(VLOOKUP(L418,Model_Assumptions!$A:$D,4,0),0)</f>
        <v>850000</v>
      </c>
      <c r="P418">
        <f>IFERROR(VLOOKUP(J418,Source_Assumptions!$A:$C,3,0),0)</f>
        <v>300</v>
      </c>
    </row>
    <row r="419" spans="1:16" x14ac:dyDescent="0.3">
      <c r="A419">
        <f>Raw_Data!A419</f>
        <v>418</v>
      </c>
      <c r="B419" s="2">
        <f>Raw_Data!B419</f>
        <v>44855</v>
      </c>
      <c r="C419">
        <f>YEAR(Raw_Data!B419)</f>
        <v>2022</v>
      </c>
      <c r="D419" t="str">
        <f>IF(MONTH(Raw_Data!B419)&gt;=4,YEAR(Raw_Data!B419)&amp;"-"&amp;RIGHT(YEAR(Raw_Data!B419)+1,2),YEAR(Raw_Data!B419)-1&amp;"-"&amp;RIGHT(YEAR(Raw_Data!B419),2))</f>
        <v>2022-23</v>
      </c>
      <c r="E419" t="str">
        <f>"Q"&amp;ROUNDUP(MONTH(Raw_Data!B419)/3,0)</f>
        <v>Q4</v>
      </c>
      <c r="F419" t="str">
        <f>TEXT(Raw_Data!B419,"mmm")</f>
        <v>Oct</v>
      </c>
      <c r="G419" t="str">
        <f>TEXT(Raw_Data!B419,"ddd")</f>
        <v>Fri</v>
      </c>
      <c r="H419" t="str">
        <f>Raw_Data!D419</f>
        <v>Invoiced</v>
      </c>
      <c r="I419" t="str">
        <f>Raw_Data!F419</f>
        <v>Tele-in</v>
      </c>
      <c r="J419" t="str">
        <f>Raw_Data!G419</f>
        <v>Dealer Webpage Tele-In</v>
      </c>
      <c r="K419" t="str">
        <f>IFERROR(VLOOKUP(J419,Source_Assumptions!$A:$C,2,0),"Unmapped")</f>
        <v>Digital - Owned</v>
      </c>
      <c r="L419" t="str">
        <f>Raw_Data!H419</f>
        <v>AMAZE Petrol</v>
      </c>
      <c r="M419" t="str">
        <f>IFERROR(VLOOKUP(L419,Model_Assumptions!$A:$D,2,0),"Unmapped")</f>
        <v>Sub-4m Sedan</v>
      </c>
      <c r="N419" t="str">
        <f>IFERROR(VLOOKUP(L419,Model_Assumptions!$A:$D,3,0),"Unmapped")</f>
        <v>Petrol</v>
      </c>
      <c r="O419">
        <f>IFERROR(VLOOKUP(L419,Model_Assumptions!$A:$D,4,0),0)</f>
        <v>850000</v>
      </c>
      <c r="P419">
        <f>IFERROR(VLOOKUP(J419,Source_Assumptions!$A:$C,3,0),0)</f>
        <v>300</v>
      </c>
    </row>
    <row r="420" spans="1:16" x14ac:dyDescent="0.3">
      <c r="A420">
        <f>Raw_Data!A420</f>
        <v>419</v>
      </c>
      <c r="B420" s="2">
        <f>Raw_Data!B420</f>
        <v>44856</v>
      </c>
      <c r="C420">
        <f>YEAR(Raw_Data!B420)</f>
        <v>2022</v>
      </c>
      <c r="D420" t="str">
        <f>IF(MONTH(Raw_Data!B420)&gt;=4,YEAR(Raw_Data!B420)&amp;"-"&amp;RIGHT(YEAR(Raw_Data!B420)+1,2),YEAR(Raw_Data!B420)-1&amp;"-"&amp;RIGHT(YEAR(Raw_Data!B420),2))</f>
        <v>2022-23</v>
      </c>
      <c r="E420" t="str">
        <f>"Q"&amp;ROUNDUP(MONTH(Raw_Data!B420)/3,0)</f>
        <v>Q4</v>
      </c>
      <c r="F420" t="str">
        <f>TEXT(Raw_Data!B420,"mmm")</f>
        <v>Oct</v>
      </c>
      <c r="G420" t="str">
        <f>TEXT(Raw_Data!B420,"ddd")</f>
        <v>Sat</v>
      </c>
      <c r="H420" t="str">
        <f>Raw_Data!D420</f>
        <v>Invoiced</v>
      </c>
      <c r="I420" t="str">
        <f>Raw_Data!F420</f>
        <v>SMS/ Tele-Out</v>
      </c>
      <c r="J420" t="str">
        <f>Raw_Data!G420</f>
        <v>I-BAP Referral</v>
      </c>
      <c r="K420" t="str">
        <f>IFERROR(VLOOKUP(J420,Source_Assumptions!$A:$C,2,0),"Unmapped")</f>
        <v>Referral (Insurance/Banking Partner)</v>
      </c>
      <c r="L420" t="str">
        <f>Raw_Data!H420</f>
        <v>AMAZE Petrol</v>
      </c>
      <c r="M420" t="str">
        <f>IFERROR(VLOOKUP(L420,Model_Assumptions!$A:$D,2,0),"Unmapped")</f>
        <v>Sub-4m Sedan</v>
      </c>
      <c r="N420" t="str">
        <f>IFERROR(VLOOKUP(L420,Model_Assumptions!$A:$D,3,0),"Unmapped")</f>
        <v>Petrol</v>
      </c>
      <c r="O420">
        <f>IFERROR(VLOOKUP(L420,Model_Assumptions!$A:$D,4,0),0)</f>
        <v>850000</v>
      </c>
      <c r="P420">
        <f>IFERROR(VLOOKUP(J420,Source_Assumptions!$A:$C,3,0),0)</f>
        <v>150</v>
      </c>
    </row>
    <row r="421" spans="1:16" x14ac:dyDescent="0.3">
      <c r="A421">
        <f>Raw_Data!A421</f>
        <v>420</v>
      </c>
      <c r="B421" s="2">
        <f>Raw_Data!B421</f>
        <v>44859</v>
      </c>
      <c r="C421">
        <f>YEAR(Raw_Data!B421)</f>
        <v>2022</v>
      </c>
      <c r="D421" t="str">
        <f>IF(MONTH(Raw_Data!B421)&gt;=4,YEAR(Raw_Data!B421)&amp;"-"&amp;RIGHT(YEAR(Raw_Data!B421)+1,2),YEAR(Raw_Data!B421)-1&amp;"-"&amp;RIGHT(YEAR(Raw_Data!B421),2))</f>
        <v>2022-23</v>
      </c>
      <c r="E421" t="str">
        <f>"Q"&amp;ROUNDUP(MONTH(Raw_Data!B421)/3,0)</f>
        <v>Q4</v>
      </c>
      <c r="F421" t="str">
        <f>TEXT(Raw_Data!B421,"mmm")</f>
        <v>Oct</v>
      </c>
      <c r="G421" t="str">
        <f>TEXT(Raw_Data!B421,"ddd")</f>
        <v>Tue</v>
      </c>
      <c r="H421" t="str">
        <f>Raw_Data!D421</f>
        <v>Invoiced</v>
      </c>
      <c r="I421" t="str">
        <f>Raw_Data!F421</f>
        <v>SMS/ Tele-Out</v>
      </c>
      <c r="J421" t="str">
        <f>Raw_Data!G421</f>
        <v>Database Activity(Teleout/SMS)</v>
      </c>
      <c r="K421" t="str">
        <f>IFERROR(VLOOKUP(J421,Source_Assumptions!$A:$C,2,0),"Unmapped")</f>
        <v>Outbound/Database</v>
      </c>
      <c r="L421" t="str">
        <f>Raw_Data!H421</f>
        <v>JAZZ PE</v>
      </c>
      <c r="M421" t="str">
        <f>IFERROR(VLOOKUP(L421,Model_Assumptions!$A:$D,2,0),"Unmapped")</f>
        <v>Hatchback</v>
      </c>
      <c r="N421" t="str">
        <f>IFERROR(VLOOKUP(L421,Model_Assumptions!$A:$D,3,0),"Unmapped")</f>
        <v>Petrol</v>
      </c>
      <c r="O421">
        <f>IFERROR(VLOOKUP(L421,Model_Assumptions!$A:$D,4,0),0)</f>
        <v>800000</v>
      </c>
      <c r="P421">
        <f>IFERROR(VLOOKUP(J421,Source_Assumptions!$A:$C,3,0),0)</f>
        <v>250</v>
      </c>
    </row>
    <row r="422" spans="1:16" x14ac:dyDescent="0.3">
      <c r="A422">
        <f>Raw_Data!A422</f>
        <v>421</v>
      </c>
      <c r="B422" s="2">
        <f>Raw_Data!B422</f>
        <v>44860</v>
      </c>
      <c r="C422">
        <f>YEAR(Raw_Data!B422)</f>
        <v>2022</v>
      </c>
      <c r="D422" t="str">
        <f>IF(MONTH(Raw_Data!B422)&gt;=4,YEAR(Raw_Data!B422)&amp;"-"&amp;RIGHT(YEAR(Raw_Data!B422)+1,2),YEAR(Raw_Data!B422)-1&amp;"-"&amp;RIGHT(YEAR(Raw_Data!B422),2))</f>
        <v>2022-23</v>
      </c>
      <c r="E422" t="str">
        <f>"Q"&amp;ROUNDUP(MONTH(Raw_Data!B422)/3,0)</f>
        <v>Q4</v>
      </c>
      <c r="F422" t="str">
        <f>TEXT(Raw_Data!B422,"mmm")</f>
        <v>Oct</v>
      </c>
      <c r="G422" t="str">
        <f>TEXT(Raw_Data!B422,"ddd")</f>
        <v>Wed</v>
      </c>
      <c r="H422" t="str">
        <f>Raw_Data!D422</f>
        <v>Invoiced</v>
      </c>
      <c r="I422" t="str">
        <f>Raw_Data!F422</f>
        <v>Walk-in Showroom</v>
      </c>
      <c r="J422" t="str">
        <f>Raw_Data!G422</f>
        <v>Adver. (TVC/Print/Hoarding/FM)</v>
      </c>
      <c r="K422" t="str">
        <f>IFERROR(VLOOKUP(J422,Source_Assumptions!$A:$C,2,0),"Unmapped")</f>
        <v>Traditional Advertising</v>
      </c>
      <c r="L422" t="str">
        <f>Raw_Data!H422</f>
        <v>5TH GEN CITY PE</v>
      </c>
      <c r="M422" t="str">
        <f>IFERROR(VLOOKUP(L422,Model_Assumptions!$A:$D,2,0),"Unmapped")</f>
        <v>Mid-size Sedan</v>
      </c>
      <c r="N422" t="str">
        <f>IFERROR(VLOOKUP(L422,Model_Assumptions!$A:$D,3,0),"Unmapped")</f>
        <v>Petrol</v>
      </c>
      <c r="O422">
        <f>IFERROR(VLOOKUP(L422,Model_Assumptions!$A:$D,4,0),0)</f>
        <v>1250000</v>
      </c>
      <c r="P422">
        <f>IFERROR(VLOOKUP(J422,Source_Assumptions!$A:$C,3,0),0)</f>
        <v>1200</v>
      </c>
    </row>
    <row r="423" spans="1:16" x14ac:dyDescent="0.3">
      <c r="A423">
        <f>Raw_Data!A423</f>
        <v>422</v>
      </c>
      <c r="B423" s="2">
        <f>Raw_Data!B423</f>
        <v>44860</v>
      </c>
      <c r="C423">
        <f>YEAR(Raw_Data!B423)</f>
        <v>2022</v>
      </c>
      <c r="D423" t="str">
        <f>IF(MONTH(Raw_Data!B423)&gt;=4,YEAR(Raw_Data!B423)&amp;"-"&amp;RIGHT(YEAR(Raw_Data!B423)+1,2),YEAR(Raw_Data!B423)-1&amp;"-"&amp;RIGHT(YEAR(Raw_Data!B423),2))</f>
        <v>2022-23</v>
      </c>
      <c r="E423" t="str">
        <f>"Q"&amp;ROUNDUP(MONTH(Raw_Data!B423)/3,0)</f>
        <v>Q4</v>
      </c>
      <c r="F423" t="str">
        <f>TEXT(Raw_Data!B423,"mmm")</f>
        <v>Oct</v>
      </c>
      <c r="G423" t="str">
        <f>TEXT(Raw_Data!B423,"ddd")</f>
        <v>Wed</v>
      </c>
      <c r="H423" t="str">
        <f>Raw_Data!D423</f>
        <v>Invoiced</v>
      </c>
      <c r="I423" t="str">
        <f>Raw_Data!F423</f>
        <v>SMS/ Tele-Out</v>
      </c>
      <c r="J423" t="str">
        <f>Raw_Data!G423</f>
        <v>Database Activity(Teleout/SMS)</v>
      </c>
      <c r="K423" t="str">
        <f>IFERROR(VLOOKUP(J423,Source_Assumptions!$A:$C,2,0),"Unmapped")</f>
        <v>Outbound/Database</v>
      </c>
      <c r="L423" t="str">
        <f>Raw_Data!H423</f>
        <v>5TH GEN CITY PE</v>
      </c>
      <c r="M423" t="str">
        <f>IFERROR(VLOOKUP(L423,Model_Assumptions!$A:$D,2,0),"Unmapped")</f>
        <v>Mid-size Sedan</v>
      </c>
      <c r="N423" t="str">
        <f>IFERROR(VLOOKUP(L423,Model_Assumptions!$A:$D,3,0),"Unmapped")</f>
        <v>Petrol</v>
      </c>
      <c r="O423">
        <f>IFERROR(VLOOKUP(L423,Model_Assumptions!$A:$D,4,0),0)</f>
        <v>1250000</v>
      </c>
      <c r="P423">
        <f>IFERROR(VLOOKUP(J423,Source_Assumptions!$A:$C,3,0),0)</f>
        <v>250</v>
      </c>
    </row>
    <row r="424" spans="1:16" x14ac:dyDescent="0.3">
      <c r="A424">
        <f>Raw_Data!A424</f>
        <v>423</v>
      </c>
      <c r="B424" s="2">
        <f>Raw_Data!B424</f>
        <v>44860</v>
      </c>
      <c r="C424">
        <f>YEAR(Raw_Data!B424)</f>
        <v>2022</v>
      </c>
      <c r="D424" t="str">
        <f>IF(MONTH(Raw_Data!B424)&gt;=4,YEAR(Raw_Data!B424)&amp;"-"&amp;RIGHT(YEAR(Raw_Data!B424)+1,2),YEAR(Raw_Data!B424)-1&amp;"-"&amp;RIGHT(YEAR(Raw_Data!B424),2))</f>
        <v>2022-23</v>
      </c>
      <c r="E424" t="str">
        <f>"Q"&amp;ROUNDUP(MONTH(Raw_Data!B424)/3,0)</f>
        <v>Q4</v>
      </c>
      <c r="F424" t="str">
        <f>TEXT(Raw_Data!B424,"mmm")</f>
        <v>Oct</v>
      </c>
      <c r="G424" t="str">
        <f>TEXT(Raw_Data!B424,"ddd")</f>
        <v>Wed</v>
      </c>
      <c r="H424" t="str">
        <f>Raw_Data!D424</f>
        <v>Invoiced</v>
      </c>
      <c r="I424" t="str">
        <f>Raw_Data!F424</f>
        <v>Tele-in</v>
      </c>
      <c r="J424" t="str">
        <f>Raw_Data!G424</f>
        <v>Dealer Webpage Tele-In</v>
      </c>
      <c r="K424" t="str">
        <f>IFERROR(VLOOKUP(J424,Source_Assumptions!$A:$C,2,0),"Unmapped")</f>
        <v>Digital - Owned</v>
      </c>
      <c r="L424" t="str">
        <f>Raw_Data!H424</f>
        <v>AMAZE Petrol</v>
      </c>
      <c r="M424" t="str">
        <f>IFERROR(VLOOKUP(L424,Model_Assumptions!$A:$D,2,0),"Unmapped")</f>
        <v>Sub-4m Sedan</v>
      </c>
      <c r="N424" t="str">
        <f>IFERROR(VLOOKUP(L424,Model_Assumptions!$A:$D,3,0),"Unmapped")</f>
        <v>Petrol</v>
      </c>
      <c r="O424">
        <f>IFERROR(VLOOKUP(L424,Model_Assumptions!$A:$D,4,0),0)</f>
        <v>850000</v>
      </c>
      <c r="P424">
        <f>IFERROR(VLOOKUP(J424,Source_Assumptions!$A:$C,3,0),0)</f>
        <v>300</v>
      </c>
    </row>
    <row r="425" spans="1:16" x14ac:dyDescent="0.3">
      <c r="A425">
        <f>Raw_Data!A425</f>
        <v>424</v>
      </c>
      <c r="B425" s="2">
        <f>Raw_Data!B425</f>
        <v>44861</v>
      </c>
      <c r="C425">
        <f>YEAR(Raw_Data!B425)</f>
        <v>2022</v>
      </c>
      <c r="D425" t="str">
        <f>IF(MONTH(Raw_Data!B425)&gt;=4,YEAR(Raw_Data!B425)&amp;"-"&amp;RIGHT(YEAR(Raw_Data!B425)+1,2),YEAR(Raw_Data!B425)-1&amp;"-"&amp;RIGHT(YEAR(Raw_Data!B425),2))</f>
        <v>2022-23</v>
      </c>
      <c r="E425" t="str">
        <f>"Q"&amp;ROUNDUP(MONTH(Raw_Data!B425)/3,0)</f>
        <v>Q4</v>
      </c>
      <c r="F425" t="str">
        <f>TEXT(Raw_Data!B425,"mmm")</f>
        <v>Oct</v>
      </c>
      <c r="G425" t="str">
        <f>TEXT(Raw_Data!B425,"ddd")</f>
        <v>Thu</v>
      </c>
      <c r="H425" t="str">
        <f>Raw_Data!D425</f>
        <v>Invoiced</v>
      </c>
      <c r="I425" t="str">
        <f>Raw_Data!F425</f>
        <v>Tele-in</v>
      </c>
      <c r="J425" t="str">
        <f>Raw_Data!G425</f>
        <v>Dealer Webpage Tele-In</v>
      </c>
      <c r="K425" t="str">
        <f>IFERROR(VLOOKUP(J425,Source_Assumptions!$A:$C,2,0),"Unmapped")</f>
        <v>Digital - Owned</v>
      </c>
      <c r="L425" t="str">
        <f>Raw_Data!H425</f>
        <v>CITY PE</v>
      </c>
      <c r="M425" t="str">
        <f>IFERROR(VLOOKUP(L425,Model_Assumptions!$A:$D,2,0),"Unmapped")</f>
        <v>Mid-size Sedan</v>
      </c>
      <c r="N425" t="str">
        <f>IFERROR(VLOOKUP(L425,Model_Assumptions!$A:$D,3,0),"Unmapped")</f>
        <v>Petrol</v>
      </c>
      <c r="O425">
        <f>IFERROR(VLOOKUP(L425,Model_Assumptions!$A:$D,4,0),0)</f>
        <v>1100000</v>
      </c>
      <c r="P425">
        <f>IFERROR(VLOOKUP(J425,Source_Assumptions!$A:$C,3,0),0)</f>
        <v>300</v>
      </c>
    </row>
    <row r="426" spans="1:16" x14ac:dyDescent="0.3">
      <c r="A426">
        <f>Raw_Data!A426</f>
        <v>425</v>
      </c>
      <c r="B426" s="2">
        <f>Raw_Data!B426</f>
        <v>44861</v>
      </c>
      <c r="C426">
        <f>YEAR(Raw_Data!B426)</f>
        <v>2022</v>
      </c>
      <c r="D426" t="str">
        <f>IF(MONTH(Raw_Data!B426)&gt;=4,YEAR(Raw_Data!B426)&amp;"-"&amp;RIGHT(YEAR(Raw_Data!B426)+1,2),YEAR(Raw_Data!B426)-1&amp;"-"&amp;RIGHT(YEAR(Raw_Data!B426),2))</f>
        <v>2022-23</v>
      </c>
      <c r="E426" t="str">
        <f>"Q"&amp;ROUNDUP(MONTH(Raw_Data!B426)/3,0)</f>
        <v>Q4</v>
      </c>
      <c r="F426" t="str">
        <f>TEXT(Raw_Data!B426,"mmm")</f>
        <v>Oct</v>
      </c>
      <c r="G426" t="str">
        <f>TEXT(Raw_Data!B426,"ddd")</f>
        <v>Thu</v>
      </c>
      <c r="H426" t="str">
        <f>Raw_Data!D426</f>
        <v>Invoiced</v>
      </c>
      <c r="I426" t="str">
        <f>Raw_Data!F426</f>
        <v>SMS/ Tele-Out</v>
      </c>
      <c r="J426" t="str">
        <f>Raw_Data!G426</f>
        <v>I-BAP Referral</v>
      </c>
      <c r="K426" t="str">
        <f>IFERROR(VLOOKUP(J426,Source_Assumptions!$A:$C,2,0),"Unmapped")</f>
        <v>Referral (Insurance/Banking Partner)</v>
      </c>
      <c r="L426" t="str">
        <f>Raw_Data!H426</f>
        <v>5TH GEN CITY PE</v>
      </c>
      <c r="M426" t="str">
        <f>IFERROR(VLOOKUP(L426,Model_Assumptions!$A:$D,2,0),"Unmapped")</f>
        <v>Mid-size Sedan</v>
      </c>
      <c r="N426" t="str">
        <f>IFERROR(VLOOKUP(L426,Model_Assumptions!$A:$D,3,0),"Unmapped")</f>
        <v>Petrol</v>
      </c>
      <c r="O426">
        <f>IFERROR(VLOOKUP(L426,Model_Assumptions!$A:$D,4,0),0)</f>
        <v>1250000</v>
      </c>
      <c r="P426">
        <f>IFERROR(VLOOKUP(J426,Source_Assumptions!$A:$C,3,0),0)</f>
        <v>150</v>
      </c>
    </row>
    <row r="427" spans="1:16" x14ac:dyDescent="0.3">
      <c r="A427">
        <f>Raw_Data!A427</f>
        <v>426</v>
      </c>
      <c r="B427" s="2">
        <f>Raw_Data!B427</f>
        <v>44861</v>
      </c>
      <c r="C427">
        <f>YEAR(Raw_Data!B427)</f>
        <v>2022</v>
      </c>
      <c r="D427" t="str">
        <f>IF(MONTH(Raw_Data!B427)&gt;=4,YEAR(Raw_Data!B427)&amp;"-"&amp;RIGHT(YEAR(Raw_Data!B427)+1,2),YEAR(Raw_Data!B427)-1&amp;"-"&amp;RIGHT(YEAR(Raw_Data!B427),2))</f>
        <v>2022-23</v>
      </c>
      <c r="E427" t="str">
        <f>"Q"&amp;ROUNDUP(MONTH(Raw_Data!B427)/3,0)</f>
        <v>Q4</v>
      </c>
      <c r="F427" t="str">
        <f>TEXT(Raw_Data!B427,"mmm")</f>
        <v>Oct</v>
      </c>
      <c r="G427" t="str">
        <f>TEXT(Raw_Data!B427,"ddd")</f>
        <v>Thu</v>
      </c>
      <c r="H427" t="str">
        <f>Raw_Data!D427</f>
        <v>Invoiced</v>
      </c>
      <c r="I427" t="str">
        <f>Raw_Data!F427</f>
        <v>SMS/ Tele-Out</v>
      </c>
      <c r="J427" t="str">
        <f>Raw_Data!G427</f>
        <v>I-BAP Self</v>
      </c>
      <c r="K427" t="str">
        <f>IFERROR(VLOOKUP(J427,Source_Assumptions!$A:$C,2,0),"Unmapped")</f>
        <v>Referral (Insurance/Banking Partner)</v>
      </c>
      <c r="L427" t="str">
        <f>Raw_Data!H427</f>
        <v>AMAZE Petrol</v>
      </c>
      <c r="M427" t="str">
        <f>IFERROR(VLOOKUP(L427,Model_Assumptions!$A:$D,2,0),"Unmapped")</f>
        <v>Sub-4m Sedan</v>
      </c>
      <c r="N427" t="str">
        <f>IFERROR(VLOOKUP(L427,Model_Assumptions!$A:$D,3,0),"Unmapped")</f>
        <v>Petrol</v>
      </c>
      <c r="O427">
        <f>IFERROR(VLOOKUP(L427,Model_Assumptions!$A:$D,4,0),0)</f>
        <v>850000</v>
      </c>
      <c r="P427">
        <f>IFERROR(VLOOKUP(J427,Source_Assumptions!$A:$C,3,0),0)</f>
        <v>100</v>
      </c>
    </row>
    <row r="428" spans="1:16" x14ac:dyDescent="0.3">
      <c r="A428">
        <f>Raw_Data!A428</f>
        <v>427</v>
      </c>
      <c r="B428" s="2">
        <f>Raw_Data!B428</f>
        <v>44862</v>
      </c>
      <c r="C428">
        <f>YEAR(Raw_Data!B428)</f>
        <v>2022</v>
      </c>
      <c r="D428" t="str">
        <f>IF(MONTH(Raw_Data!B428)&gt;=4,YEAR(Raw_Data!B428)&amp;"-"&amp;RIGHT(YEAR(Raw_Data!B428)+1,2),YEAR(Raw_Data!B428)-1&amp;"-"&amp;RIGHT(YEAR(Raw_Data!B428),2))</f>
        <v>2022-23</v>
      </c>
      <c r="E428" t="str">
        <f>"Q"&amp;ROUNDUP(MONTH(Raw_Data!B428)/3,0)</f>
        <v>Q4</v>
      </c>
      <c r="F428" t="str">
        <f>TEXT(Raw_Data!B428,"mmm")</f>
        <v>Oct</v>
      </c>
      <c r="G428" t="str">
        <f>TEXT(Raw_Data!B428,"ddd")</f>
        <v>Fri</v>
      </c>
      <c r="H428" t="str">
        <f>Raw_Data!D428</f>
        <v>Invoiced</v>
      </c>
      <c r="I428" t="str">
        <f>Raw_Data!F428</f>
        <v>Tele-in</v>
      </c>
      <c r="J428" t="str">
        <f>Raw_Data!G428</f>
        <v>Referral-CAM</v>
      </c>
      <c r="K428" t="str">
        <f>IFERROR(VLOOKUP(J428,Source_Assumptions!$A:$C,2,0),"Unmapped")</f>
        <v>Referral</v>
      </c>
      <c r="L428" t="str">
        <f>Raw_Data!H428</f>
        <v>JAZZ PE</v>
      </c>
      <c r="M428" t="str">
        <f>IFERROR(VLOOKUP(L428,Model_Assumptions!$A:$D,2,0),"Unmapped")</f>
        <v>Hatchback</v>
      </c>
      <c r="N428" t="str">
        <f>IFERROR(VLOOKUP(L428,Model_Assumptions!$A:$D,3,0),"Unmapped")</f>
        <v>Petrol</v>
      </c>
      <c r="O428">
        <f>IFERROR(VLOOKUP(L428,Model_Assumptions!$A:$D,4,0),0)</f>
        <v>800000</v>
      </c>
      <c r="P428">
        <f>IFERROR(VLOOKUP(J428,Source_Assumptions!$A:$C,3,0),0)</f>
        <v>150</v>
      </c>
    </row>
    <row r="429" spans="1:16" x14ac:dyDescent="0.3">
      <c r="A429">
        <f>Raw_Data!A429</f>
        <v>428</v>
      </c>
      <c r="B429" s="2">
        <f>Raw_Data!B429</f>
        <v>44862</v>
      </c>
      <c r="C429">
        <f>YEAR(Raw_Data!B429)</f>
        <v>2022</v>
      </c>
      <c r="D429" t="str">
        <f>IF(MONTH(Raw_Data!B429)&gt;=4,YEAR(Raw_Data!B429)&amp;"-"&amp;RIGHT(YEAR(Raw_Data!B429)+1,2),YEAR(Raw_Data!B429)-1&amp;"-"&amp;RIGHT(YEAR(Raw_Data!B429),2))</f>
        <v>2022-23</v>
      </c>
      <c r="E429" t="str">
        <f>"Q"&amp;ROUNDUP(MONTH(Raw_Data!B429)/3,0)</f>
        <v>Q4</v>
      </c>
      <c r="F429" t="str">
        <f>TEXT(Raw_Data!B429,"mmm")</f>
        <v>Oct</v>
      </c>
      <c r="G429" t="str">
        <f>TEXT(Raw_Data!B429,"ddd")</f>
        <v>Fri</v>
      </c>
      <c r="H429" t="str">
        <f>Raw_Data!D429</f>
        <v>Invoiced</v>
      </c>
      <c r="I429" t="str">
        <f>Raw_Data!F429</f>
        <v>Tele-in</v>
      </c>
      <c r="J429" t="str">
        <f>Raw_Data!G429</f>
        <v>Dealer Webpage Tele-In</v>
      </c>
      <c r="K429" t="str">
        <f>IFERROR(VLOOKUP(J429,Source_Assumptions!$A:$C,2,0),"Unmapped")</f>
        <v>Digital - Owned</v>
      </c>
      <c r="L429" t="str">
        <f>Raw_Data!H429</f>
        <v>CITY PE</v>
      </c>
      <c r="M429" t="str">
        <f>IFERROR(VLOOKUP(L429,Model_Assumptions!$A:$D,2,0),"Unmapped")</f>
        <v>Mid-size Sedan</v>
      </c>
      <c r="N429" t="str">
        <f>IFERROR(VLOOKUP(L429,Model_Assumptions!$A:$D,3,0),"Unmapped")</f>
        <v>Petrol</v>
      </c>
      <c r="O429">
        <f>IFERROR(VLOOKUP(L429,Model_Assumptions!$A:$D,4,0),0)</f>
        <v>1100000</v>
      </c>
      <c r="P429">
        <f>IFERROR(VLOOKUP(J429,Source_Assumptions!$A:$C,3,0),0)</f>
        <v>300</v>
      </c>
    </row>
    <row r="430" spans="1:16" x14ac:dyDescent="0.3">
      <c r="A430">
        <f>Raw_Data!A430</f>
        <v>429</v>
      </c>
      <c r="B430" s="2">
        <f>Raw_Data!B430</f>
        <v>44863</v>
      </c>
      <c r="C430">
        <f>YEAR(Raw_Data!B430)</f>
        <v>2022</v>
      </c>
      <c r="D430" t="str">
        <f>IF(MONTH(Raw_Data!B430)&gt;=4,YEAR(Raw_Data!B430)&amp;"-"&amp;RIGHT(YEAR(Raw_Data!B430)+1,2),YEAR(Raw_Data!B430)-1&amp;"-"&amp;RIGHT(YEAR(Raw_Data!B430),2))</f>
        <v>2022-23</v>
      </c>
      <c r="E430" t="str">
        <f>"Q"&amp;ROUNDUP(MONTH(Raw_Data!B430)/3,0)</f>
        <v>Q4</v>
      </c>
      <c r="F430" t="str">
        <f>TEXT(Raw_Data!B430,"mmm")</f>
        <v>Oct</v>
      </c>
      <c r="G430" t="str">
        <f>TEXT(Raw_Data!B430,"ddd")</f>
        <v>Sat</v>
      </c>
      <c r="H430" t="str">
        <f>Raw_Data!D430</f>
        <v>Invoiced</v>
      </c>
      <c r="I430" t="str">
        <f>Raw_Data!F430</f>
        <v>Tele-in</v>
      </c>
      <c r="J430" t="str">
        <f>Raw_Data!G430</f>
        <v>Dealer Webpage Tele-In</v>
      </c>
      <c r="K430" t="str">
        <f>IFERROR(VLOOKUP(J430,Source_Assumptions!$A:$C,2,0),"Unmapped")</f>
        <v>Digital - Owned</v>
      </c>
      <c r="L430" t="str">
        <f>Raw_Data!H430</f>
        <v>AMAZE Petrol</v>
      </c>
      <c r="M430" t="str">
        <f>IFERROR(VLOOKUP(L430,Model_Assumptions!$A:$D,2,0),"Unmapped")</f>
        <v>Sub-4m Sedan</v>
      </c>
      <c r="N430" t="str">
        <f>IFERROR(VLOOKUP(L430,Model_Assumptions!$A:$D,3,0),"Unmapped")</f>
        <v>Petrol</v>
      </c>
      <c r="O430">
        <f>IFERROR(VLOOKUP(L430,Model_Assumptions!$A:$D,4,0),0)</f>
        <v>850000</v>
      </c>
      <c r="P430">
        <f>IFERROR(VLOOKUP(J430,Source_Assumptions!$A:$C,3,0),0)</f>
        <v>300</v>
      </c>
    </row>
    <row r="431" spans="1:16" x14ac:dyDescent="0.3">
      <c r="A431">
        <f>Raw_Data!A431</f>
        <v>430</v>
      </c>
      <c r="B431" s="2">
        <f>Raw_Data!B431</f>
        <v>44863</v>
      </c>
      <c r="C431">
        <f>YEAR(Raw_Data!B431)</f>
        <v>2022</v>
      </c>
      <c r="D431" t="str">
        <f>IF(MONTH(Raw_Data!B431)&gt;=4,YEAR(Raw_Data!B431)&amp;"-"&amp;RIGHT(YEAR(Raw_Data!B431)+1,2),YEAR(Raw_Data!B431)-1&amp;"-"&amp;RIGHT(YEAR(Raw_Data!B431),2))</f>
        <v>2022-23</v>
      </c>
      <c r="E431" t="str">
        <f>"Q"&amp;ROUNDUP(MONTH(Raw_Data!B431)/3,0)</f>
        <v>Q4</v>
      </c>
      <c r="F431" t="str">
        <f>TEXT(Raw_Data!B431,"mmm")</f>
        <v>Oct</v>
      </c>
      <c r="G431" t="str">
        <f>TEXT(Raw_Data!B431,"ddd")</f>
        <v>Sat</v>
      </c>
      <c r="H431" t="str">
        <f>Raw_Data!D431</f>
        <v>Invoiced</v>
      </c>
      <c r="I431" t="str">
        <f>Raw_Data!F431</f>
        <v>SMS/ Tele-Out</v>
      </c>
      <c r="J431" t="str">
        <f>Raw_Data!G431</f>
        <v>I-BAP Self</v>
      </c>
      <c r="K431" t="str">
        <f>IFERROR(VLOOKUP(J431,Source_Assumptions!$A:$C,2,0),"Unmapped")</f>
        <v>Referral (Insurance/Banking Partner)</v>
      </c>
      <c r="L431" t="str">
        <f>Raw_Data!H431</f>
        <v>5TH GEN CITY PE</v>
      </c>
      <c r="M431" t="str">
        <f>IFERROR(VLOOKUP(L431,Model_Assumptions!$A:$D,2,0),"Unmapped")</f>
        <v>Mid-size Sedan</v>
      </c>
      <c r="N431" t="str">
        <f>IFERROR(VLOOKUP(L431,Model_Assumptions!$A:$D,3,0),"Unmapped")</f>
        <v>Petrol</v>
      </c>
      <c r="O431">
        <f>IFERROR(VLOOKUP(L431,Model_Assumptions!$A:$D,4,0),0)</f>
        <v>1250000</v>
      </c>
      <c r="P431">
        <f>IFERROR(VLOOKUP(J431,Source_Assumptions!$A:$C,3,0),0)</f>
        <v>100</v>
      </c>
    </row>
    <row r="432" spans="1:16" x14ac:dyDescent="0.3">
      <c r="A432">
        <f>Raw_Data!A432</f>
        <v>431</v>
      </c>
      <c r="B432" s="2">
        <f>Raw_Data!B432</f>
        <v>44863</v>
      </c>
      <c r="C432">
        <f>YEAR(Raw_Data!B432)</f>
        <v>2022</v>
      </c>
      <c r="D432" t="str">
        <f>IF(MONTH(Raw_Data!B432)&gt;=4,YEAR(Raw_Data!B432)&amp;"-"&amp;RIGHT(YEAR(Raw_Data!B432)+1,2),YEAR(Raw_Data!B432)-1&amp;"-"&amp;RIGHT(YEAR(Raw_Data!B432),2))</f>
        <v>2022-23</v>
      </c>
      <c r="E432" t="str">
        <f>"Q"&amp;ROUNDUP(MONTH(Raw_Data!B432)/3,0)</f>
        <v>Q4</v>
      </c>
      <c r="F432" t="str">
        <f>TEXT(Raw_Data!B432,"mmm")</f>
        <v>Oct</v>
      </c>
      <c r="G432" t="str">
        <f>TEXT(Raw_Data!B432,"ddd")</f>
        <v>Sat</v>
      </c>
      <c r="H432" t="str">
        <f>Raw_Data!D432</f>
        <v>Invoiced</v>
      </c>
      <c r="I432" t="str">
        <f>Raw_Data!F432</f>
        <v>Tele-in</v>
      </c>
      <c r="J432" t="str">
        <f>Raw_Data!G432</f>
        <v>Web_Facebook</v>
      </c>
      <c r="K432" t="str">
        <f>IFERROR(VLOOKUP(J432,Source_Assumptions!$A:$C,2,0),"Unmapped")</f>
        <v>Digital - Paid Social</v>
      </c>
      <c r="L432" t="str">
        <f>Raw_Data!H432</f>
        <v>5TH GEN CITY PE</v>
      </c>
      <c r="M432" t="str">
        <f>IFERROR(VLOOKUP(L432,Model_Assumptions!$A:$D,2,0),"Unmapped")</f>
        <v>Mid-size Sedan</v>
      </c>
      <c r="N432" t="str">
        <f>IFERROR(VLOOKUP(L432,Model_Assumptions!$A:$D,3,0),"Unmapped")</f>
        <v>Petrol</v>
      </c>
      <c r="O432">
        <f>IFERROR(VLOOKUP(L432,Model_Assumptions!$A:$D,4,0),0)</f>
        <v>1250000</v>
      </c>
      <c r="P432">
        <f>IFERROR(VLOOKUP(J432,Source_Assumptions!$A:$C,3,0),0)</f>
        <v>600</v>
      </c>
    </row>
    <row r="433" spans="1:16" x14ac:dyDescent="0.3">
      <c r="A433">
        <f>Raw_Data!A433</f>
        <v>432</v>
      </c>
      <c r="B433" s="2">
        <f>Raw_Data!B433</f>
        <v>44863</v>
      </c>
      <c r="C433">
        <f>YEAR(Raw_Data!B433)</f>
        <v>2022</v>
      </c>
      <c r="D433" t="str">
        <f>IF(MONTH(Raw_Data!B433)&gt;=4,YEAR(Raw_Data!B433)&amp;"-"&amp;RIGHT(YEAR(Raw_Data!B433)+1,2),YEAR(Raw_Data!B433)-1&amp;"-"&amp;RIGHT(YEAR(Raw_Data!B433),2))</f>
        <v>2022-23</v>
      </c>
      <c r="E433" t="str">
        <f>"Q"&amp;ROUNDUP(MONTH(Raw_Data!B433)/3,0)</f>
        <v>Q4</v>
      </c>
      <c r="F433" t="str">
        <f>TEXT(Raw_Data!B433,"mmm")</f>
        <v>Oct</v>
      </c>
      <c r="G433" t="str">
        <f>TEXT(Raw_Data!B433,"ddd")</f>
        <v>Sat</v>
      </c>
      <c r="H433" t="str">
        <f>Raw_Data!D433</f>
        <v>Invoiced</v>
      </c>
      <c r="I433" t="str">
        <f>Raw_Data!F433</f>
        <v>Walk-in Showroom</v>
      </c>
      <c r="J433" t="str">
        <f>Raw_Data!G433</f>
        <v>Adver. (TVC/Print/Hoarding/FM)</v>
      </c>
      <c r="K433" t="str">
        <f>IFERROR(VLOOKUP(J433,Source_Assumptions!$A:$C,2,0),"Unmapped")</f>
        <v>Traditional Advertising</v>
      </c>
      <c r="L433" t="str">
        <f>Raw_Data!H433</f>
        <v>AMAZE Petrol</v>
      </c>
      <c r="M433" t="str">
        <f>IFERROR(VLOOKUP(L433,Model_Assumptions!$A:$D,2,0),"Unmapped")</f>
        <v>Sub-4m Sedan</v>
      </c>
      <c r="N433" t="str">
        <f>IFERROR(VLOOKUP(L433,Model_Assumptions!$A:$D,3,0),"Unmapped")</f>
        <v>Petrol</v>
      </c>
      <c r="O433">
        <f>IFERROR(VLOOKUP(L433,Model_Assumptions!$A:$D,4,0),0)</f>
        <v>850000</v>
      </c>
      <c r="P433">
        <f>IFERROR(VLOOKUP(J433,Source_Assumptions!$A:$C,3,0),0)</f>
        <v>1200</v>
      </c>
    </row>
    <row r="434" spans="1:16" x14ac:dyDescent="0.3">
      <c r="A434">
        <f>Raw_Data!A434</f>
        <v>433</v>
      </c>
      <c r="B434" s="2">
        <f>Raw_Data!B434</f>
        <v>44865</v>
      </c>
      <c r="C434">
        <f>YEAR(Raw_Data!B434)</f>
        <v>2022</v>
      </c>
      <c r="D434" t="str">
        <f>IF(MONTH(Raw_Data!B434)&gt;=4,YEAR(Raw_Data!B434)&amp;"-"&amp;RIGHT(YEAR(Raw_Data!B434)+1,2),YEAR(Raw_Data!B434)-1&amp;"-"&amp;RIGHT(YEAR(Raw_Data!B434),2))</f>
        <v>2022-23</v>
      </c>
      <c r="E434" t="str">
        <f>"Q"&amp;ROUNDUP(MONTH(Raw_Data!B434)/3,0)</f>
        <v>Q4</v>
      </c>
      <c r="F434" t="str">
        <f>TEXT(Raw_Data!B434,"mmm")</f>
        <v>Oct</v>
      </c>
      <c r="G434" t="str">
        <f>TEXT(Raw_Data!B434,"ddd")</f>
        <v>Mon</v>
      </c>
      <c r="H434" t="str">
        <f>Raw_Data!D434</f>
        <v>Invoiced</v>
      </c>
      <c r="I434" t="str">
        <f>Raw_Data!F434</f>
        <v>Tele-in</v>
      </c>
      <c r="J434" t="str">
        <f>Raw_Data!G434</f>
        <v>Dealer Webpage Tele-In</v>
      </c>
      <c r="K434" t="str">
        <f>IFERROR(VLOOKUP(J434,Source_Assumptions!$A:$C,2,0),"Unmapped")</f>
        <v>Digital - Owned</v>
      </c>
      <c r="L434" t="str">
        <f>Raw_Data!H434</f>
        <v>AMAZE Petrol</v>
      </c>
      <c r="M434" t="str">
        <f>IFERROR(VLOOKUP(L434,Model_Assumptions!$A:$D,2,0),"Unmapped")</f>
        <v>Sub-4m Sedan</v>
      </c>
      <c r="N434" t="str">
        <f>IFERROR(VLOOKUP(L434,Model_Assumptions!$A:$D,3,0),"Unmapped")</f>
        <v>Petrol</v>
      </c>
      <c r="O434">
        <f>IFERROR(VLOOKUP(L434,Model_Assumptions!$A:$D,4,0),0)</f>
        <v>850000</v>
      </c>
      <c r="P434">
        <f>IFERROR(VLOOKUP(J434,Source_Assumptions!$A:$C,3,0),0)</f>
        <v>300</v>
      </c>
    </row>
    <row r="435" spans="1:16" x14ac:dyDescent="0.3">
      <c r="A435">
        <f>Raw_Data!A435</f>
        <v>434</v>
      </c>
      <c r="B435" s="2">
        <f>Raw_Data!B435</f>
        <v>44865</v>
      </c>
      <c r="C435">
        <f>YEAR(Raw_Data!B435)</f>
        <v>2022</v>
      </c>
      <c r="D435" t="str">
        <f>IF(MONTH(Raw_Data!B435)&gt;=4,YEAR(Raw_Data!B435)&amp;"-"&amp;RIGHT(YEAR(Raw_Data!B435)+1,2),YEAR(Raw_Data!B435)-1&amp;"-"&amp;RIGHT(YEAR(Raw_Data!B435),2))</f>
        <v>2022-23</v>
      </c>
      <c r="E435" t="str">
        <f>"Q"&amp;ROUNDUP(MONTH(Raw_Data!B435)/3,0)</f>
        <v>Q4</v>
      </c>
      <c r="F435" t="str">
        <f>TEXT(Raw_Data!B435,"mmm")</f>
        <v>Oct</v>
      </c>
      <c r="G435" t="str">
        <f>TEXT(Raw_Data!B435,"ddd")</f>
        <v>Mon</v>
      </c>
      <c r="H435" t="str">
        <f>Raw_Data!D435</f>
        <v>Invoiced</v>
      </c>
      <c r="I435" t="str">
        <f>Raw_Data!F435</f>
        <v>Web Lead</v>
      </c>
      <c r="J435" t="str">
        <f>Raw_Data!G435</f>
        <v>Web_CarDekho</v>
      </c>
      <c r="K435" t="str">
        <f>IFERROR(VLOOKUP(J435,Source_Assumptions!$A:$C,2,0),"Unmapped")</f>
        <v>Digital - Aggregator (Paid)</v>
      </c>
      <c r="L435" t="str">
        <f>Raw_Data!H435</f>
        <v>5TH GEN CITY PE</v>
      </c>
      <c r="M435" t="str">
        <f>IFERROR(VLOOKUP(L435,Model_Assumptions!$A:$D,2,0),"Unmapped")</f>
        <v>Mid-size Sedan</v>
      </c>
      <c r="N435" t="str">
        <f>IFERROR(VLOOKUP(L435,Model_Assumptions!$A:$D,3,0),"Unmapped")</f>
        <v>Petrol</v>
      </c>
      <c r="O435">
        <f>IFERROR(VLOOKUP(L435,Model_Assumptions!$A:$D,4,0),0)</f>
        <v>1250000</v>
      </c>
      <c r="P435">
        <f>IFERROR(VLOOKUP(J435,Source_Assumptions!$A:$C,3,0),0)</f>
        <v>900</v>
      </c>
    </row>
    <row r="436" spans="1:16" x14ac:dyDescent="0.3">
      <c r="A436">
        <f>Raw_Data!A436</f>
        <v>435</v>
      </c>
      <c r="B436" s="2">
        <f>Raw_Data!B436</f>
        <v>44865</v>
      </c>
      <c r="C436">
        <f>YEAR(Raw_Data!B436)</f>
        <v>2022</v>
      </c>
      <c r="D436" t="str">
        <f>IF(MONTH(Raw_Data!B436)&gt;=4,YEAR(Raw_Data!B436)&amp;"-"&amp;RIGHT(YEAR(Raw_Data!B436)+1,2),YEAR(Raw_Data!B436)-1&amp;"-"&amp;RIGHT(YEAR(Raw_Data!B436),2))</f>
        <v>2022-23</v>
      </c>
      <c r="E436" t="str">
        <f>"Q"&amp;ROUNDUP(MONTH(Raw_Data!B436)/3,0)</f>
        <v>Q4</v>
      </c>
      <c r="F436" t="str">
        <f>TEXT(Raw_Data!B436,"mmm")</f>
        <v>Oct</v>
      </c>
      <c r="G436" t="str">
        <f>TEXT(Raw_Data!B436,"ddd")</f>
        <v>Mon</v>
      </c>
      <c r="H436" t="str">
        <f>Raw_Data!D436</f>
        <v>Invoiced</v>
      </c>
      <c r="I436" t="str">
        <f>Raw_Data!F436</f>
        <v>SMS/ Tele-Out</v>
      </c>
      <c r="J436" t="str">
        <f>Raw_Data!G436</f>
        <v>I-BAP Referral</v>
      </c>
      <c r="K436" t="str">
        <f>IFERROR(VLOOKUP(J436,Source_Assumptions!$A:$C,2,0),"Unmapped")</f>
        <v>Referral (Insurance/Banking Partner)</v>
      </c>
      <c r="L436" t="str">
        <f>Raw_Data!H436</f>
        <v>5TH GEN CITY PE</v>
      </c>
      <c r="M436" t="str">
        <f>IFERROR(VLOOKUP(L436,Model_Assumptions!$A:$D,2,0),"Unmapped")</f>
        <v>Mid-size Sedan</v>
      </c>
      <c r="N436" t="str">
        <f>IFERROR(VLOOKUP(L436,Model_Assumptions!$A:$D,3,0),"Unmapped")</f>
        <v>Petrol</v>
      </c>
      <c r="O436">
        <f>IFERROR(VLOOKUP(L436,Model_Assumptions!$A:$D,4,0),0)</f>
        <v>1250000</v>
      </c>
      <c r="P436">
        <f>IFERROR(VLOOKUP(J436,Source_Assumptions!$A:$C,3,0),0)</f>
        <v>150</v>
      </c>
    </row>
    <row r="437" spans="1:16" x14ac:dyDescent="0.3">
      <c r="A437">
        <f>Raw_Data!A437</f>
        <v>436</v>
      </c>
      <c r="B437" s="2">
        <f>Raw_Data!B437</f>
        <v>44865</v>
      </c>
      <c r="C437">
        <f>YEAR(Raw_Data!B437)</f>
        <v>2022</v>
      </c>
      <c r="D437" t="str">
        <f>IF(MONTH(Raw_Data!B437)&gt;=4,YEAR(Raw_Data!B437)&amp;"-"&amp;RIGHT(YEAR(Raw_Data!B437)+1,2),YEAR(Raw_Data!B437)-1&amp;"-"&amp;RIGHT(YEAR(Raw_Data!B437),2))</f>
        <v>2022-23</v>
      </c>
      <c r="E437" t="str">
        <f>"Q"&amp;ROUNDUP(MONTH(Raw_Data!B437)/3,0)</f>
        <v>Q4</v>
      </c>
      <c r="F437" t="str">
        <f>TEXT(Raw_Data!B437,"mmm")</f>
        <v>Oct</v>
      </c>
      <c r="G437" t="str">
        <f>TEXT(Raw_Data!B437,"ddd")</f>
        <v>Mon</v>
      </c>
      <c r="H437" t="str">
        <f>Raw_Data!D437</f>
        <v>Invoiced</v>
      </c>
      <c r="I437" t="str">
        <f>Raw_Data!F437</f>
        <v>Web Lead</v>
      </c>
      <c r="J437" t="str">
        <f>Raw_Data!G437</f>
        <v>Web</v>
      </c>
      <c r="K437" t="str">
        <f>IFERROR(VLOOKUP(J437,Source_Assumptions!$A:$C,2,0),"Unmapped")</f>
        <v>Digital - Owned</v>
      </c>
      <c r="L437" t="str">
        <f>Raw_Data!H437</f>
        <v>AMAZE Petrol</v>
      </c>
      <c r="M437" t="str">
        <f>IFERROR(VLOOKUP(L437,Model_Assumptions!$A:$D,2,0),"Unmapped")</f>
        <v>Sub-4m Sedan</v>
      </c>
      <c r="N437" t="str">
        <f>IFERROR(VLOOKUP(L437,Model_Assumptions!$A:$D,3,0),"Unmapped")</f>
        <v>Petrol</v>
      </c>
      <c r="O437">
        <f>IFERROR(VLOOKUP(L437,Model_Assumptions!$A:$D,4,0),0)</f>
        <v>850000</v>
      </c>
      <c r="P437">
        <f>IFERROR(VLOOKUP(J437,Source_Assumptions!$A:$C,3,0),0)</f>
        <v>300</v>
      </c>
    </row>
    <row r="438" spans="1:16" x14ac:dyDescent="0.3">
      <c r="A438">
        <f>Raw_Data!A438</f>
        <v>437</v>
      </c>
      <c r="B438" s="2">
        <f>Raw_Data!B438</f>
        <v>44865</v>
      </c>
      <c r="C438">
        <f>YEAR(Raw_Data!B438)</f>
        <v>2022</v>
      </c>
      <c r="D438" t="str">
        <f>IF(MONTH(Raw_Data!B438)&gt;=4,YEAR(Raw_Data!B438)&amp;"-"&amp;RIGHT(YEAR(Raw_Data!B438)+1,2),YEAR(Raw_Data!B438)-1&amp;"-"&amp;RIGHT(YEAR(Raw_Data!B438),2))</f>
        <v>2022-23</v>
      </c>
      <c r="E438" t="str">
        <f>"Q"&amp;ROUNDUP(MONTH(Raw_Data!B438)/3,0)</f>
        <v>Q4</v>
      </c>
      <c r="F438" t="str">
        <f>TEXT(Raw_Data!B438,"mmm")</f>
        <v>Oct</v>
      </c>
      <c r="G438" t="str">
        <f>TEXT(Raw_Data!B438,"ddd")</f>
        <v>Mon</v>
      </c>
      <c r="H438" t="str">
        <f>Raw_Data!D438</f>
        <v>Invoiced</v>
      </c>
      <c r="I438" t="str">
        <f>Raw_Data!F438</f>
        <v>Tele-in</v>
      </c>
      <c r="J438" t="str">
        <f>Raw_Data!G438</f>
        <v>Dealer Webpage Lead</v>
      </c>
      <c r="K438" t="str">
        <f>IFERROR(VLOOKUP(J438,Source_Assumptions!$A:$C,2,0),"Unmapped")</f>
        <v>Digital - Owned</v>
      </c>
      <c r="L438" t="str">
        <f>Raw_Data!H438</f>
        <v>5TH GEN CITY PE</v>
      </c>
      <c r="M438" t="str">
        <f>IFERROR(VLOOKUP(L438,Model_Assumptions!$A:$D,2,0),"Unmapped")</f>
        <v>Mid-size Sedan</v>
      </c>
      <c r="N438" t="str">
        <f>IFERROR(VLOOKUP(L438,Model_Assumptions!$A:$D,3,0),"Unmapped")</f>
        <v>Petrol</v>
      </c>
      <c r="O438">
        <f>IFERROR(VLOOKUP(L438,Model_Assumptions!$A:$D,4,0),0)</f>
        <v>1250000</v>
      </c>
      <c r="P438">
        <f>IFERROR(VLOOKUP(J438,Source_Assumptions!$A:$C,3,0),0)</f>
        <v>300</v>
      </c>
    </row>
    <row r="439" spans="1:16" x14ac:dyDescent="0.3">
      <c r="A439">
        <f>Raw_Data!A439</f>
        <v>438</v>
      </c>
      <c r="B439" s="2">
        <f>Raw_Data!B439</f>
        <v>44865</v>
      </c>
      <c r="C439">
        <f>YEAR(Raw_Data!B439)</f>
        <v>2022</v>
      </c>
      <c r="D439" t="str">
        <f>IF(MONTH(Raw_Data!B439)&gt;=4,YEAR(Raw_Data!B439)&amp;"-"&amp;RIGHT(YEAR(Raw_Data!B439)+1,2),YEAR(Raw_Data!B439)-1&amp;"-"&amp;RIGHT(YEAR(Raw_Data!B439),2))</f>
        <v>2022-23</v>
      </c>
      <c r="E439" t="str">
        <f>"Q"&amp;ROUNDUP(MONTH(Raw_Data!B439)/3,0)</f>
        <v>Q4</v>
      </c>
      <c r="F439" t="str">
        <f>TEXT(Raw_Data!B439,"mmm")</f>
        <v>Oct</v>
      </c>
      <c r="G439" t="str">
        <f>TEXT(Raw_Data!B439,"ddd")</f>
        <v>Mon</v>
      </c>
      <c r="H439" t="str">
        <f>Raw_Data!D439</f>
        <v>Invoiced</v>
      </c>
      <c r="I439" t="str">
        <f>Raw_Data!F439</f>
        <v>SMS/ Tele-Out</v>
      </c>
      <c r="J439" t="str">
        <f>Raw_Data!G439</f>
        <v>I-BAP Self</v>
      </c>
      <c r="K439" t="str">
        <f>IFERROR(VLOOKUP(J439,Source_Assumptions!$A:$C,2,0),"Unmapped")</f>
        <v>Referral (Insurance/Banking Partner)</v>
      </c>
      <c r="L439" t="str">
        <f>Raw_Data!H439</f>
        <v>5TH GEN CITY e:HEV</v>
      </c>
      <c r="M439" t="str">
        <f>IFERROR(VLOOKUP(L439,Model_Assumptions!$A:$D,2,0),"Unmapped")</f>
        <v>Mid-size Sedan</v>
      </c>
      <c r="N439" t="str">
        <f>IFERROR(VLOOKUP(L439,Model_Assumptions!$A:$D,3,0),"Unmapped")</f>
        <v>Hybrid</v>
      </c>
      <c r="O439">
        <f>IFERROR(VLOOKUP(L439,Model_Assumptions!$A:$D,4,0),0)</f>
        <v>1950000</v>
      </c>
      <c r="P439">
        <f>IFERROR(VLOOKUP(J439,Source_Assumptions!$A:$C,3,0),0)</f>
        <v>100</v>
      </c>
    </row>
    <row r="440" spans="1:16" x14ac:dyDescent="0.3">
      <c r="A440">
        <f>Raw_Data!A440</f>
        <v>439</v>
      </c>
      <c r="B440" s="2">
        <f>Raw_Data!B440</f>
        <v>44865</v>
      </c>
      <c r="C440">
        <f>YEAR(Raw_Data!B440)</f>
        <v>2022</v>
      </c>
      <c r="D440" t="str">
        <f>IF(MONTH(Raw_Data!B440)&gt;=4,YEAR(Raw_Data!B440)&amp;"-"&amp;RIGHT(YEAR(Raw_Data!B440)+1,2),YEAR(Raw_Data!B440)-1&amp;"-"&amp;RIGHT(YEAR(Raw_Data!B440),2))</f>
        <v>2022-23</v>
      </c>
      <c r="E440" t="str">
        <f>"Q"&amp;ROUNDUP(MONTH(Raw_Data!B440)/3,0)</f>
        <v>Q4</v>
      </c>
      <c r="F440" t="str">
        <f>TEXT(Raw_Data!B440,"mmm")</f>
        <v>Oct</v>
      </c>
      <c r="G440" t="str">
        <f>TEXT(Raw_Data!B440,"ddd")</f>
        <v>Mon</v>
      </c>
      <c r="H440" t="str">
        <f>Raw_Data!D440</f>
        <v>Invoiced</v>
      </c>
      <c r="I440" t="str">
        <f>Raw_Data!F440</f>
        <v>SMS/ Tele-Out</v>
      </c>
      <c r="J440" t="str">
        <f>Raw_Data!G440</f>
        <v>I-BAP Referral</v>
      </c>
      <c r="K440" t="str">
        <f>IFERROR(VLOOKUP(J440,Source_Assumptions!$A:$C,2,0),"Unmapped")</f>
        <v>Referral (Insurance/Banking Partner)</v>
      </c>
      <c r="L440" t="str">
        <f>Raw_Data!H440</f>
        <v>AMAZE Petrol</v>
      </c>
      <c r="M440" t="str">
        <f>IFERROR(VLOOKUP(L440,Model_Assumptions!$A:$D,2,0),"Unmapped")</f>
        <v>Sub-4m Sedan</v>
      </c>
      <c r="N440" t="str">
        <f>IFERROR(VLOOKUP(L440,Model_Assumptions!$A:$D,3,0),"Unmapped")</f>
        <v>Petrol</v>
      </c>
      <c r="O440">
        <f>IFERROR(VLOOKUP(L440,Model_Assumptions!$A:$D,4,0),0)</f>
        <v>850000</v>
      </c>
      <c r="P440">
        <f>IFERROR(VLOOKUP(J440,Source_Assumptions!$A:$C,3,0),0)</f>
        <v>150</v>
      </c>
    </row>
    <row r="441" spans="1:16" x14ac:dyDescent="0.3">
      <c r="A441">
        <f>Raw_Data!A441</f>
        <v>440</v>
      </c>
      <c r="B441" s="2">
        <f>Raw_Data!B441</f>
        <v>44865</v>
      </c>
      <c r="C441">
        <f>YEAR(Raw_Data!B441)</f>
        <v>2022</v>
      </c>
      <c r="D441" t="str">
        <f>IF(MONTH(Raw_Data!B441)&gt;=4,YEAR(Raw_Data!B441)&amp;"-"&amp;RIGHT(YEAR(Raw_Data!B441)+1,2),YEAR(Raw_Data!B441)-1&amp;"-"&amp;RIGHT(YEAR(Raw_Data!B441),2))</f>
        <v>2022-23</v>
      </c>
      <c r="E441" t="str">
        <f>"Q"&amp;ROUNDUP(MONTH(Raw_Data!B441)/3,0)</f>
        <v>Q4</v>
      </c>
      <c r="F441" t="str">
        <f>TEXT(Raw_Data!B441,"mmm")</f>
        <v>Oct</v>
      </c>
      <c r="G441" t="str">
        <f>TEXT(Raw_Data!B441,"ddd")</f>
        <v>Mon</v>
      </c>
      <c r="H441" t="str">
        <f>Raw_Data!D441</f>
        <v>Invoiced</v>
      </c>
      <c r="I441" t="str">
        <f>Raw_Data!F441</f>
        <v>Web Lead</v>
      </c>
      <c r="J441" t="str">
        <f>Raw_Data!G441</f>
        <v>Web_Organic</v>
      </c>
      <c r="K441" t="str">
        <f>IFERROR(VLOOKUP(J441,Source_Assumptions!$A:$C,2,0),"Unmapped")</f>
        <v>Digital - Organic</v>
      </c>
      <c r="L441" t="str">
        <f>Raw_Data!H441</f>
        <v>AMAZE Petrol</v>
      </c>
      <c r="M441" t="str">
        <f>IFERROR(VLOOKUP(L441,Model_Assumptions!$A:$D,2,0),"Unmapped")</f>
        <v>Sub-4m Sedan</v>
      </c>
      <c r="N441" t="str">
        <f>IFERROR(VLOOKUP(L441,Model_Assumptions!$A:$D,3,0),"Unmapped")</f>
        <v>Petrol</v>
      </c>
      <c r="O441">
        <f>IFERROR(VLOOKUP(L441,Model_Assumptions!$A:$D,4,0),0)</f>
        <v>850000</v>
      </c>
      <c r="P441">
        <f>IFERROR(VLOOKUP(J441,Source_Assumptions!$A:$C,3,0),0)</f>
        <v>100</v>
      </c>
    </row>
    <row r="442" spans="1:16" x14ac:dyDescent="0.3">
      <c r="A442">
        <f>Raw_Data!A442</f>
        <v>441</v>
      </c>
      <c r="B442" s="2">
        <f>Raw_Data!B442</f>
        <v>44873</v>
      </c>
      <c r="C442">
        <f>YEAR(Raw_Data!B442)</f>
        <v>2022</v>
      </c>
      <c r="D442" t="str">
        <f>IF(MONTH(Raw_Data!B442)&gt;=4,YEAR(Raw_Data!B442)&amp;"-"&amp;RIGHT(YEAR(Raw_Data!B442)+1,2),YEAR(Raw_Data!B442)-1&amp;"-"&amp;RIGHT(YEAR(Raw_Data!B442),2))</f>
        <v>2022-23</v>
      </c>
      <c r="E442" t="str">
        <f>"Q"&amp;ROUNDUP(MONTH(Raw_Data!B442)/3,0)</f>
        <v>Q4</v>
      </c>
      <c r="F442" t="str">
        <f>TEXT(Raw_Data!B442,"mmm")</f>
        <v>Nov</v>
      </c>
      <c r="G442" t="str">
        <f>TEXT(Raw_Data!B442,"ddd")</f>
        <v>Tue</v>
      </c>
      <c r="H442" t="str">
        <f>Raw_Data!D442</f>
        <v>Invoiced</v>
      </c>
      <c r="I442" t="str">
        <f>Raw_Data!F442</f>
        <v>Tele-in</v>
      </c>
      <c r="J442" t="str">
        <f>Raw_Data!G442</f>
        <v>Dealer Webpage Tele-In</v>
      </c>
      <c r="K442" t="str">
        <f>IFERROR(VLOOKUP(J442,Source_Assumptions!$A:$C,2,0),"Unmapped")</f>
        <v>Digital - Owned</v>
      </c>
      <c r="L442" t="str">
        <f>Raw_Data!H442</f>
        <v>AMAZE Petrol</v>
      </c>
      <c r="M442" t="str">
        <f>IFERROR(VLOOKUP(L442,Model_Assumptions!$A:$D,2,0),"Unmapped")</f>
        <v>Sub-4m Sedan</v>
      </c>
      <c r="N442" t="str">
        <f>IFERROR(VLOOKUP(L442,Model_Assumptions!$A:$D,3,0),"Unmapped")</f>
        <v>Petrol</v>
      </c>
      <c r="O442">
        <f>IFERROR(VLOOKUP(L442,Model_Assumptions!$A:$D,4,0),0)</f>
        <v>850000</v>
      </c>
      <c r="P442">
        <f>IFERROR(VLOOKUP(J442,Source_Assumptions!$A:$C,3,0),0)</f>
        <v>300</v>
      </c>
    </row>
    <row r="443" spans="1:16" x14ac:dyDescent="0.3">
      <c r="A443">
        <f>Raw_Data!A443</f>
        <v>442</v>
      </c>
      <c r="B443" s="2">
        <f>Raw_Data!B443</f>
        <v>44873</v>
      </c>
      <c r="C443">
        <f>YEAR(Raw_Data!B443)</f>
        <v>2022</v>
      </c>
      <c r="D443" t="str">
        <f>IF(MONTH(Raw_Data!B443)&gt;=4,YEAR(Raw_Data!B443)&amp;"-"&amp;RIGHT(YEAR(Raw_Data!B443)+1,2),YEAR(Raw_Data!B443)-1&amp;"-"&amp;RIGHT(YEAR(Raw_Data!B443),2))</f>
        <v>2022-23</v>
      </c>
      <c r="E443" t="str">
        <f>"Q"&amp;ROUNDUP(MONTH(Raw_Data!B443)/3,0)</f>
        <v>Q4</v>
      </c>
      <c r="F443" t="str">
        <f>TEXT(Raw_Data!B443,"mmm")</f>
        <v>Nov</v>
      </c>
      <c r="G443" t="str">
        <f>TEXT(Raw_Data!B443,"ddd")</f>
        <v>Tue</v>
      </c>
      <c r="H443" t="str">
        <f>Raw_Data!D443</f>
        <v>Invoiced</v>
      </c>
      <c r="I443" t="str">
        <f>Raw_Data!F443</f>
        <v>SMS/ Tele-Out</v>
      </c>
      <c r="J443" t="str">
        <f>Raw_Data!G443</f>
        <v>Database Activity(Teleout/SMS)</v>
      </c>
      <c r="K443" t="str">
        <f>IFERROR(VLOOKUP(J443,Source_Assumptions!$A:$C,2,0),"Unmapped")</f>
        <v>Outbound/Database</v>
      </c>
      <c r="L443" t="str">
        <f>Raw_Data!H443</f>
        <v>AMAZE Petrol</v>
      </c>
      <c r="M443" t="str">
        <f>IFERROR(VLOOKUP(L443,Model_Assumptions!$A:$D,2,0),"Unmapped")</f>
        <v>Sub-4m Sedan</v>
      </c>
      <c r="N443" t="str">
        <f>IFERROR(VLOOKUP(L443,Model_Assumptions!$A:$D,3,0),"Unmapped")</f>
        <v>Petrol</v>
      </c>
      <c r="O443">
        <f>IFERROR(VLOOKUP(L443,Model_Assumptions!$A:$D,4,0),0)</f>
        <v>850000</v>
      </c>
      <c r="P443">
        <f>IFERROR(VLOOKUP(J443,Source_Assumptions!$A:$C,3,0),0)</f>
        <v>250</v>
      </c>
    </row>
    <row r="444" spans="1:16" x14ac:dyDescent="0.3">
      <c r="A444">
        <f>Raw_Data!A444</f>
        <v>443</v>
      </c>
      <c r="B444" s="2">
        <f>Raw_Data!B444</f>
        <v>44875</v>
      </c>
      <c r="C444">
        <f>YEAR(Raw_Data!B444)</f>
        <v>2022</v>
      </c>
      <c r="D444" t="str">
        <f>IF(MONTH(Raw_Data!B444)&gt;=4,YEAR(Raw_Data!B444)&amp;"-"&amp;RIGHT(YEAR(Raw_Data!B444)+1,2),YEAR(Raw_Data!B444)-1&amp;"-"&amp;RIGHT(YEAR(Raw_Data!B444),2))</f>
        <v>2022-23</v>
      </c>
      <c r="E444" t="str">
        <f>"Q"&amp;ROUNDUP(MONTH(Raw_Data!B444)/3,0)</f>
        <v>Q4</v>
      </c>
      <c r="F444" t="str">
        <f>TEXT(Raw_Data!B444,"mmm")</f>
        <v>Nov</v>
      </c>
      <c r="G444" t="str">
        <f>TEXT(Raw_Data!B444,"ddd")</f>
        <v>Thu</v>
      </c>
      <c r="H444" t="str">
        <f>Raw_Data!D444</f>
        <v>Invoiced</v>
      </c>
      <c r="I444" t="str">
        <f>Raw_Data!F444</f>
        <v>Tele-in</v>
      </c>
      <c r="J444" t="str">
        <f>Raw_Data!G444</f>
        <v>Dealer Webpage Tele-In</v>
      </c>
      <c r="K444" t="str">
        <f>IFERROR(VLOOKUP(J444,Source_Assumptions!$A:$C,2,0),"Unmapped")</f>
        <v>Digital - Owned</v>
      </c>
      <c r="L444" t="str">
        <f>Raw_Data!H444</f>
        <v>JAZZ PE</v>
      </c>
      <c r="M444" t="str">
        <f>IFERROR(VLOOKUP(L444,Model_Assumptions!$A:$D,2,0),"Unmapped")</f>
        <v>Hatchback</v>
      </c>
      <c r="N444" t="str">
        <f>IFERROR(VLOOKUP(L444,Model_Assumptions!$A:$D,3,0),"Unmapped")</f>
        <v>Petrol</v>
      </c>
      <c r="O444">
        <f>IFERROR(VLOOKUP(L444,Model_Assumptions!$A:$D,4,0),0)</f>
        <v>800000</v>
      </c>
      <c r="P444">
        <f>IFERROR(VLOOKUP(J444,Source_Assumptions!$A:$C,3,0),0)</f>
        <v>300</v>
      </c>
    </row>
    <row r="445" spans="1:16" x14ac:dyDescent="0.3">
      <c r="A445">
        <f>Raw_Data!A445</f>
        <v>444</v>
      </c>
      <c r="B445" s="2">
        <f>Raw_Data!B445</f>
        <v>44877</v>
      </c>
      <c r="C445">
        <f>YEAR(Raw_Data!B445)</f>
        <v>2022</v>
      </c>
      <c r="D445" t="str">
        <f>IF(MONTH(Raw_Data!B445)&gt;=4,YEAR(Raw_Data!B445)&amp;"-"&amp;RIGHT(YEAR(Raw_Data!B445)+1,2),YEAR(Raw_Data!B445)-1&amp;"-"&amp;RIGHT(YEAR(Raw_Data!B445),2))</f>
        <v>2022-23</v>
      </c>
      <c r="E445" t="str">
        <f>"Q"&amp;ROUNDUP(MONTH(Raw_Data!B445)/3,0)</f>
        <v>Q4</v>
      </c>
      <c r="F445" t="str">
        <f>TEXT(Raw_Data!B445,"mmm")</f>
        <v>Nov</v>
      </c>
      <c r="G445" t="str">
        <f>TEXT(Raw_Data!B445,"ddd")</f>
        <v>Sat</v>
      </c>
      <c r="H445" t="str">
        <f>Raw_Data!D445</f>
        <v>Invoiced</v>
      </c>
      <c r="I445" t="str">
        <f>Raw_Data!F445</f>
        <v>Walk-in Showroom</v>
      </c>
      <c r="J445" t="str">
        <f>Raw_Data!G445</f>
        <v>Adver. (TVC/Print/Hoarding/FM)</v>
      </c>
      <c r="K445" t="str">
        <f>IFERROR(VLOOKUP(J445,Source_Assumptions!$A:$C,2,0),"Unmapped")</f>
        <v>Traditional Advertising</v>
      </c>
      <c r="L445" t="str">
        <f>Raw_Data!H445</f>
        <v>JAZZ PE</v>
      </c>
      <c r="M445" t="str">
        <f>IFERROR(VLOOKUP(L445,Model_Assumptions!$A:$D,2,0),"Unmapped")</f>
        <v>Hatchback</v>
      </c>
      <c r="N445" t="str">
        <f>IFERROR(VLOOKUP(L445,Model_Assumptions!$A:$D,3,0),"Unmapped")</f>
        <v>Petrol</v>
      </c>
      <c r="O445">
        <f>IFERROR(VLOOKUP(L445,Model_Assumptions!$A:$D,4,0),0)</f>
        <v>800000</v>
      </c>
      <c r="P445">
        <f>IFERROR(VLOOKUP(J445,Source_Assumptions!$A:$C,3,0),0)</f>
        <v>1200</v>
      </c>
    </row>
    <row r="446" spans="1:16" x14ac:dyDescent="0.3">
      <c r="A446">
        <f>Raw_Data!A446</f>
        <v>445</v>
      </c>
      <c r="B446" s="2">
        <f>Raw_Data!B446</f>
        <v>44879</v>
      </c>
      <c r="C446">
        <f>YEAR(Raw_Data!B446)</f>
        <v>2022</v>
      </c>
      <c r="D446" t="str">
        <f>IF(MONTH(Raw_Data!B446)&gt;=4,YEAR(Raw_Data!B446)&amp;"-"&amp;RIGHT(YEAR(Raw_Data!B446)+1,2),YEAR(Raw_Data!B446)-1&amp;"-"&amp;RIGHT(YEAR(Raw_Data!B446),2))</f>
        <v>2022-23</v>
      </c>
      <c r="E446" t="str">
        <f>"Q"&amp;ROUNDUP(MONTH(Raw_Data!B446)/3,0)</f>
        <v>Q4</v>
      </c>
      <c r="F446" t="str">
        <f>TEXT(Raw_Data!B446,"mmm")</f>
        <v>Nov</v>
      </c>
      <c r="G446" t="str">
        <f>TEXT(Raw_Data!B446,"ddd")</f>
        <v>Mon</v>
      </c>
      <c r="H446" t="str">
        <f>Raw_Data!D446</f>
        <v>Invoiced</v>
      </c>
      <c r="I446" t="str">
        <f>Raw_Data!F446</f>
        <v>Tele-in</v>
      </c>
      <c r="J446" t="str">
        <f>Raw_Data!G446</f>
        <v>Adver. (TVC/Print/Hoarding/FM)</v>
      </c>
      <c r="K446" t="str">
        <f>IFERROR(VLOOKUP(J446,Source_Assumptions!$A:$C,2,0),"Unmapped")</f>
        <v>Traditional Advertising</v>
      </c>
      <c r="L446" t="str">
        <f>Raw_Data!H446</f>
        <v>AMAZE Petrol</v>
      </c>
      <c r="M446" t="str">
        <f>IFERROR(VLOOKUP(L446,Model_Assumptions!$A:$D,2,0),"Unmapped")</f>
        <v>Sub-4m Sedan</v>
      </c>
      <c r="N446" t="str">
        <f>IFERROR(VLOOKUP(L446,Model_Assumptions!$A:$D,3,0),"Unmapped")</f>
        <v>Petrol</v>
      </c>
      <c r="O446">
        <f>IFERROR(VLOOKUP(L446,Model_Assumptions!$A:$D,4,0),0)</f>
        <v>850000</v>
      </c>
      <c r="P446">
        <f>IFERROR(VLOOKUP(J446,Source_Assumptions!$A:$C,3,0),0)</f>
        <v>1200</v>
      </c>
    </row>
    <row r="447" spans="1:16" x14ac:dyDescent="0.3">
      <c r="A447">
        <f>Raw_Data!A447</f>
        <v>446</v>
      </c>
      <c r="B447" s="2">
        <f>Raw_Data!B447</f>
        <v>44880</v>
      </c>
      <c r="C447">
        <f>YEAR(Raw_Data!B447)</f>
        <v>2022</v>
      </c>
      <c r="D447" t="str">
        <f>IF(MONTH(Raw_Data!B447)&gt;=4,YEAR(Raw_Data!B447)&amp;"-"&amp;RIGHT(YEAR(Raw_Data!B447)+1,2),YEAR(Raw_Data!B447)-1&amp;"-"&amp;RIGHT(YEAR(Raw_Data!B447),2))</f>
        <v>2022-23</v>
      </c>
      <c r="E447" t="str">
        <f>"Q"&amp;ROUNDUP(MONTH(Raw_Data!B447)/3,0)</f>
        <v>Q4</v>
      </c>
      <c r="F447" t="str">
        <f>TEXT(Raw_Data!B447,"mmm")</f>
        <v>Nov</v>
      </c>
      <c r="G447" t="str">
        <f>TEXT(Raw_Data!B447,"ddd")</f>
        <v>Tue</v>
      </c>
      <c r="H447" t="str">
        <f>Raw_Data!D447</f>
        <v>Invoiced</v>
      </c>
      <c r="I447" t="str">
        <f>Raw_Data!F447</f>
        <v>Tele-in</v>
      </c>
      <c r="J447" t="str">
        <f>Raw_Data!G447</f>
        <v>Dealer Webpage Tele-In</v>
      </c>
      <c r="K447" t="str">
        <f>IFERROR(VLOOKUP(J447,Source_Assumptions!$A:$C,2,0),"Unmapped")</f>
        <v>Digital - Owned</v>
      </c>
      <c r="L447" t="str">
        <f>Raw_Data!H447</f>
        <v>AMAZE Petrol</v>
      </c>
      <c r="M447" t="str">
        <f>IFERROR(VLOOKUP(L447,Model_Assumptions!$A:$D,2,0),"Unmapped")</f>
        <v>Sub-4m Sedan</v>
      </c>
      <c r="N447" t="str">
        <f>IFERROR(VLOOKUP(L447,Model_Assumptions!$A:$D,3,0),"Unmapped")</f>
        <v>Petrol</v>
      </c>
      <c r="O447">
        <f>IFERROR(VLOOKUP(L447,Model_Assumptions!$A:$D,4,0),0)</f>
        <v>850000</v>
      </c>
      <c r="P447">
        <f>IFERROR(VLOOKUP(J447,Source_Assumptions!$A:$C,3,0),0)</f>
        <v>300</v>
      </c>
    </row>
    <row r="448" spans="1:16" x14ac:dyDescent="0.3">
      <c r="A448">
        <f>Raw_Data!A448</f>
        <v>447</v>
      </c>
      <c r="B448" s="2">
        <f>Raw_Data!B448</f>
        <v>44881</v>
      </c>
      <c r="C448">
        <f>YEAR(Raw_Data!B448)</f>
        <v>2022</v>
      </c>
      <c r="D448" t="str">
        <f>IF(MONTH(Raw_Data!B448)&gt;=4,YEAR(Raw_Data!B448)&amp;"-"&amp;RIGHT(YEAR(Raw_Data!B448)+1,2),YEAR(Raw_Data!B448)-1&amp;"-"&amp;RIGHT(YEAR(Raw_Data!B448),2))</f>
        <v>2022-23</v>
      </c>
      <c r="E448" t="str">
        <f>"Q"&amp;ROUNDUP(MONTH(Raw_Data!B448)/3,0)</f>
        <v>Q4</v>
      </c>
      <c r="F448" t="str">
        <f>TEXT(Raw_Data!B448,"mmm")</f>
        <v>Nov</v>
      </c>
      <c r="G448" t="str">
        <f>TEXT(Raw_Data!B448,"ddd")</f>
        <v>Wed</v>
      </c>
      <c r="H448" t="str">
        <f>Raw_Data!D448</f>
        <v>Invoiced</v>
      </c>
      <c r="I448" t="str">
        <f>Raw_Data!F448</f>
        <v>Tele-in</v>
      </c>
      <c r="J448" t="str">
        <f>Raw_Data!G448</f>
        <v>Dealer Webpage Tele-In</v>
      </c>
      <c r="K448" t="str">
        <f>IFERROR(VLOOKUP(J448,Source_Assumptions!$A:$C,2,0),"Unmapped")</f>
        <v>Digital - Owned</v>
      </c>
      <c r="L448" t="str">
        <f>Raw_Data!H448</f>
        <v>JAZZ PE</v>
      </c>
      <c r="M448" t="str">
        <f>IFERROR(VLOOKUP(L448,Model_Assumptions!$A:$D,2,0),"Unmapped")</f>
        <v>Hatchback</v>
      </c>
      <c r="N448" t="str">
        <f>IFERROR(VLOOKUP(L448,Model_Assumptions!$A:$D,3,0),"Unmapped")</f>
        <v>Petrol</v>
      </c>
      <c r="O448">
        <f>IFERROR(VLOOKUP(L448,Model_Assumptions!$A:$D,4,0),0)</f>
        <v>800000</v>
      </c>
      <c r="P448">
        <f>IFERROR(VLOOKUP(J448,Source_Assumptions!$A:$C,3,0),0)</f>
        <v>300</v>
      </c>
    </row>
    <row r="449" spans="1:16" x14ac:dyDescent="0.3">
      <c r="A449">
        <f>Raw_Data!A449</f>
        <v>448</v>
      </c>
      <c r="B449" s="2">
        <f>Raw_Data!B449</f>
        <v>44881</v>
      </c>
      <c r="C449">
        <f>YEAR(Raw_Data!B449)</f>
        <v>2022</v>
      </c>
      <c r="D449" t="str">
        <f>IF(MONTH(Raw_Data!B449)&gt;=4,YEAR(Raw_Data!B449)&amp;"-"&amp;RIGHT(YEAR(Raw_Data!B449)+1,2),YEAR(Raw_Data!B449)-1&amp;"-"&amp;RIGHT(YEAR(Raw_Data!B449),2))</f>
        <v>2022-23</v>
      </c>
      <c r="E449" t="str">
        <f>"Q"&amp;ROUNDUP(MONTH(Raw_Data!B449)/3,0)</f>
        <v>Q4</v>
      </c>
      <c r="F449" t="str">
        <f>TEXT(Raw_Data!B449,"mmm")</f>
        <v>Nov</v>
      </c>
      <c r="G449" t="str">
        <f>TEXT(Raw_Data!B449,"ddd")</f>
        <v>Wed</v>
      </c>
      <c r="H449" t="str">
        <f>Raw_Data!D449</f>
        <v>Invoiced</v>
      </c>
      <c r="I449" t="str">
        <f>Raw_Data!F449</f>
        <v>Tele-in</v>
      </c>
      <c r="J449" t="str">
        <f>Raw_Data!G449</f>
        <v>Referral-CAM</v>
      </c>
      <c r="K449" t="str">
        <f>IFERROR(VLOOKUP(J449,Source_Assumptions!$A:$C,2,0),"Unmapped")</f>
        <v>Referral</v>
      </c>
      <c r="L449" t="str">
        <f>Raw_Data!H449</f>
        <v>CITY PE</v>
      </c>
      <c r="M449" t="str">
        <f>IFERROR(VLOOKUP(L449,Model_Assumptions!$A:$D,2,0),"Unmapped")</f>
        <v>Mid-size Sedan</v>
      </c>
      <c r="N449" t="str">
        <f>IFERROR(VLOOKUP(L449,Model_Assumptions!$A:$D,3,0),"Unmapped")</f>
        <v>Petrol</v>
      </c>
      <c r="O449">
        <f>IFERROR(VLOOKUP(L449,Model_Assumptions!$A:$D,4,0),0)</f>
        <v>1100000</v>
      </c>
      <c r="P449">
        <f>IFERROR(VLOOKUP(J449,Source_Assumptions!$A:$C,3,0),0)</f>
        <v>150</v>
      </c>
    </row>
    <row r="450" spans="1:16" x14ac:dyDescent="0.3">
      <c r="A450">
        <f>Raw_Data!A450</f>
        <v>449</v>
      </c>
      <c r="B450" s="2">
        <f>Raw_Data!B450</f>
        <v>44881</v>
      </c>
      <c r="C450">
        <f>YEAR(Raw_Data!B450)</f>
        <v>2022</v>
      </c>
      <c r="D450" t="str">
        <f>IF(MONTH(Raw_Data!B450)&gt;=4,YEAR(Raw_Data!B450)&amp;"-"&amp;RIGHT(YEAR(Raw_Data!B450)+1,2),YEAR(Raw_Data!B450)-1&amp;"-"&amp;RIGHT(YEAR(Raw_Data!B450),2))</f>
        <v>2022-23</v>
      </c>
      <c r="E450" t="str">
        <f>"Q"&amp;ROUNDUP(MONTH(Raw_Data!B450)/3,0)</f>
        <v>Q4</v>
      </c>
      <c r="F450" t="str">
        <f>TEXT(Raw_Data!B450,"mmm")</f>
        <v>Nov</v>
      </c>
      <c r="G450" t="str">
        <f>TEXT(Raw_Data!B450,"ddd")</f>
        <v>Wed</v>
      </c>
      <c r="H450" t="str">
        <f>Raw_Data!D450</f>
        <v>Invoiced</v>
      </c>
      <c r="I450" t="str">
        <f>Raw_Data!F450</f>
        <v>Tele-in</v>
      </c>
      <c r="J450" t="str">
        <f>Raw_Data!G450</f>
        <v>Referral-CAM</v>
      </c>
      <c r="K450" t="str">
        <f>IFERROR(VLOOKUP(J450,Source_Assumptions!$A:$C,2,0),"Unmapped")</f>
        <v>Referral</v>
      </c>
      <c r="L450" t="str">
        <f>Raw_Data!H450</f>
        <v>CITY PE</v>
      </c>
      <c r="M450" t="str">
        <f>IFERROR(VLOOKUP(L450,Model_Assumptions!$A:$D,2,0),"Unmapped")</f>
        <v>Mid-size Sedan</v>
      </c>
      <c r="N450" t="str">
        <f>IFERROR(VLOOKUP(L450,Model_Assumptions!$A:$D,3,0),"Unmapped")</f>
        <v>Petrol</v>
      </c>
      <c r="O450">
        <f>IFERROR(VLOOKUP(L450,Model_Assumptions!$A:$D,4,0),0)</f>
        <v>1100000</v>
      </c>
      <c r="P450">
        <f>IFERROR(VLOOKUP(J450,Source_Assumptions!$A:$C,3,0),0)</f>
        <v>150</v>
      </c>
    </row>
    <row r="451" spans="1:16" x14ac:dyDescent="0.3">
      <c r="A451">
        <f>Raw_Data!A451</f>
        <v>450</v>
      </c>
      <c r="B451" s="2">
        <f>Raw_Data!B451</f>
        <v>44883</v>
      </c>
      <c r="C451">
        <f>YEAR(Raw_Data!B451)</f>
        <v>2022</v>
      </c>
      <c r="D451" t="str">
        <f>IF(MONTH(Raw_Data!B451)&gt;=4,YEAR(Raw_Data!B451)&amp;"-"&amp;RIGHT(YEAR(Raw_Data!B451)+1,2),YEAR(Raw_Data!B451)-1&amp;"-"&amp;RIGHT(YEAR(Raw_Data!B451),2))</f>
        <v>2022-23</v>
      </c>
      <c r="E451" t="str">
        <f>"Q"&amp;ROUNDUP(MONTH(Raw_Data!B451)/3,0)</f>
        <v>Q4</v>
      </c>
      <c r="F451" t="str">
        <f>TEXT(Raw_Data!B451,"mmm")</f>
        <v>Nov</v>
      </c>
      <c r="G451" t="str">
        <f>TEXT(Raw_Data!B451,"ddd")</f>
        <v>Fri</v>
      </c>
      <c r="H451" t="str">
        <f>Raw_Data!D451</f>
        <v>Invoiced</v>
      </c>
      <c r="I451" t="str">
        <f>Raw_Data!F451</f>
        <v>SMS/ Tele-Out</v>
      </c>
      <c r="J451" t="str">
        <f>Raw_Data!G451</f>
        <v>Database Activity(Teleout/SMS)</v>
      </c>
      <c r="K451" t="str">
        <f>IFERROR(VLOOKUP(J451,Source_Assumptions!$A:$C,2,0),"Unmapped")</f>
        <v>Outbound/Database</v>
      </c>
      <c r="L451" t="str">
        <f>Raw_Data!H451</f>
        <v>CITY PE</v>
      </c>
      <c r="M451" t="str">
        <f>IFERROR(VLOOKUP(L451,Model_Assumptions!$A:$D,2,0),"Unmapped")</f>
        <v>Mid-size Sedan</v>
      </c>
      <c r="N451" t="str">
        <f>IFERROR(VLOOKUP(L451,Model_Assumptions!$A:$D,3,0),"Unmapped")</f>
        <v>Petrol</v>
      </c>
      <c r="O451">
        <f>IFERROR(VLOOKUP(L451,Model_Assumptions!$A:$D,4,0),0)</f>
        <v>1100000</v>
      </c>
      <c r="P451">
        <f>IFERROR(VLOOKUP(J451,Source_Assumptions!$A:$C,3,0),0)</f>
        <v>250</v>
      </c>
    </row>
    <row r="452" spans="1:16" x14ac:dyDescent="0.3">
      <c r="A452">
        <f>Raw_Data!A452</f>
        <v>451</v>
      </c>
      <c r="B452" s="2">
        <f>Raw_Data!B452</f>
        <v>44883</v>
      </c>
      <c r="C452">
        <f>YEAR(Raw_Data!B452)</f>
        <v>2022</v>
      </c>
      <c r="D452" t="str">
        <f>IF(MONTH(Raw_Data!B452)&gt;=4,YEAR(Raw_Data!B452)&amp;"-"&amp;RIGHT(YEAR(Raw_Data!B452)+1,2),YEAR(Raw_Data!B452)-1&amp;"-"&amp;RIGHT(YEAR(Raw_Data!B452),2))</f>
        <v>2022-23</v>
      </c>
      <c r="E452" t="str">
        <f>"Q"&amp;ROUNDUP(MONTH(Raw_Data!B452)/3,0)</f>
        <v>Q4</v>
      </c>
      <c r="F452" t="str">
        <f>TEXT(Raw_Data!B452,"mmm")</f>
        <v>Nov</v>
      </c>
      <c r="G452" t="str">
        <f>TEXT(Raw_Data!B452,"ddd")</f>
        <v>Fri</v>
      </c>
      <c r="H452" t="str">
        <f>Raw_Data!D452</f>
        <v>Invoiced</v>
      </c>
      <c r="I452" t="str">
        <f>Raw_Data!F452</f>
        <v>SMS/ Tele-Out</v>
      </c>
      <c r="J452" t="str">
        <f>Raw_Data!G452</f>
        <v>I-BAP Self</v>
      </c>
      <c r="K452" t="str">
        <f>IFERROR(VLOOKUP(J452,Source_Assumptions!$A:$C,2,0),"Unmapped")</f>
        <v>Referral (Insurance/Banking Partner)</v>
      </c>
      <c r="L452" t="str">
        <f>Raw_Data!H452</f>
        <v>AMAZE Petrol</v>
      </c>
      <c r="M452" t="str">
        <f>IFERROR(VLOOKUP(L452,Model_Assumptions!$A:$D,2,0),"Unmapped")</f>
        <v>Sub-4m Sedan</v>
      </c>
      <c r="N452" t="str">
        <f>IFERROR(VLOOKUP(L452,Model_Assumptions!$A:$D,3,0),"Unmapped")</f>
        <v>Petrol</v>
      </c>
      <c r="O452">
        <f>IFERROR(VLOOKUP(L452,Model_Assumptions!$A:$D,4,0),0)</f>
        <v>850000</v>
      </c>
      <c r="P452">
        <f>IFERROR(VLOOKUP(J452,Source_Assumptions!$A:$C,3,0),0)</f>
        <v>100</v>
      </c>
    </row>
    <row r="453" spans="1:16" x14ac:dyDescent="0.3">
      <c r="A453">
        <f>Raw_Data!A453</f>
        <v>452</v>
      </c>
      <c r="B453" s="2">
        <f>Raw_Data!B453</f>
        <v>44883</v>
      </c>
      <c r="C453">
        <f>YEAR(Raw_Data!B453)</f>
        <v>2022</v>
      </c>
      <c r="D453" t="str">
        <f>IF(MONTH(Raw_Data!B453)&gt;=4,YEAR(Raw_Data!B453)&amp;"-"&amp;RIGHT(YEAR(Raw_Data!B453)+1,2),YEAR(Raw_Data!B453)-1&amp;"-"&amp;RIGHT(YEAR(Raw_Data!B453),2))</f>
        <v>2022-23</v>
      </c>
      <c r="E453" t="str">
        <f>"Q"&amp;ROUNDUP(MONTH(Raw_Data!B453)/3,0)</f>
        <v>Q4</v>
      </c>
      <c r="F453" t="str">
        <f>TEXT(Raw_Data!B453,"mmm")</f>
        <v>Nov</v>
      </c>
      <c r="G453" t="str">
        <f>TEXT(Raw_Data!B453,"ddd")</f>
        <v>Fri</v>
      </c>
      <c r="H453" t="str">
        <f>Raw_Data!D453</f>
        <v>Invoiced</v>
      </c>
      <c r="I453" t="str">
        <f>Raw_Data!F453</f>
        <v>Web Lead</v>
      </c>
      <c r="J453" t="str">
        <f>Raw_Data!G453</f>
        <v>Web_Organic</v>
      </c>
      <c r="K453" t="str">
        <f>IFERROR(VLOOKUP(J453,Source_Assumptions!$A:$C,2,0),"Unmapped")</f>
        <v>Digital - Organic</v>
      </c>
      <c r="L453" t="str">
        <f>Raw_Data!H453</f>
        <v>AMAZE Petrol</v>
      </c>
      <c r="M453" t="str">
        <f>IFERROR(VLOOKUP(L453,Model_Assumptions!$A:$D,2,0),"Unmapped")</f>
        <v>Sub-4m Sedan</v>
      </c>
      <c r="N453" t="str">
        <f>IFERROR(VLOOKUP(L453,Model_Assumptions!$A:$D,3,0),"Unmapped")</f>
        <v>Petrol</v>
      </c>
      <c r="O453">
        <f>IFERROR(VLOOKUP(L453,Model_Assumptions!$A:$D,4,0),0)</f>
        <v>850000</v>
      </c>
      <c r="P453">
        <f>IFERROR(VLOOKUP(J453,Source_Assumptions!$A:$C,3,0),0)</f>
        <v>100</v>
      </c>
    </row>
    <row r="454" spans="1:16" x14ac:dyDescent="0.3">
      <c r="A454">
        <f>Raw_Data!A454</f>
        <v>453</v>
      </c>
      <c r="B454" s="2">
        <f>Raw_Data!B454</f>
        <v>44884</v>
      </c>
      <c r="C454">
        <f>YEAR(Raw_Data!B454)</f>
        <v>2022</v>
      </c>
      <c r="D454" t="str">
        <f>IF(MONTH(Raw_Data!B454)&gt;=4,YEAR(Raw_Data!B454)&amp;"-"&amp;RIGHT(YEAR(Raw_Data!B454)+1,2),YEAR(Raw_Data!B454)-1&amp;"-"&amp;RIGHT(YEAR(Raw_Data!B454),2))</f>
        <v>2022-23</v>
      </c>
      <c r="E454" t="str">
        <f>"Q"&amp;ROUNDUP(MONTH(Raw_Data!B454)/3,0)</f>
        <v>Q4</v>
      </c>
      <c r="F454" t="str">
        <f>TEXT(Raw_Data!B454,"mmm")</f>
        <v>Nov</v>
      </c>
      <c r="G454" t="str">
        <f>TEXT(Raw_Data!B454,"ddd")</f>
        <v>Sat</v>
      </c>
      <c r="H454" t="str">
        <f>Raw_Data!D454</f>
        <v>Invoiced</v>
      </c>
      <c r="I454" t="str">
        <f>Raw_Data!F454</f>
        <v>Tele-in</v>
      </c>
      <c r="J454" t="str">
        <f>Raw_Data!G454</f>
        <v>Adver. (TVC/Print/Hoarding/FM)</v>
      </c>
      <c r="K454" t="str">
        <f>IFERROR(VLOOKUP(J454,Source_Assumptions!$A:$C,2,0),"Unmapped")</f>
        <v>Traditional Advertising</v>
      </c>
      <c r="L454" t="str">
        <f>Raw_Data!H454</f>
        <v>AMAZE Petrol</v>
      </c>
      <c r="M454" t="str">
        <f>IFERROR(VLOOKUP(L454,Model_Assumptions!$A:$D,2,0),"Unmapped")</f>
        <v>Sub-4m Sedan</v>
      </c>
      <c r="N454" t="str">
        <f>IFERROR(VLOOKUP(L454,Model_Assumptions!$A:$D,3,0),"Unmapped")</f>
        <v>Petrol</v>
      </c>
      <c r="O454">
        <f>IFERROR(VLOOKUP(L454,Model_Assumptions!$A:$D,4,0),0)</f>
        <v>850000</v>
      </c>
      <c r="P454">
        <f>IFERROR(VLOOKUP(J454,Source_Assumptions!$A:$C,3,0),0)</f>
        <v>1200</v>
      </c>
    </row>
    <row r="455" spans="1:16" x14ac:dyDescent="0.3">
      <c r="A455">
        <f>Raw_Data!A455</f>
        <v>454</v>
      </c>
      <c r="B455" s="2">
        <f>Raw_Data!B455</f>
        <v>44884</v>
      </c>
      <c r="C455">
        <f>YEAR(Raw_Data!B455)</f>
        <v>2022</v>
      </c>
      <c r="D455" t="str">
        <f>IF(MONTH(Raw_Data!B455)&gt;=4,YEAR(Raw_Data!B455)&amp;"-"&amp;RIGHT(YEAR(Raw_Data!B455)+1,2),YEAR(Raw_Data!B455)-1&amp;"-"&amp;RIGHT(YEAR(Raw_Data!B455),2))</f>
        <v>2022-23</v>
      </c>
      <c r="E455" t="str">
        <f>"Q"&amp;ROUNDUP(MONTH(Raw_Data!B455)/3,0)</f>
        <v>Q4</v>
      </c>
      <c r="F455" t="str">
        <f>TEXT(Raw_Data!B455,"mmm")</f>
        <v>Nov</v>
      </c>
      <c r="G455" t="str">
        <f>TEXT(Raw_Data!B455,"ddd")</f>
        <v>Sat</v>
      </c>
      <c r="H455" t="str">
        <f>Raw_Data!D455</f>
        <v>Invoiced</v>
      </c>
      <c r="I455" t="str">
        <f>Raw_Data!F455</f>
        <v>SMS/ Tele-Out</v>
      </c>
      <c r="J455" t="str">
        <f>Raw_Data!G455</f>
        <v>I-BAP Self</v>
      </c>
      <c r="K455" t="str">
        <f>IFERROR(VLOOKUP(J455,Source_Assumptions!$A:$C,2,0),"Unmapped")</f>
        <v>Referral (Insurance/Banking Partner)</v>
      </c>
      <c r="L455" t="str">
        <f>Raw_Data!H455</f>
        <v>5TH GEN CITY PE</v>
      </c>
      <c r="M455" t="str">
        <f>IFERROR(VLOOKUP(L455,Model_Assumptions!$A:$D,2,0),"Unmapped")</f>
        <v>Mid-size Sedan</v>
      </c>
      <c r="N455" t="str">
        <f>IFERROR(VLOOKUP(L455,Model_Assumptions!$A:$D,3,0),"Unmapped")</f>
        <v>Petrol</v>
      </c>
      <c r="O455">
        <f>IFERROR(VLOOKUP(L455,Model_Assumptions!$A:$D,4,0),0)</f>
        <v>1250000</v>
      </c>
      <c r="P455">
        <f>IFERROR(VLOOKUP(J455,Source_Assumptions!$A:$C,3,0),0)</f>
        <v>100</v>
      </c>
    </row>
    <row r="456" spans="1:16" x14ac:dyDescent="0.3">
      <c r="A456">
        <f>Raw_Data!A456</f>
        <v>455</v>
      </c>
      <c r="B456" s="2">
        <f>Raw_Data!B456</f>
        <v>44884</v>
      </c>
      <c r="C456">
        <f>YEAR(Raw_Data!B456)</f>
        <v>2022</v>
      </c>
      <c r="D456" t="str">
        <f>IF(MONTH(Raw_Data!B456)&gt;=4,YEAR(Raw_Data!B456)&amp;"-"&amp;RIGHT(YEAR(Raw_Data!B456)+1,2),YEAR(Raw_Data!B456)-1&amp;"-"&amp;RIGHT(YEAR(Raw_Data!B456),2))</f>
        <v>2022-23</v>
      </c>
      <c r="E456" t="str">
        <f>"Q"&amp;ROUNDUP(MONTH(Raw_Data!B456)/3,0)</f>
        <v>Q4</v>
      </c>
      <c r="F456" t="str">
        <f>TEXT(Raw_Data!B456,"mmm")</f>
        <v>Nov</v>
      </c>
      <c r="G456" t="str">
        <f>TEXT(Raw_Data!B456,"ddd")</f>
        <v>Sat</v>
      </c>
      <c r="H456" t="str">
        <f>Raw_Data!D456</f>
        <v>Invoiced</v>
      </c>
      <c r="I456" t="str">
        <f>Raw_Data!F456</f>
        <v>Web Lead</v>
      </c>
      <c r="J456" t="str">
        <f>Raw_Data!G456</f>
        <v>Web_CarDekho</v>
      </c>
      <c r="K456" t="str">
        <f>IFERROR(VLOOKUP(J456,Source_Assumptions!$A:$C,2,0),"Unmapped")</f>
        <v>Digital - Aggregator (Paid)</v>
      </c>
      <c r="L456" t="str">
        <f>Raw_Data!H456</f>
        <v>AMAZE Petrol</v>
      </c>
      <c r="M456" t="str">
        <f>IFERROR(VLOOKUP(L456,Model_Assumptions!$A:$D,2,0),"Unmapped")</f>
        <v>Sub-4m Sedan</v>
      </c>
      <c r="N456" t="str">
        <f>IFERROR(VLOOKUP(L456,Model_Assumptions!$A:$D,3,0),"Unmapped")</f>
        <v>Petrol</v>
      </c>
      <c r="O456">
        <f>IFERROR(VLOOKUP(L456,Model_Assumptions!$A:$D,4,0),0)</f>
        <v>850000</v>
      </c>
      <c r="P456">
        <f>IFERROR(VLOOKUP(J456,Source_Assumptions!$A:$C,3,0),0)</f>
        <v>900</v>
      </c>
    </row>
    <row r="457" spans="1:16" x14ac:dyDescent="0.3">
      <c r="A457">
        <f>Raw_Data!A457</f>
        <v>456</v>
      </c>
      <c r="B457" s="2">
        <f>Raw_Data!B457</f>
        <v>44886</v>
      </c>
      <c r="C457">
        <f>YEAR(Raw_Data!B457)</f>
        <v>2022</v>
      </c>
      <c r="D457" t="str">
        <f>IF(MONTH(Raw_Data!B457)&gt;=4,YEAR(Raw_Data!B457)&amp;"-"&amp;RIGHT(YEAR(Raw_Data!B457)+1,2),YEAR(Raw_Data!B457)-1&amp;"-"&amp;RIGHT(YEAR(Raw_Data!B457),2))</f>
        <v>2022-23</v>
      </c>
      <c r="E457" t="str">
        <f>"Q"&amp;ROUNDUP(MONTH(Raw_Data!B457)/3,0)</f>
        <v>Q4</v>
      </c>
      <c r="F457" t="str">
        <f>TEXT(Raw_Data!B457,"mmm")</f>
        <v>Nov</v>
      </c>
      <c r="G457" t="str">
        <f>TEXT(Raw_Data!B457,"ddd")</f>
        <v>Mon</v>
      </c>
      <c r="H457" t="str">
        <f>Raw_Data!D457</f>
        <v>Invoiced</v>
      </c>
      <c r="I457" t="str">
        <f>Raw_Data!F457</f>
        <v>Web Lead</v>
      </c>
      <c r="J457" t="str">
        <f>Raw_Data!G457</f>
        <v>Web_CarDekho</v>
      </c>
      <c r="K457" t="str">
        <f>IFERROR(VLOOKUP(J457,Source_Assumptions!$A:$C,2,0),"Unmapped")</f>
        <v>Digital - Aggregator (Paid)</v>
      </c>
      <c r="L457" t="str">
        <f>Raw_Data!H457</f>
        <v>AMAZE Petrol</v>
      </c>
      <c r="M457" t="str">
        <f>IFERROR(VLOOKUP(L457,Model_Assumptions!$A:$D,2,0),"Unmapped")</f>
        <v>Sub-4m Sedan</v>
      </c>
      <c r="N457" t="str">
        <f>IFERROR(VLOOKUP(L457,Model_Assumptions!$A:$D,3,0),"Unmapped")</f>
        <v>Petrol</v>
      </c>
      <c r="O457">
        <f>IFERROR(VLOOKUP(L457,Model_Assumptions!$A:$D,4,0),0)</f>
        <v>850000</v>
      </c>
      <c r="P457">
        <f>IFERROR(VLOOKUP(J457,Source_Assumptions!$A:$C,3,0),0)</f>
        <v>900</v>
      </c>
    </row>
    <row r="458" spans="1:16" x14ac:dyDescent="0.3">
      <c r="A458">
        <f>Raw_Data!A458</f>
        <v>457</v>
      </c>
      <c r="B458" s="2">
        <f>Raw_Data!B458</f>
        <v>44887</v>
      </c>
      <c r="C458">
        <f>YEAR(Raw_Data!B458)</f>
        <v>2022</v>
      </c>
      <c r="D458" t="str">
        <f>IF(MONTH(Raw_Data!B458)&gt;=4,YEAR(Raw_Data!B458)&amp;"-"&amp;RIGHT(YEAR(Raw_Data!B458)+1,2),YEAR(Raw_Data!B458)-1&amp;"-"&amp;RIGHT(YEAR(Raw_Data!B458),2))</f>
        <v>2022-23</v>
      </c>
      <c r="E458" t="str">
        <f>"Q"&amp;ROUNDUP(MONTH(Raw_Data!B458)/3,0)</f>
        <v>Q4</v>
      </c>
      <c r="F458" t="str">
        <f>TEXT(Raw_Data!B458,"mmm")</f>
        <v>Nov</v>
      </c>
      <c r="G458" t="str">
        <f>TEXT(Raw_Data!B458,"ddd")</f>
        <v>Tue</v>
      </c>
      <c r="H458" t="str">
        <f>Raw_Data!D458</f>
        <v>Invoiced</v>
      </c>
      <c r="I458" t="str">
        <f>Raw_Data!F458</f>
        <v>Tele-in</v>
      </c>
      <c r="J458" t="str">
        <f>Raw_Data!G458</f>
        <v>Dealer Webpage Tele-In</v>
      </c>
      <c r="K458" t="str">
        <f>IFERROR(VLOOKUP(J458,Source_Assumptions!$A:$C,2,0),"Unmapped")</f>
        <v>Digital - Owned</v>
      </c>
      <c r="L458" t="str">
        <f>Raw_Data!H458</f>
        <v>5TH GEN CITY PE</v>
      </c>
      <c r="M458" t="str">
        <f>IFERROR(VLOOKUP(L458,Model_Assumptions!$A:$D,2,0),"Unmapped")</f>
        <v>Mid-size Sedan</v>
      </c>
      <c r="N458" t="str">
        <f>IFERROR(VLOOKUP(L458,Model_Assumptions!$A:$D,3,0),"Unmapped")</f>
        <v>Petrol</v>
      </c>
      <c r="O458">
        <f>IFERROR(VLOOKUP(L458,Model_Assumptions!$A:$D,4,0),0)</f>
        <v>1250000</v>
      </c>
      <c r="P458">
        <f>IFERROR(VLOOKUP(J458,Source_Assumptions!$A:$C,3,0),0)</f>
        <v>300</v>
      </c>
    </row>
    <row r="459" spans="1:16" x14ac:dyDescent="0.3">
      <c r="A459">
        <f>Raw_Data!A459</f>
        <v>458</v>
      </c>
      <c r="B459" s="2">
        <f>Raw_Data!B459</f>
        <v>44888</v>
      </c>
      <c r="C459">
        <f>YEAR(Raw_Data!B459)</f>
        <v>2022</v>
      </c>
      <c r="D459" t="str">
        <f>IF(MONTH(Raw_Data!B459)&gt;=4,YEAR(Raw_Data!B459)&amp;"-"&amp;RIGHT(YEAR(Raw_Data!B459)+1,2),YEAR(Raw_Data!B459)-1&amp;"-"&amp;RIGHT(YEAR(Raw_Data!B459),2))</f>
        <v>2022-23</v>
      </c>
      <c r="E459" t="str">
        <f>"Q"&amp;ROUNDUP(MONTH(Raw_Data!B459)/3,0)</f>
        <v>Q4</v>
      </c>
      <c r="F459" t="str">
        <f>TEXT(Raw_Data!B459,"mmm")</f>
        <v>Nov</v>
      </c>
      <c r="G459" t="str">
        <f>TEXT(Raw_Data!B459,"ddd")</f>
        <v>Wed</v>
      </c>
      <c r="H459" t="str">
        <f>Raw_Data!D459</f>
        <v>Invoiced</v>
      </c>
      <c r="I459" t="str">
        <f>Raw_Data!F459</f>
        <v>Tele-in</v>
      </c>
      <c r="J459" t="str">
        <f>Raw_Data!G459</f>
        <v>Referral-CAM</v>
      </c>
      <c r="K459" t="str">
        <f>IFERROR(VLOOKUP(J459,Source_Assumptions!$A:$C,2,0),"Unmapped")</f>
        <v>Referral</v>
      </c>
      <c r="L459" t="str">
        <f>Raw_Data!H459</f>
        <v>AMAZE Petrol</v>
      </c>
      <c r="M459" t="str">
        <f>IFERROR(VLOOKUP(L459,Model_Assumptions!$A:$D,2,0),"Unmapped")</f>
        <v>Sub-4m Sedan</v>
      </c>
      <c r="N459" t="str">
        <f>IFERROR(VLOOKUP(L459,Model_Assumptions!$A:$D,3,0),"Unmapped")</f>
        <v>Petrol</v>
      </c>
      <c r="O459">
        <f>IFERROR(VLOOKUP(L459,Model_Assumptions!$A:$D,4,0),0)</f>
        <v>850000</v>
      </c>
      <c r="P459">
        <f>IFERROR(VLOOKUP(J459,Source_Assumptions!$A:$C,3,0),0)</f>
        <v>150</v>
      </c>
    </row>
    <row r="460" spans="1:16" x14ac:dyDescent="0.3">
      <c r="A460">
        <f>Raw_Data!A460</f>
        <v>459</v>
      </c>
      <c r="B460" s="2">
        <f>Raw_Data!B460</f>
        <v>44889</v>
      </c>
      <c r="C460">
        <f>YEAR(Raw_Data!B460)</f>
        <v>2022</v>
      </c>
      <c r="D460" t="str">
        <f>IF(MONTH(Raw_Data!B460)&gt;=4,YEAR(Raw_Data!B460)&amp;"-"&amp;RIGHT(YEAR(Raw_Data!B460)+1,2),YEAR(Raw_Data!B460)-1&amp;"-"&amp;RIGHT(YEAR(Raw_Data!B460),2))</f>
        <v>2022-23</v>
      </c>
      <c r="E460" t="str">
        <f>"Q"&amp;ROUNDUP(MONTH(Raw_Data!B460)/3,0)</f>
        <v>Q4</v>
      </c>
      <c r="F460" t="str">
        <f>TEXT(Raw_Data!B460,"mmm")</f>
        <v>Nov</v>
      </c>
      <c r="G460" t="str">
        <f>TEXT(Raw_Data!B460,"ddd")</f>
        <v>Thu</v>
      </c>
      <c r="H460" t="str">
        <f>Raw_Data!D460</f>
        <v>Invoiced</v>
      </c>
      <c r="I460" t="str">
        <f>Raw_Data!F460</f>
        <v>Tele-in</v>
      </c>
      <c r="J460" t="str">
        <f>Raw_Data!G460</f>
        <v>Dealer Webpage Tele-In</v>
      </c>
      <c r="K460" t="str">
        <f>IFERROR(VLOOKUP(J460,Source_Assumptions!$A:$C,2,0),"Unmapped")</f>
        <v>Digital - Owned</v>
      </c>
      <c r="L460" t="str">
        <f>Raw_Data!H460</f>
        <v>5TH GEN CITY PE</v>
      </c>
      <c r="M460" t="str">
        <f>IFERROR(VLOOKUP(L460,Model_Assumptions!$A:$D,2,0),"Unmapped")</f>
        <v>Mid-size Sedan</v>
      </c>
      <c r="N460" t="str">
        <f>IFERROR(VLOOKUP(L460,Model_Assumptions!$A:$D,3,0),"Unmapped")</f>
        <v>Petrol</v>
      </c>
      <c r="O460">
        <f>IFERROR(VLOOKUP(L460,Model_Assumptions!$A:$D,4,0),0)</f>
        <v>1250000</v>
      </c>
      <c r="P460">
        <f>IFERROR(VLOOKUP(J460,Source_Assumptions!$A:$C,3,0),0)</f>
        <v>300</v>
      </c>
    </row>
    <row r="461" spans="1:16" x14ac:dyDescent="0.3">
      <c r="A461">
        <f>Raw_Data!A461</f>
        <v>460</v>
      </c>
      <c r="B461" s="2">
        <f>Raw_Data!B461</f>
        <v>44889</v>
      </c>
      <c r="C461">
        <f>YEAR(Raw_Data!B461)</f>
        <v>2022</v>
      </c>
      <c r="D461" t="str">
        <f>IF(MONTH(Raw_Data!B461)&gt;=4,YEAR(Raw_Data!B461)&amp;"-"&amp;RIGHT(YEAR(Raw_Data!B461)+1,2),YEAR(Raw_Data!B461)-1&amp;"-"&amp;RIGHT(YEAR(Raw_Data!B461),2))</f>
        <v>2022-23</v>
      </c>
      <c r="E461" t="str">
        <f>"Q"&amp;ROUNDUP(MONTH(Raw_Data!B461)/3,0)</f>
        <v>Q4</v>
      </c>
      <c r="F461" t="str">
        <f>TEXT(Raw_Data!B461,"mmm")</f>
        <v>Nov</v>
      </c>
      <c r="G461" t="str">
        <f>TEXT(Raw_Data!B461,"ddd")</f>
        <v>Thu</v>
      </c>
      <c r="H461" t="str">
        <f>Raw_Data!D461</f>
        <v>Invoiced</v>
      </c>
      <c r="I461" t="str">
        <f>Raw_Data!F461</f>
        <v>Web Lead</v>
      </c>
      <c r="J461" t="str">
        <f>Raw_Data!G461</f>
        <v>Web</v>
      </c>
      <c r="K461" t="str">
        <f>IFERROR(VLOOKUP(J461,Source_Assumptions!$A:$C,2,0),"Unmapped")</f>
        <v>Digital - Owned</v>
      </c>
      <c r="L461" t="str">
        <f>Raw_Data!H461</f>
        <v>WR-V PE</v>
      </c>
      <c r="M461" t="str">
        <f>IFERROR(VLOOKUP(L461,Model_Assumptions!$A:$D,2,0),"Unmapped")</f>
        <v>Compact SUV</v>
      </c>
      <c r="N461" t="str">
        <f>IFERROR(VLOOKUP(L461,Model_Assumptions!$A:$D,3,0),"Unmapped")</f>
        <v>Petrol</v>
      </c>
      <c r="O461">
        <f>IFERROR(VLOOKUP(L461,Model_Assumptions!$A:$D,4,0),0)</f>
        <v>950000</v>
      </c>
      <c r="P461">
        <f>IFERROR(VLOOKUP(J461,Source_Assumptions!$A:$C,3,0),0)</f>
        <v>300</v>
      </c>
    </row>
    <row r="462" spans="1:16" x14ac:dyDescent="0.3">
      <c r="A462">
        <f>Raw_Data!A462</f>
        <v>461</v>
      </c>
      <c r="B462" s="2">
        <f>Raw_Data!B462</f>
        <v>44889</v>
      </c>
      <c r="C462">
        <f>YEAR(Raw_Data!B462)</f>
        <v>2022</v>
      </c>
      <c r="D462" t="str">
        <f>IF(MONTH(Raw_Data!B462)&gt;=4,YEAR(Raw_Data!B462)&amp;"-"&amp;RIGHT(YEAR(Raw_Data!B462)+1,2),YEAR(Raw_Data!B462)-1&amp;"-"&amp;RIGHT(YEAR(Raw_Data!B462),2))</f>
        <v>2022-23</v>
      </c>
      <c r="E462" t="str">
        <f>"Q"&amp;ROUNDUP(MONTH(Raw_Data!B462)/3,0)</f>
        <v>Q4</v>
      </c>
      <c r="F462" t="str">
        <f>TEXT(Raw_Data!B462,"mmm")</f>
        <v>Nov</v>
      </c>
      <c r="G462" t="str">
        <f>TEXT(Raw_Data!B462,"ddd")</f>
        <v>Thu</v>
      </c>
      <c r="H462" t="str">
        <f>Raw_Data!D462</f>
        <v>Invoiced</v>
      </c>
      <c r="I462" t="str">
        <f>Raw_Data!F462</f>
        <v>SMS/ Tele-Out</v>
      </c>
      <c r="J462" t="str">
        <f>Raw_Data!G462</f>
        <v>Database Activity(Teleout/SMS)</v>
      </c>
      <c r="K462" t="str">
        <f>IFERROR(VLOOKUP(J462,Source_Assumptions!$A:$C,2,0),"Unmapped")</f>
        <v>Outbound/Database</v>
      </c>
      <c r="L462" t="str">
        <f>Raw_Data!H462</f>
        <v>AMAZE Petrol</v>
      </c>
      <c r="M462" t="str">
        <f>IFERROR(VLOOKUP(L462,Model_Assumptions!$A:$D,2,0),"Unmapped")</f>
        <v>Sub-4m Sedan</v>
      </c>
      <c r="N462" t="str">
        <f>IFERROR(VLOOKUP(L462,Model_Assumptions!$A:$D,3,0),"Unmapped")</f>
        <v>Petrol</v>
      </c>
      <c r="O462">
        <f>IFERROR(VLOOKUP(L462,Model_Assumptions!$A:$D,4,0),0)</f>
        <v>850000</v>
      </c>
      <c r="P462">
        <f>IFERROR(VLOOKUP(J462,Source_Assumptions!$A:$C,3,0),0)</f>
        <v>250</v>
      </c>
    </row>
    <row r="463" spans="1:16" x14ac:dyDescent="0.3">
      <c r="A463">
        <f>Raw_Data!A463</f>
        <v>462</v>
      </c>
      <c r="B463" s="2">
        <f>Raw_Data!B463</f>
        <v>44891</v>
      </c>
      <c r="C463">
        <f>YEAR(Raw_Data!B463)</f>
        <v>2022</v>
      </c>
      <c r="D463" t="str">
        <f>IF(MONTH(Raw_Data!B463)&gt;=4,YEAR(Raw_Data!B463)&amp;"-"&amp;RIGHT(YEAR(Raw_Data!B463)+1,2),YEAR(Raw_Data!B463)-1&amp;"-"&amp;RIGHT(YEAR(Raw_Data!B463),2))</f>
        <v>2022-23</v>
      </c>
      <c r="E463" t="str">
        <f>"Q"&amp;ROUNDUP(MONTH(Raw_Data!B463)/3,0)</f>
        <v>Q4</v>
      </c>
      <c r="F463" t="str">
        <f>TEXT(Raw_Data!B463,"mmm")</f>
        <v>Nov</v>
      </c>
      <c r="G463" t="str">
        <f>TEXT(Raw_Data!B463,"ddd")</f>
        <v>Sat</v>
      </c>
      <c r="H463" t="str">
        <f>Raw_Data!D463</f>
        <v>Invoiced</v>
      </c>
      <c r="I463" t="str">
        <f>Raw_Data!F463</f>
        <v>Walk-in Showroom</v>
      </c>
      <c r="J463" t="str">
        <f>Raw_Data!G463</f>
        <v>Adver. (TVC/Print/Hoarding/FM)</v>
      </c>
      <c r="K463" t="str">
        <f>IFERROR(VLOOKUP(J463,Source_Assumptions!$A:$C,2,0),"Unmapped")</f>
        <v>Traditional Advertising</v>
      </c>
      <c r="L463" t="str">
        <f>Raw_Data!H463</f>
        <v>JAZZ PE</v>
      </c>
      <c r="M463" t="str">
        <f>IFERROR(VLOOKUP(L463,Model_Assumptions!$A:$D,2,0),"Unmapped")</f>
        <v>Hatchback</v>
      </c>
      <c r="N463" t="str">
        <f>IFERROR(VLOOKUP(L463,Model_Assumptions!$A:$D,3,0),"Unmapped")</f>
        <v>Petrol</v>
      </c>
      <c r="O463">
        <f>IFERROR(VLOOKUP(L463,Model_Assumptions!$A:$D,4,0),0)</f>
        <v>800000</v>
      </c>
      <c r="P463">
        <f>IFERROR(VLOOKUP(J463,Source_Assumptions!$A:$C,3,0),0)</f>
        <v>1200</v>
      </c>
    </row>
    <row r="464" spans="1:16" x14ac:dyDescent="0.3">
      <c r="A464">
        <f>Raw_Data!A464</f>
        <v>463</v>
      </c>
      <c r="B464" s="2">
        <f>Raw_Data!B464</f>
        <v>44891</v>
      </c>
      <c r="C464">
        <f>YEAR(Raw_Data!B464)</f>
        <v>2022</v>
      </c>
      <c r="D464" t="str">
        <f>IF(MONTH(Raw_Data!B464)&gt;=4,YEAR(Raw_Data!B464)&amp;"-"&amp;RIGHT(YEAR(Raw_Data!B464)+1,2),YEAR(Raw_Data!B464)-1&amp;"-"&amp;RIGHT(YEAR(Raw_Data!B464),2))</f>
        <v>2022-23</v>
      </c>
      <c r="E464" t="str">
        <f>"Q"&amp;ROUNDUP(MONTH(Raw_Data!B464)/3,0)</f>
        <v>Q4</v>
      </c>
      <c r="F464" t="str">
        <f>TEXT(Raw_Data!B464,"mmm")</f>
        <v>Nov</v>
      </c>
      <c r="G464" t="str">
        <f>TEXT(Raw_Data!B464,"ddd")</f>
        <v>Sat</v>
      </c>
      <c r="H464" t="str">
        <f>Raw_Data!D464</f>
        <v>Invoiced</v>
      </c>
      <c r="I464" t="str">
        <f>Raw_Data!F464</f>
        <v>Tele-in</v>
      </c>
      <c r="J464" t="str">
        <f>Raw_Data!G464</f>
        <v>Dealer Webpage Tele-In</v>
      </c>
      <c r="K464" t="str">
        <f>IFERROR(VLOOKUP(J464,Source_Assumptions!$A:$C,2,0),"Unmapped")</f>
        <v>Digital - Owned</v>
      </c>
      <c r="L464" t="str">
        <f>Raw_Data!H464</f>
        <v>AMAZE Petrol</v>
      </c>
      <c r="M464" t="str">
        <f>IFERROR(VLOOKUP(L464,Model_Assumptions!$A:$D,2,0),"Unmapped")</f>
        <v>Sub-4m Sedan</v>
      </c>
      <c r="N464" t="str">
        <f>IFERROR(VLOOKUP(L464,Model_Assumptions!$A:$D,3,0),"Unmapped")</f>
        <v>Petrol</v>
      </c>
      <c r="O464">
        <f>IFERROR(VLOOKUP(L464,Model_Assumptions!$A:$D,4,0),0)</f>
        <v>850000</v>
      </c>
      <c r="P464">
        <f>IFERROR(VLOOKUP(J464,Source_Assumptions!$A:$C,3,0),0)</f>
        <v>300</v>
      </c>
    </row>
    <row r="465" spans="1:16" x14ac:dyDescent="0.3">
      <c r="A465">
        <f>Raw_Data!A465</f>
        <v>464</v>
      </c>
      <c r="B465" s="2">
        <f>Raw_Data!B465</f>
        <v>44893</v>
      </c>
      <c r="C465">
        <f>YEAR(Raw_Data!B465)</f>
        <v>2022</v>
      </c>
      <c r="D465" t="str">
        <f>IF(MONTH(Raw_Data!B465)&gt;=4,YEAR(Raw_Data!B465)&amp;"-"&amp;RIGHT(YEAR(Raw_Data!B465)+1,2),YEAR(Raw_Data!B465)-1&amp;"-"&amp;RIGHT(YEAR(Raw_Data!B465),2))</f>
        <v>2022-23</v>
      </c>
      <c r="E465" t="str">
        <f>"Q"&amp;ROUNDUP(MONTH(Raw_Data!B465)/3,0)</f>
        <v>Q4</v>
      </c>
      <c r="F465" t="str">
        <f>TEXT(Raw_Data!B465,"mmm")</f>
        <v>Nov</v>
      </c>
      <c r="G465" t="str">
        <f>TEXT(Raw_Data!B465,"ddd")</f>
        <v>Mon</v>
      </c>
      <c r="H465" t="str">
        <f>Raw_Data!D465</f>
        <v>Invoiced</v>
      </c>
      <c r="I465" t="str">
        <f>Raw_Data!F465</f>
        <v>Tele-in</v>
      </c>
      <c r="J465" t="str">
        <f>Raw_Data!G465</f>
        <v>Referral-CAM</v>
      </c>
      <c r="K465" t="str">
        <f>IFERROR(VLOOKUP(J465,Source_Assumptions!$A:$C,2,0),"Unmapped")</f>
        <v>Referral</v>
      </c>
      <c r="L465" t="str">
        <f>Raw_Data!H465</f>
        <v>CITY PE</v>
      </c>
      <c r="M465" t="str">
        <f>IFERROR(VLOOKUP(L465,Model_Assumptions!$A:$D,2,0),"Unmapped")</f>
        <v>Mid-size Sedan</v>
      </c>
      <c r="N465" t="str">
        <f>IFERROR(VLOOKUP(L465,Model_Assumptions!$A:$D,3,0),"Unmapped")</f>
        <v>Petrol</v>
      </c>
      <c r="O465">
        <f>IFERROR(VLOOKUP(L465,Model_Assumptions!$A:$D,4,0),0)</f>
        <v>1100000</v>
      </c>
      <c r="P465">
        <f>IFERROR(VLOOKUP(J465,Source_Assumptions!$A:$C,3,0),0)</f>
        <v>150</v>
      </c>
    </row>
    <row r="466" spans="1:16" x14ac:dyDescent="0.3">
      <c r="A466">
        <f>Raw_Data!A466</f>
        <v>465</v>
      </c>
      <c r="B466" s="2">
        <f>Raw_Data!B466</f>
        <v>44893</v>
      </c>
      <c r="C466">
        <f>YEAR(Raw_Data!B466)</f>
        <v>2022</v>
      </c>
      <c r="D466" t="str">
        <f>IF(MONTH(Raw_Data!B466)&gt;=4,YEAR(Raw_Data!B466)&amp;"-"&amp;RIGHT(YEAR(Raw_Data!B466)+1,2),YEAR(Raw_Data!B466)-1&amp;"-"&amp;RIGHT(YEAR(Raw_Data!B466),2))</f>
        <v>2022-23</v>
      </c>
      <c r="E466" t="str">
        <f>"Q"&amp;ROUNDUP(MONTH(Raw_Data!B466)/3,0)</f>
        <v>Q4</v>
      </c>
      <c r="F466" t="str">
        <f>TEXT(Raw_Data!B466,"mmm")</f>
        <v>Nov</v>
      </c>
      <c r="G466" t="str">
        <f>TEXT(Raw_Data!B466,"ddd")</f>
        <v>Mon</v>
      </c>
      <c r="H466" t="str">
        <f>Raw_Data!D466</f>
        <v>Invoiced</v>
      </c>
      <c r="I466" t="str">
        <f>Raw_Data!F466</f>
        <v>SMS/ Tele-Out</v>
      </c>
      <c r="J466" t="str">
        <f>Raw_Data!G466</f>
        <v>Database Activity(Teleout/SMS)</v>
      </c>
      <c r="K466" t="str">
        <f>IFERROR(VLOOKUP(J466,Source_Assumptions!$A:$C,2,0),"Unmapped")</f>
        <v>Outbound/Database</v>
      </c>
      <c r="L466" t="str">
        <f>Raw_Data!H466</f>
        <v>CITY PE</v>
      </c>
      <c r="M466" t="str">
        <f>IFERROR(VLOOKUP(L466,Model_Assumptions!$A:$D,2,0),"Unmapped")</f>
        <v>Mid-size Sedan</v>
      </c>
      <c r="N466" t="str">
        <f>IFERROR(VLOOKUP(L466,Model_Assumptions!$A:$D,3,0),"Unmapped")</f>
        <v>Petrol</v>
      </c>
      <c r="O466">
        <f>IFERROR(VLOOKUP(L466,Model_Assumptions!$A:$D,4,0),0)</f>
        <v>1100000</v>
      </c>
      <c r="P466">
        <f>IFERROR(VLOOKUP(J466,Source_Assumptions!$A:$C,3,0),0)</f>
        <v>250</v>
      </c>
    </row>
    <row r="467" spans="1:16" x14ac:dyDescent="0.3">
      <c r="A467">
        <f>Raw_Data!A467</f>
        <v>466</v>
      </c>
      <c r="B467" s="2">
        <f>Raw_Data!B467</f>
        <v>44894</v>
      </c>
      <c r="C467">
        <f>YEAR(Raw_Data!B467)</f>
        <v>2022</v>
      </c>
      <c r="D467" t="str">
        <f>IF(MONTH(Raw_Data!B467)&gt;=4,YEAR(Raw_Data!B467)&amp;"-"&amp;RIGHT(YEAR(Raw_Data!B467)+1,2),YEAR(Raw_Data!B467)-1&amp;"-"&amp;RIGHT(YEAR(Raw_Data!B467),2))</f>
        <v>2022-23</v>
      </c>
      <c r="E467" t="str">
        <f>"Q"&amp;ROUNDUP(MONTH(Raw_Data!B467)/3,0)</f>
        <v>Q4</v>
      </c>
      <c r="F467" t="str">
        <f>TEXT(Raw_Data!B467,"mmm")</f>
        <v>Nov</v>
      </c>
      <c r="G467" t="str">
        <f>TEXT(Raw_Data!B467,"ddd")</f>
        <v>Tue</v>
      </c>
      <c r="H467" t="str">
        <f>Raw_Data!D467</f>
        <v>Invoiced</v>
      </c>
      <c r="I467" t="str">
        <f>Raw_Data!F467</f>
        <v>Web Lead</v>
      </c>
      <c r="J467" t="str">
        <f>Raw_Data!G467</f>
        <v>Web</v>
      </c>
      <c r="K467" t="str">
        <f>IFERROR(VLOOKUP(J467,Source_Assumptions!$A:$C,2,0),"Unmapped")</f>
        <v>Digital - Owned</v>
      </c>
      <c r="L467" t="str">
        <f>Raw_Data!H467</f>
        <v>AMAZE Petrol</v>
      </c>
      <c r="M467" t="str">
        <f>IFERROR(VLOOKUP(L467,Model_Assumptions!$A:$D,2,0),"Unmapped")</f>
        <v>Sub-4m Sedan</v>
      </c>
      <c r="N467" t="str">
        <f>IFERROR(VLOOKUP(L467,Model_Assumptions!$A:$D,3,0),"Unmapped")</f>
        <v>Petrol</v>
      </c>
      <c r="O467">
        <f>IFERROR(VLOOKUP(L467,Model_Assumptions!$A:$D,4,0),0)</f>
        <v>850000</v>
      </c>
      <c r="P467">
        <f>IFERROR(VLOOKUP(J467,Source_Assumptions!$A:$C,3,0),0)</f>
        <v>300</v>
      </c>
    </row>
    <row r="468" spans="1:16" x14ac:dyDescent="0.3">
      <c r="A468">
        <f>Raw_Data!A468</f>
        <v>467</v>
      </c>
      <c r="B468" s="2">
        <f>Raw_Data!B468</f>
        <v>44895</v>
      </c>
      <c r="C468">
        <f>YEAR(Raw_Data!B468)</f>
        <v>2022</v>
      </c>
      <c r="D468" t="str">
        <f>IF(MONTH(Raw_Data!B468)&gt;=4,YEAR(Raw_Data!B468)&amp;"-"&amp;RIGHT(YEAR(Raw_Data!B468)+1,2),YEAR(Raw_Data!B468)-1&amp;"-"&amp;RIGHT(YEAR(Raw_Data!B468),2))</f>
        <v>2022-23</v>
      </c>
      <c r="E468" t="str">
        <f>"Q"&amp;ROUNDUP(MONTH(Raw_Data!B468)/3,0)</f>
        <v>Q4</v>
      </c>
      <c r="F468" t="str">
        <f>TEXT(Raw_Data!B468,"mmm")</f>
        <v>Nov</v>
      </c>
      <c r="G468" t="str">
        <f>TEXT(Raw_Data!B468,"ddd")</f>
        <v>Wed</v>
      </c>
      <c r="H468" t="str">
        <f>Raw_Data!D468</f>
        <v>Invoiced</v>
      </c>
      <c r="I468" t="str">
        <f>Raw_Data!F468</f>
        <v>Walk-in Showroom</v>
      </c>
      <c r="J468" t="str">
        <f>Raw_Data!G468</f>
        <v>Adver. (TVC/Print/Hoarding/FM)</v>
      </c>
      <c r="K468" t="str">
        <f>IFERROR(VLOOKUP(J468,Source_Assumptions!$A:$C,2,0),"Unmapped")</f>
        <v>Traditional Advertising</v>
      </c>
      <c r="L468" t="str">
        <f>Raw_Data!H468</f>
        <v>5TH GEN CITY PE</v>
      </c>
      <c r="M468" t="str">
        <f>IFERROR(VLOOKUP(L468,Model_Assumptions!$A:$D,2,0),"Unmapped")</f>
        <v>Mid-size Sedan</v>
      </c>
      <c r="N468" t="str">
        <f>IFERROR(VLOOKUP(L468,Model_Assumptions!$A:$D,3,0),"Unmapped")</f>
        <v>Petrol</v>
      </c>
      <c r="O468">
        <f>IFERROR(VLOOKUP(L468,Model_Assumptions!$A:$D,4,0),0)</f>
        <v>1250000</v>
      </c>
      <c r="P468">
        <f>IFERROR(VLOOKUP(J468,Source_Assumptions!$A:$C,3,0),0)</f>
        <v>1200</v>
      </c>
    </row>
    <row r="469" spans="1:16" x14ac:dyDescent="0.3">
      <c r="A469">
        <f>Raw_Data!A469</f>
        <v>468</v>
      </c>
      <c r="B469" s="2">
        <f>Raw_Data!B469</f>
        <v>44895</v>
      </c>
      <c r="C469">
        <f>YEAR(Raw_Data!B469)</f>
        <v>2022</v>
      </c>
      <c r="D469" t="str">
        <f>IF(MONTH(Raw_Data!B469)&gt;=4,YEAR(Raw_Data!B469)&amp;"-"&amp;RIGHT(YEAR(Raw_Data!B469)+1,2),YEAR(Raw_Data!B469)-1&amp;"-"&amp;RIGHT(YEAR(Raw_Data!B469),2))</f>
        <v>2022-23</v>
      </c>
      <c r="E469" t="str">
        <f>"Q"&amp;ROUNDUP(MONTH(Raw_Data!B469)/3,0)</f>
        <v>Q4</v>
      </c>
      <c r="F469" t="str">
        <f>TEXT(Raw_Data!B469,"mmm")</f>
        <v>Nov</v>
      </c>
      <c r="G469" t="str">
        <f>TEXT(Raw_Data!B469,"ddd")</f>
        <v>Wed</v>
      </c>
      <c r="H469" t="str">
        <f>Raw_Data!D469</f>
        <v>Invoiced</v>
      </c>
      <c r="I469" t="str">
        <f>Raw_Data!F469</f>
        <v>Tele-in</v>
      </c>
      <c r="J469" t="str">
        <f>Raw_Data!G469</f>
        <v>Dealer Webpage Tele-In</v>
      </c>
      <c r="K469" t="str">
        <f>IFERROR(VLOOKUP(J469,Source_Assumptions!$A:$C,2,0),"Unmapped")</f>
        <v>Digital - Owned</v>
      </c>
      <c r="L469" t="str">
        <f>Raw_Data!H469</f>
        <v>JAZZ PE</v>
      </c>
      <c r="M469" t="str">
        <f>IFERROR(VLOOKUP(L469,Model_Assumptions!$A:$D,2,0),"Unmapped")</f>
        <v>Hatchback</v>
      </c>
      <c r="N469" t="str">
        <f>IFERROR(VLOOKUP(L469,Model_Assumptions!$A:$D,3,0),"Unmapped")</f>
        <v>Petrol</v>
      </c>
      <c r="O469">
        <f>IFERROR(VLOOKUP(L469,Model_Assumptions!$A:$D,4,0),0)</f>
        <v>800000</v>
      </c>
      <c r="P469">
        <f>IFERROR(VLOOKUP(J469,Source_Assumptions!$A:$C,3,0),0)</f>
        <v>300</v>
      </c>
    </row>
    <row r="470" spans="1:16" x14ac:dyDescent="0.3">
      <c r="A470">
        <f>Raw_Data!A470</f>
        <v>469</v>
      </c>
      <c r="B470" s="2">
        <f>Raw_Data!B470</f>
        <v>44895</v>
      </c>
      <c r="C470">
        <f>YEAR(Raw_Data!B470)</f>
        <v>2022</v>
      </c>
      <c r="D470" t="str">
        <f>IF(MONTH(Raw_Data!B470)&gt;=4,YEAR(Raw_Data!B470)&amp;"-"&amp;RIGHT(YEAR(Raw_Data!B470)+1,2),YEAR(Raw_Data!B470)-1&amp;"-"&amp;RIGHT(YEAR(Raw_Data!B470),2))</f>
        <v>2022-23</v>
      </c>
      <c r="E470" t="str">
        <f>"Q"&amp;ROUNDUP(MONTH(Raw_Data!B470)/3,0)</f>
        <v>Q4</v>
      </c>
      <c r="F470" t="str">
        <f>TEXT(Raw_Data!B470,"mmm")</f>
        <v>Nov</v>
      </c>
      <c r="G470" t="str">
        <f>TEXT(Raw_Data!B470,"ddd")</f>
        <v>Wed</v>
      </c>
      <c r="H470" t="str">
        <f>Raw_Data!D470</f>
        <v>Invoiced</v>
      </c>
      <c r="I470" t="str">
        <f>Raw_Data!F470</f>
        <v>Web Lead</v>
      </c>
      <c r="J470" t="str">
        <f>Raw_Data!G470</f>
        <v>Web</v>
      </c>
      <c r="K470" t="str">
        <f>IFERROR(VLOOKUP(J470,Source_Assumptions!$A:$C,2,0),"Unmapped")</f>
        <v>Digital - Owned</v>
      </c>
      <c r="L470" t="str">
        <f>Raw_Data!H470</f>
        <v>AMAZE Petrol</v>
      </c>
      <c r="M470" t="str">
        <f>IFERROR(VLOOKUP(L470,Model_Assumptions!$A:$D,2,0),"Unmapped")</f>
        <v>Sub-4m Sedan</v>
      </c>
      <c r="N470" t="str">
        <f>IFERROR(VLOOKUP(L470,Model_Assumptions!$A:$D,3,0),"Unmapped")</f>
        <v>Petrol</v>
      </c>
      <c r="O470">
        <f>IFERROR(VLOOKUP(L470,Model_Assumptions!$A:$D,4,0),0)</f>
        <v>850000</v>
      </c>
      <c r="P470">
        <f>IFERROR(VLOOKUP(J470,Source_Assumptions!$A:$C,3,0),0)</f>
        <v>300</v>
      </c>
    </row>
    <row r="471" spans="1:16" x14ac:dyDescent="0.3">
      <c r="A471">
        <f>Raw_Data!A471</f>
        <v>470</v>
      </c>
      <c r="B471" s="2">
        <f>Raw_Data!B471</f>
        <v>44895</v>
      </c>
      <c r="C471">
        <f>YEAR(Raw_Data!B471)</f>
        <v>2022</v>
      </c>
      <c r="D471" t="str">
        <f>IF(MONTH(Raw_Data!B471)&gt;=4,YEAR(Raw_Data!B471)&amp;"-"&amp;RIGHT(YEAR(Raw_Data!B471)+1,2),YEAR(Raw_Data!B471)-1&amp;"-"&amp;RIGHT(YEAR(Raw_Data!B471),2))</f>
        <v>2022-23</v>
      </c>
      <c r="E471" t="str">
        <f>"Q"&amp;ROUNDUP(MONTH(Raw_Data!B471)/3,0)</f>
        <v>Q4</v>
      </c>
      <c r="F471" t="str">
        <f>TEXT(Raw_Data!B471,"mmm")</f>
        <v>Nov</v>
      </c>
      <c r="G471" t="str">
        <f>TEXT(Raw_Data!B471,"ddd")</f>
        <v>Wed</v>
      </c>
      <c r="H471" t="str">
        <f>Raw_Data!D471</f>
        <v>Invoiced</v>
      </c>
      <c r="I471" t="str">
        <f>Raw_Data!F471</f>
        <v>Tele-in</v>
      </c>
      <c r="J471" t="str">
        <f>Raw_Data!G471</f>
        <v>Dealer Webpage Tele-In</v>
      </c>
      <c r="K471" t="str">
        <f>IFERROR(VLOOKUP(J471,Source_Assumptions!$A:$C,2,0),"Unmapped")</f>
        <v>Digital - Owned</v>
      </c>
      <c r="L471" t="str">
        <f>Raw_Data!H471</f>
        <v>AMAZE Petrol</v>
      </c>
      <c r="M471" t="str">
        <f>IFERROR(VLOOKUP(L471,Model_Assumptions!$A:$D,2,0),"Unmapped")</f>
        <v>Sub-4m Sedan</v>
      </c>
      <c r="N471" t="str">
        <f>IFERROR(VLOOKUP(L471,Model_Assumptions!$A:$D,3,0),"Unmapped")</f>
        <v>Petrol</v>
      </c>
      <c r="O471">
        <f>IFERROR(VLOOKUP(L471,Model_Assumptions!$A:$D,4,0),0)</f>
        <v>850000</v>
      </c>
      <c r="P471">
        <f>IFERROR(VLOOKUP(J471,Source_Assumptions!$A:$C,3,0),0)</f>
        <v>300</v>
      </c>
    </row>
    <row r="472" spans="1:16" x14ac:dyDescent="0.3">
      <c r="A472">
        <f>Raw_Data!A472</f>
        <v>471</v>
      </c>
      <c r="B472" s="2">
        <f>Raw_Data!B472</f>
        <v>44896</v>
      </c>
      <c r="C472">
        <f>YEAR(Raw_Data!B472)</f>
        <v>2022</v>
      </c>
      <c r="D472" t="str">
        <f>IF(MONTH(Raw_Data!B472)&gt;=4,YEAR(Raw_Data!B472)&amp;"-"&amp;RIGHT(YEAR(Raw_Data!B472)+1,2),YEAR(Raw_Data!B472)-1&amp;"-"&amp;RIGHT(YEAR(Raw_Data!B472),2))</f>
        <v>2022-23</v>
      </c>
      <c r="E472" t="str">
        <f>"Q"&amp;ROUNDUP(MONTH(Raw_Data!B472)/3,0)</f>
        <v>Q4</v>
      </c>
      <c r="F472" t="str">
        <f>TEXT(Raw_Data!B472,"mmm")</f>
        <v>Dec</v>
      </c>
      <c r="G472" t="str">
        <f>TEXT(Raw_Data!B472,"ddd")</f>
        <v>Thu</v>
      </c>
      <c r="H472" t="str">
        <f>Raw_Data!D472</f>
        <v>Invoiced</v>
      </c>
      <c r="I472" t="str">
        <f>Raw_Data!F472</f>
        <v>SMS/ Tele-Out</v>
      </c>
      <c r="J472" t="str">
        <f>Raw_Data!G472</f>
        <v>Database Activity(Teleout/SMS)</v>
      </c>
      <c r="K472" t="str">
        <f>IFERROR(VLOOKUP(J472,Source_Assumptions!$A:$C,2,0),"Unmapped")</f>
        <v>Outbound/Database</v>
      </c>
      <c r="L472" t="str">
        <f>Raw_Data!H472</f>
        <v>5TH GEN CITY PE</v>
      </c>
      <c r="M472" t="str">
        <f>IFERROR(VLOOKUP(L472,Model_Assumptions!$A:$D,2,0),"Unmapped")</f>
        <v>Mid-size Sedan</v>
      </c>
      <c r="N472" t="str">
        <f>IFERROR(VLOOKUP(L472,Model_Assumptions!$A:$D,3,0),"Unmapped")</f>
        <v>Petrol</v>
      </c>
      <c r="O472">
        <f>IFERROR(VLOOKUP(L472,Model_Assumptions!$A:$D,4,0),0)</f>
        <v>1250000</v>
      </c>
      <c r="P472">
        <f>IFERROR(VLOOKUP(J472,Source_Assumptions!$A:$C,3,0),0)</f>
        <v>250</v>
      </c>
    </row>
    <row r="473" spans="1:16" x14ac:dyDescent="0.3">
      <c r="A473">
        <f>Raw_Data!A473</f>
        <v>472</v>
      </c>
      <c r="B473" s="2">
        <f>Raw_Data!B473</f>
        <v>44896</v>
      </c>
      <c r="C473">
        <f>YEAR(Raw_Data!B473)</f>
        <v>2022</v>
      </c>
      <c r="D473" t="str">
        <f>IF(MONTH(Raw_Data!B473)&gt;=4,YEAR(Raw_Data!B473)&amp;"-"&amp;RIGHT(YEAR(Raw_Data!B473)+1,2),YEAR(Raw_Data!B473)-1&amp;"-"&amp;RIGHT(YEAR(Raw_Data!B473),2))</f>
        <v>2022-23</v>
      </c>
      <c r="E473" t="str">
        <f>"Q"&amp;ROUNDUP(MONTH(Raw_Data!B473)/3,0)</f>
        <v>Q4</v>
      </c>
      <c r="F473" t="str">
        <f>TEXT(Raw_Data!B473,"mmm")</f>
        <v>Dec</v>
      </c>
      <c r="G473" t="str">
        <f>TEXT(Raw_Data!B473,"ddd")</f>
        <v>Thu</v>
      </c>
      <c r="H473" t="str">
        <f>Raw_Data!D473</f>
        <v>Invoiced</v>
      </c>
      <c r="I473" t="str">
        <f>Raw_Data!F473</f>
        <v>SMS/ Tele-Out</v>
      </c>
      <c r="J473" t="str">
        <f>Raw_Data!G473</f>
        <v>Database Activity(Teleout/SMS)</v>
      </c>
      <c r="K473" t="str">
        <f>IFERROR(VLOOKUP(J473,Source_Assumptions!$A:$C,2,0),"Unmapped")</f>
        <v>Outbound/Database</v>
      </c>
      <c r="L473" t="str">
        <f>Raw_Data!H473</f>
        <v>5TH GEN CITY PE</v>
      </c>
      <c r="M473" t="str">
        <f>IFERROR(VLOOKUP(L473,Model_Assumptions!$A:$D,2,0),"Unmapped")</f>
        <v>Mid-size Sedan</v>
      </c>
      <c r="N473" t="str">
        <f>IFERROR(VLOOKUP(L473,Model_Assumptions!$A:$D,3,0),"Unmapped")</f>
        <v>Petrol</v>
      </c>
      <c r="O473">
        <f>IFERROR(VLOOKUP(L473,Model_Assumptions!$A:$D,4,0),0)</f>
        <v>1250000</v>
      </c>
      <c r="P473">
        <f>IFERROR(VLOOKUP(J473,Source_Assumptions!$A:$C,3,0),0)</f>
        <v>250</v>
      </c>
    </row>
    <row r="474" spans="1:16" x14ac:dyDescent="0.3">
      <c r="A474">
        <f>Raw_Data!A474</f>
        <v>473</v>
      </c>
      <c r="B474" s="2">
        <f>Raw_Data!B474</f>
        <v>44896</v>
      </c>
      <c r="C474">
        <f>YEAR(Raw_Data!B474)</f>
        <v>2022</v>
      </c>
      <c r="D474" t="str">
        <f>IF(MONTH(Raw_Data!B474)&gt;=4,YEAR(Raw_Data!B474)&amp;"-"&amp;RIGHT(YEAR(Raw_Data!B474)+1,2),YEAR(Raw_Data!B474)-1&amp;"-"&amp;RIGHT(YEAR(Raw_Data!B474),2))</f>
        <v>2022-23</v>
      </c>
      <c r="E474" t="str">
        <f>"Q"&amp;ROUNDUP(MONTH(Raw_Data!B474)/3,0)</f>
        <v>Q4</v>
      </c>
      <c r="F474" t="str">
        <f>TEXT(Raw_Data!B474,"mmm")</f>
        <v>Dec</v>
      </c>
      <c r="G474" t="str">
        <f>TEXT(Raw_Data!B474,"ddd")</f>
        <v>Thu</v>
      </c>
      <c r="H474" t="str">
        <f>Raw_Data!D474</f>
        <v>Invoiced</v>
      </c>
      <c r="I474" t="str">
        <f>Raw_Data!F474</f>
        <v>Tele-in</v>
      </c>
      <c r="J474" t="str">
        <f>Raw_Data!G474</f>
        <v>Referral-CAM</v>
      </c>
      <c r="K474" t="str">
        <f>IFERROR(VLOOKUP(J474,Source_Assumptions!$A:$C,2,0),"Unmapped")</f>
        <v>Referral</v>
      </c>
      <c r="L474" t="str">
        <f>Raw_Data!H474</f>
        <v>AMAZE Petrol</v>
      </c>
      <c r="M474" t="str">
        <f>IFERROR(VLOOKUP(L474,Model_Assumptions!$A:$D,2,0),"Unmapped")</f>
        <v>Sub-4m Sedan</v>
      </c>
      <c r="N474" t="str">
        <f>IFERROR(VLOOKUP(L474,Model_Assumptions!$A:$D,3,0),"Unmapped")</f>
        <v>Petrol</v>
      </c>
      <c r="O474">
        <f>IFERROR(VLOOKUP(L474,Model_Assumptions!$A:$D,4,0),0)</f>
        <v>850000</v>
      </c>
      <c r="P474">
        <f>IFERROR(VLOOKUP(J474,Source_Assumptions!$A:$C,3,0),0)</f>
        <v>150</v>
      </c>
    </row>
    <row r="475" spans="1:16" x14ac:dyDescent="0.3">
      <c r="A475">
        <f>Raw_Data!A475</f>
        <v>474</v>
      </c>
      <c r="B475" s="2">
        <f>Raw_Data!B475</f>
        <v>44900</v>
      </c>
      <c r="C475">
        <f>YEAR(Raw_Data!B475)</f>
        <v>2022</v>
      </c>
      <c r="D475" t="str">
        <f>IF(MONTH(Raw_Data!B475)&gt;=4,YEAR(Raw_Data!B475)&amp;"-"&amp;RIGHT(YEAR(Raw_Data!B475)+1,2),YEAR(Raw_Data!B475)-1&amp;"-"&amp;RIGHT(YEAR(Raw_Data!B475),2))</f>
        <v>2022-23</v>
      </c>
      <c r="E475" t="str">
        <f>"Q"&amp;ROUNDUP(MONTH(Raw_Data!B475)/3,0)</f>
        <v>Q4</v>
      </c>
      <c r="F475" t="str">
        <f>TEXT(Raw_Data!B475,"mmm")</f>
        <v>Dec</v>
      </c>
      <c r="G475" t="str">
        <f>TEXT(Raw_Data!B475,"ddd")</f>
        <v>Mon</v>
      </c>
      <c r="H475" t="str">
        <f>Raw_Data!D475</f>
        <v>Invoiced</v>
      </c>
      <c r="I475" t="str">
        <f>Raw_Data!F475</f>
        <v>Tele-in</v>
      </c>
      <c r="J475" t="str">
        <f>Raw_Data!G475</f>
        <v>Dealer Webpage Tele-In</v>
      </c>
      <c r="K475" t="str">
        <f>IFERROR(VLOOKUP(J475,Source_Assumptions!$A:$C,2,0),"Unmapped")</f>
        <v>Digital - Owned</v>
      </c>
      <c r="L475" t="str">
        <f>Raw_Data!H475</f>
        <v>AMAZE Petrol</v>
      </c>
      <c r="M475" t="str">
        <f>IFERROR(VLOOKUP(L475,Model_Assumptions!$A:$D,2,0),"Unmapped")</f>
        <v>Sub-4m Sedan</v>
      </c>
      <c r="N475" t="str">
        <f>IFERROR(VLOOKUP(L475,Model_Assumptions!$A:$D,3,0),"Unmapped")</f>
        <v>Petrol</v>
      </c>
      <c r="O475">
        <f>IFERROR(VLOOKUP(L475,Model_Assumptions!$A:$D,4,0),0)</f>
        <v>850000</v>
      </c>
      <c r="P475">
        <f>IFERROR(VLOOKUP(J475,Source_Assumptions!$A:$C,3,0),0)</f>
        <v>300</v>
      </c>
    </row>
    <row r="476" spans="1:16" x14ac:dyDescent="0.3">
      <c r="A476">
        <f>Raw_Data!A476</f>
        <v>475</v>
      </c>
      <c r="B476" s="2">
        <f>Raw_Data!B476</f>
        <v>44907</v>
      </c>
      <c r="C476">
        <f>YEAR(Raw_Data!B476)</f>
        <v>2022</v>
      </c>
      <c r="D476" t="str">
        <f>IF(MONTH(Raw_Data!B476)&gt;=4,YEAR(Raw_Data!B476)&amp;"-"&amp;RIGHT(YEAR(Raw_Data!B476)+1,2),YEAR(Raw_Data!B476)-1&amp;"-"&amp;RIGHT(YEAR(Raw_Data!B476),2))</f>
        <v>2022-23</v>
      </c>
      <c r="E476" t="str">
        <f>"Q"&amp;ROUNDUP(MONTH(Raw_Data!B476)/3,0)</f>
        <v>Q4</v>
      </c>
      <c r="F476" t="str">
        <f>TEXT(Raw_Data!B476,"mmm")</f>
        <v>Dec</v>
      </c>
      <c r="G476" t="str">
        <f>TEXT(Raw_Data!B476,"ddd")</f>
        <v>Mon</v>
      </c>
      <c r="H476" t="str">
        <f>Raw_Data!D476</f>
        <v>Invoiced</v>
      </c>
      <c r="I476" t="str">
        <f>Raw_Data!F476</f>
        <v>Tele-in</v>
      </c>
      <c r="J476" t="str">
        <f>Raw_Data!G476</f>
        <v>Adver. (TVC/Print/Hoarding/FM)</v>
      </c>
      <c r="K476" t="str">
        <f>IFERROR(VLOOKUP(J476,Source_Assumptions!$A:$C,2,0),"Unmapped")</f>
        <v>Traditional Advertising</v>
      </c>
      <c r="L476" t="str">
        <f>Raw_Data!H476</f>
        <v>AMAZE Petrol</v>
      </c>
      <c r="M476" t="str">
        <f>IFERROR(VLOOKUP(L476,Model_Assumptions!$A:$D,2,0),"Unmapped")</f>
        <v>Sub-4m Sedan</v>
      </c>
      <c r="N476" t="str">
        <f>IFERROR(VLOOKUP(L476,Model_Assumptions!$A:$D,3,0),"Unmapped")</f>
        <v>Petrol</v>
      </c>
      <c r="O476">
        <f>IFERROR(VLOOKUP(L476,Model_Assumptions!$A:$D,4,0),0)</f>
        <v>850000</v>
      </c>
      <c r="P476">
        <f>IFERROR(VLOOKUP(J476,Source_Assumptions!$A:$C,3,0),0)</f>
        <v>1200</v>
      </c>
    </row>
    <row r="477" spans="1:16" x14ac:dyDescent="0.3">
      <c r="A477">
        <f>Raw_Data!A477</f>
        <v>476</v>
      </c>
      <c r="B477" s="2">
        <f>Raw_Data!B477</f>
        <v>44904</v>
      </c>
      <c r="C477">
        <f>YEAR(Raw_Data!B477)</f>
        <v>2022</v>
      </c>
      <c r="D477" t="str">
        <f>IF(MONTH(Raw_Data!B477)&gt;=4,YEAR(Raw_Data!B477)&amp;"-"&amp;RIGHT(YEAR(Raw_Data!B477)+1,2),YEAR(Raw_Data!B477)-1&amp;"-"&amp;RIGHT(YEAR(Raw_Data!B477),2))</f>
        <v>2022-23</v>
      </c>
      <c r="E477" t="str">
        <f>"Q"&amp;ROUNDUP(MONTH(Raw_Data!B477)/3,0)</f>
        <v>Q4</v>
      </c>
      <c r="F477" t="str">
        <f>TEXT(Raw_Data!B477,"mmm")</f>
        <v>Dec</v>
      </c>
      <c r="G477" t="str">
        <f>TEXT(Raw_Data!B477,"ddd")</f>
        <v>Fri</v>
      </c>
      <c r="H477" t="str">
        <f>Raw_Data!D477</f>
        <v>Invoiced</v>
      </c>
      <c r="I477" t="str">
        <f>Raw_Data!F477</f>
        <v>Web Lead</v>
      </c>
      <c r="J477" t="str">
        <f>Raw_Data!G477</f>
        <v>Web_Organic</v>
      </c>
      <c r="K477" t="str">
        <f>IFERROR(VLOOKUP(J477,Source_Assumptions!$A:$C,2,0),"Unmapped")</f>
        <v>Digital - Organic</v>
      </c>
      <c r="L477" t="str">
        <f>Raw_Data!H477</f>
        <v>AMAZE Petrol</v>
      </c>
      <c r="M477" t="str">
        <f>IFERROR(VLOOKUP(L477,Model_Assumptions!$A:$D,2,0),"Unmapped")</f>
        <v>Sub-4m Sedan</v>
      </c>
      <c r="N477" t="str">
        <f>IFERROR(VLOOKUP(L477,Model_Assumptions!$A:$D,3,0),"Unmapped")</f>
        <v>Petrol</v>
      </c>
      <c r="O477">
        <f>IFERROR(VLOOKUP(L477,Model_Assumptions!$A:$D,4,0),0)</f>
        <v>850000</v>
      </c>
      <c r="P477">
        <f>IFERROR(VLOOKUP(J477,Source_Assumptions!$A:$C,3,0),0)</f>
        <v>100</v>
      </c>
    </row>
    <row r="478" spans="1:16" x14ac:dyDescent="0.3">
      <c r="A478">
        <f>Raw_Data!A478</f>
        <v>477</v>
      </c>
      <c r="B478" s="2">
        <f>Raw_Data!B478</f>
        <v>44908</v>
      </c>
      <c r="C478">
        <f>YEAR(Raw_Data!B478)</f>
        <v>2022</v>
      </c>
      <c r="D478" t="str">
        <f>IF(MONTH(Raw_Data!B478)&gt;=4,YEAR(Raw_Data!B478)&amp;"-"&amp;RIGHT(YEAR(Raw_Data!B478)+1,2),YEAR(Raw_Data!B478)-1&amp;"-"&amp;RIGHT(YEAR(Raw_Data!B478),2))</f>
        <v>2022-23</v>
      </c>
      <c r="E478" t="str">
        <f>"Q"&amp;ROUNDUP(MONTH(Raw_Data!B478)/3,0)</f>
        <v>Q4</v>
      </c>
      <c r="F478" t="str">
        <f>TEXT(Raw_Data!B478,"mmm")</f>
        <v>Dec</v>
      </c>
      <c r="G478" t="str">
        <f>TEXT(Raw_Data!B478,"ddd")</f>
        <v>Tue</v>
      </c>
      <c r="H478" t="str">
        <f>Raw_Data!D478</f>
        <v>Invoiced</v>
      </c>
      <c r="I478" t="str">
        <f>Raw_Data!F478</f>
        <v>SMS/ Tele-Out</v>
      </c>
      <c r="J478" t="str">
        <f>Raw_Data!G478</f>
        <v>I-BAP Referral</v>
      </c>
      <c r="K478" t="str">
        <f>IFERROR(VLOOKUP(J478,Source_Assumptions!$A:$C,2,0),"Unmapped")</f>
        <v>Referral (Insurance/Banking Partner)</v>
      </c>
      <c r="L478" t="str">
        <f>Raw_Data!H478</f>
        <v>AMAZE Petrol</v>
      </c>
      <c r="M478" t="str">
        <f>IFERROR(VLOOKUP(L478,Model_Assumptions!$A:$D,2,0),"Unmapped")</f>
        <v>Sub-4m Sedan</v>
      </c>
      <c r="N478" t="str">
        <f>IFERROR(VLOOKUP(L478,Model_Assumptions!$A:$D,3,0),"Unmapped")</f>
        <v>Petrol</v>
      </c>
      <c r="O478">
        <f>IFERROR(VLOOKUP(L478,Model_Assumptions!$A:$D,4,0),0)</f>
        <v>850000</v>
      </c>
      <c r="P478">
        <f>IFERROR(VLOOKUP(J478,Source_Assumptions!$A:$C,3,0),0)</f>
        <v>150</v>
      </c>
    </row>
    <row r="479" spans="1:16" x14ac:dyDescent="0.3">
      <c r="A479">
        <f>Raw_Data!A479</f>
        <v>478</v>
      </c>
      <c r="B479" s="2">
        <f>Raw_Data!B479</f>
        <v>44909</v>
      </c>
      <c r="C479">
        <f>YEAR(Raw_Data!B479)</f>
        <v>2022</v>
      </c>
      <c r="D479" t="str">
        <f>IF(MONTH(Raw_Data!B479)&gt;=4,YEAR(Raw_Data!B479)&amp;"-"&amp;RIGHT(YEAR(Raw_Data!B479)+1,2),YEAR(Raw_Data!B479)-1&amp;"-"&amp;RIGHT(YEAR(Raw_Data!B479),2))</f>
        <v>2022-23</v>
      </c>
      <c r="E479" t="str">
        <f>"Q"&amp;ROUNDUP(MONTH(Raw_Data!B479)/3,0)</f>
        <v>Q4</v>
      </c>
      <c r="F479" t="str">
        <f>TEXT(Raw_Data!B479,"mmm")</f>
        <v>Dec</v>
      </c>
      <c r="G479" t="str">
        <f>TEXT(Raw_Data!B479,"ddd")</f>
        <v>Wed</v>
      </c>
      <c r="H479" t="str">
        <f>Raw_Data!D479</f>
        <v>Invoiced</v>
      </c>
      <c r="I479" t="str">
        <f>Raw_Data!F479</f>
        <v>Tele-in</v>
      </c>
      <c r="J479" t="str">
        <f>Raw_Data!G479</f>
        <v>Dealer Webpage Tele-In</v>
      </c>
      <c r="K479" t="str">
        <f>IFERROR(VLOOKUP(J479,Source_Assumptions!$A:$C,2,0),"Unmapped")</f>
        <v>Digital - Owned</v>
      </c>
      <c r="L479" t="str">
        <f>Raw_Data!H479</f>
        <v>AMAZE Petrol</v>
      </c>
      <c r="M479" t="str">
        <f>IFERROR(VLOOKUP(L479,Model_Assumptions!$A:$D,2,0),"Unmapped")</f>
        <v>Sub-4m Sedan</v>
      </c>
      <c r="N479" t="str">
        <f>IFERROR(VLOOKUP(L479,Model_Assumptions!$A:$D,3,0),"Unmapped")</f>
        <v>Petrol</v>
      </c>
      <c r="O479">
        <f>IFERROR(VLOOKUP(L479,Model_Assumptions!$A:$D,4,0),0)</f>
        <v>850000</v>
      </c>
      <c r="P479">
        <f>IFERROR(VLOOKUP(J479,Source_Assumptions!$A:$C,3,0),0)</f>
        <v>300</v>
      </c>
    </row>
    <row r="480" spans="1:16" x14ac:dyDescent="0.3">
      <c r="A480">
        <f>Raw_Data!A480</f>
        <v>479</v>
      </c>
      <c r="B480" s="2">
        <f>Raw_Data!B480</f>
        <v>44910</v>
      </c>
      <c r="C480">
        <f>YEAR(Raw_Data!B480)</f>
        <v>2022</v>
      </c>
      <c r="D480" t="str">
        <f>IF(MONTH(Raw_Data!B480)&gt;=4,YEAR(Raw_Data!B480)&amp;"-"&amp;RIGHT(YEAR(Raw_Data!B480)+1,2),YEAR(Raw_Data!B480)-1&amp;"-"&amp;RIGHT(YEAR(Raw_Data!B480),2))</f>
        <v>2022-23</v>
      </c>
      <c r="E480" t="str">
        <f>"Q"&amp;ROUNDUP(MONTH(Raw_Data!B480)/3,0)</f>
        <v>Q4</v>
      </c>
      <c r="F480" t="str">
        <f>TEXT(Raw_Data!B480,"mmm")</f>
        <v>Dec</v>
      </c>
      <c r="G480" t="str">
        <f>TEXT(Raw_Data!B480,"ddd")</f>
        <v>Thu</v>
      </c>
      <c r="H480" t="str">
        <f>Raw_Data!D480</f>
        <v>Invoiced</v>
      </c>
      <c r="I480" t="str">
        <f>Raw_Data!F480</f>
        <v>Tele-in</v>
      </c>
      <c r="J480" t="str">
        <f>Raw_Data!G480</f>
        <v>Adver. (TVC/Print/Hoarding/FM)</v>
      </c>
      <c r="K480" t="str">
        <f>IFERROR(VLOOKUP(J480,Source_Assumptions!$A:$C,2,0),"Unmapped")</f>
        <v>Traditional Advertising</v>
      </c>
      <c r="L480" t="str">
        <f>Raw_Data!H480</f>
        <v>5TH GEN CITY PE</v>
      </c>
      <c r="M480" t="str">
        <f>IFERROR(VLOOKUP(L480,Model_Assumptions!$A:$D,2,0),"Unmapped")</f>
        <v>Mid-size Sedan</v>
      </c>
      <c r="N480" t="str">
        <f>IFERROR(VLOOKUP(L480,Model_Assumptions!$A:$D,3,0),"Unmapped")</f>
        <v>Petrol</v>
      </c>
      <c r="O480">
        <f>IFERROR(VLOOKUP(L480,Model_Assumptions!$A:$D,4,0),0)</f>
        <v>1250000</v>
      </c>
      <c r="P480">
        <f>IFERROR(VLOOKUP(J480,Source_Assumptions!$A:$C,3,0),0)</f>
        <v>1200</v>
      </c>
    </row>
    <row r="481" spans="1:16" x14ac:dyDescent="0.3">
      <c r="A481">
        <f>Raw_Data!A481</f>
        <v>480</v>
      </c>
      <c r="B481" s="2">
        <f>Raw_Data!B481</f>
        <v>44910</v>
      </c>
      <c r="C481">
        <f>YEAR(Raw_Data!B481)</f>
        <v>2022</v>
      </c>
      <c r="D481" t="str">
        <f>IF(MONTH(Raw_Data!B481)&gt;=4,YEAR(Raw_Data!B481)&amp;"-"&amp;RIGHT(YEAR(Raw_Data!B481)+1,2),YEAR(Raw_Data!B481)-1&amp;"-"&amp;RIGHT(YEAR(Raw_Data!B481),2))</f>
        <v>2022-23</v>
      </c>
      <c r="E481" t="str">
        <f>"Q"&amp;ROUNDUP(MONTH(Raw_Data!B481)/3,0)</f>
        <v>Q4</v>
      </c>
      <c r="F481" t="str">
        <f>TEXT(Raw_Data!B481,"mmm")</f>
        <v>Dec</v>
      </c>
      <c r="G481" t="str">
        <f>TEXT(Raw_Data!B481,"ddd")</f>
        <v>Thu</v>
      </c>
      <c r="H481" t="str">
        <f>Raw_Data!D481</f>
        <v>Invoiced</v>
      </c>
      <c r="I481" t="str">
        <f>Raw_Data!F481</f>
        <v>Tele-in</v>
      </c>
      <c r="J481" t="str">
        <f>Raw_Data!G481</f>
        <v>Dealer Webpage Tele-In</v>
      </c>
      <c r="K481" t="str">
        <f>IFERROR(VLOOKUP(J481,Source_Assumptions!$A:$C,2,0),"Unmapped")</f>
        <v>Digital - Owned</v>
      </c>
      <c r="L481" t="str">
        <f>Raw_Data!H481</f>
        <v>AMAZE Petrol</v>
      </c>
      <c r="M481" t="str">
        <f>IFERROR(VLOOKUP(L481,Model_Assumptions!$A:$D,2,0),"Unmapped")</f>
        <v>Sub-4m Sedan</v>
      </c>
      <c r="N481" t="str">
        <f>IFERROR(VLOOKUP(L481,Model_Assumptions!$A:$D,3,0),"Unmapped")</f>
        <v>Petrol</v>
      </c>
      <c r="O481">
        <f>IFERROR(VLOOKUP(L481,Model_Assumptions!$A:$D,4,0),0)</f>
        <v>850000</v>
      </c>
      <c r="P481">
        <f>IFERROR(VLOOKUP(J481,Source_Assumptions!$A:$C,3,0),0)</f>
        <v>300</v>
      </c>
    </row>
    <row r="482" spans="1:16" x14ac:dyDescent="0.3">
      <c r="A482">
        <f>Raw_Data!A482</f>
        <v>481</v>
      </c>
      <c r="B482" s="2">
        <f>Raw_Data!B482</f>
        <v>44910</v>
      </c>
      <c r="C482">
        <f>YEAR(Raw_Data!B482)</f>
        <v>2022</v>
      </c>
      <c r="D482" t="str">
        <f>IF(MONTH(Raw_Data!B482)&gt;=4,YEAR(Raw_Data!B482)&amp;"-"&amp;RIGHT(YEAR(Raw_Data!B482)+1,2),YEAR(Raw_Data!B482)-1&amp;"-"&amp;RIGHT(YEAR(Raw_Data!B482),2))</f>
        <v>2022-23</v>
      </c>
      <c r="E482" t="str">
        <f>"Q"&amp;ROUNDUP(MONTH(Raw_Data!B482)/3,0)</f>
        <v>Q4</v>
      </c>
      <c r="F482" t="str">
        <f>TEXT(Raw_Data!B482,"mmm")</f>
        <v>Dec</v>
      </c>
      <c r="G482" t="str">
        <f>TEXT(Raw_Data!B482,"ddd")</f>
        <v>Thu</v>
      </c>
      <c r="H482" t="str">
        <f>Raw_Data!D482</f>
        <v>Invoiced</v>
      </c>
      <c r="I482" t="str">
        <f>Raw_Data!F482</f>
        <v>Walk-in Showroom</v>
      </c>
      <c r="J482" t="str">
        <f>Raw_Data!G482</f>
        <v>Adver. (TVC/Print/Hoarding/FM)</v>
      </c>
      <c r="K482" t="str">
        <f>IFERROR(VLOOKUP(J482,Source_Assumptions!$A:$C,2,0),"Unmapped")</f>
        <v>Traditional Advertising</v>
      </c>
      <c r="L482" t="str">
        <f>Raw_Data!H482</f>
        <v>AMAZE Petrol</v>
      </c>
      <c r="M482" t="str">
        <f>IFERROR(VLOOKUP(L482,Model_Assumptions!$A:$D,2,0),"Unmapped")</f>
        <v>Sub-4m Sedan</v>
      </c>
      <c r="N482" t="str">
        <f>IFERROR(VLOOKUP(L482,Model_Assumptions!$A:$D,3,0),"Unmapped")</f>
        <v>Petrol</v>
      </c>
      <c r="O482">
        <f>IFERROR(VLOOKUP(L482,Model_Assumptions!$A:$D,4,0),0)</f>
        <v>850000</v>
      </c>
      <c r="P482">
        <f>IFERROR(VLOOKUP(J482,Source_Assumptions!$A:$C,3,0),0)</f>
        <v>1200</v>
      </c>
    </row>
    <row r="483" spans="1:16" x14ac:dyDescent="0.3">
      <c r="A483">
        <f>Raw_Data!A483</f>
        <v>482</v>
      </c>
      <c r="B483" s="2">
        <f>Raw_Data!B483</f>
        <v>44911</v>
      </c>
      <c r="C483">
        <f>YEAR(Raw_Data!B483)</f>
        <v>2022</v>
      </c>
      <c r="D483" t="str">
        <f>IF(MONTH(Raw_Data!B483)&gt;=4,YEAR(Raw_Data!B483)&amp;"-"&amp;RIGHT(YEAR(Raw_Data!B483)+1,2),YEAR(Raw_Data!B483)-1&amp;"-"&amp;RIGHT(YEAR(Raw_Data!B483),2))</f>
        <v>2022-23</v>
      </c>
      <c r="E483" t="str">
        <f>"Q"&amp;ROUNDUP(MONTH(Raw_Data!B483)/3,0)</f>
        <v>Q4</v>
      </c>
      <c r="F483" t="str">
        <f>TEXT(Raw_Data!B483,"mmm")</f>
        <v>Dec</v>
      </c>
      <c r="G483" t="str">
        <f>TEXT(Raw_Data!B483,"ddd")</f>
        <v>Fri</v>
      </c>
      <c r="H483" t="str">
        <f>Raw_Data!D483</f>
        <v>Invoiced</v>
      </c>
      <c r="I483" t="str">
        <f>Raw_Data!F483</f>
        <v>SMS/ Tele-Out</v>
      </c>
      <c r="J483" t="str">
        <f>Raw_Data!G483</f>
        <v>Database Activity(Teleout/SMS)</v>
      </c>
      <c r="K483" t="str">
        <f>IFERROR(VLOOKUP(J483,Source_Assumptions!$A:$C,2,0),"Unmapped")</f>
        <v>Outbound/Database</v>
      </c>
      <c r="L483" t="str">
        <f>Raw_Data!H483</f>
        <v>AMAZE Petrol</v>
      </c>
      <c r="M483" t="str">
        <f>IFERROR(VLOOKUP(L483,Model_Assumptions!$A:$D,2,0),"Unmapped")</f>
        <v>Sub-4m Sedan</v>
      </c>
      <c r="N483" t="str">
        <f>IFERROR(VLOOKUP(L483,Model_Assumptions!$A:$D,3,0),"Unmapped")</f>
        <v>Petrol</v>
      </c>
      <c r="O483">
        <f>IFERROR(VLOOKUP(L483,Model_Assumptions!$A:$D,4,0),0)</f>
        <v>850000</v>
      </c>
      <c r="P483">
        <f>IFERROR(VLOOKUP(J483,Source_Assumptions!$A:$C,3,0),0)</f>
        <v>250</v>
      </c>
    </row>
    <row r="484" spans="1:16" x14ac:dyDescent="0.3">
      <c r="A484">
        <f>Raw_Data!A484</f>
        <v>483</v>
      </c>
      <c r="B484" s="2">
        <f>Raw_Data!B484</f>
        <v>44912</v>
      </c>
      <c r="C484">
        <f>YEAR(Raw_Data!B484)</f>
        <v>2022</v>
      </c>
      <c r="D484" t="str">
        <f>IF(MONTH(Raw_Data!B484)&gt;=4,YEAR(Raw_Data!B484)&amp;"-"&amp;RIGHT(YEAR(Raw_Data!B484)+1,2),YEAR(Raw_Data!B484)-1&amp;"-"&amp;RIGHT(YEAR(Raw_Data!B484),2))</f>
        <v>2022-23</v>
      </c>
      <c r="E484" t="str">
        <f>"Q"&amp;ROUNDUP(MONTH(Raw_Data!B484)/3,0)</f>
        <v>Q4</v>
      </c>
      <c r="F484" t="str">
        <f>TEXT(Raw_Data!B484,"mmm")</f>
        <v>Dec</v>
      </c>
      <c r="G484" t="str">
        <f>TEXT(Raw_Data!B484,"ddd")</f>
        <v>Sat</v>
      </c>
      <c r="H484" t="str">
        <f>Raw_Data!D484</f>
        <v>Invoiced</v>
      </c>
      <c r="I484" t="str">
        <f>Raw_Data!F484</f>
        <v>Tele-in</v>
      </c>
      <c r="J484" t="str">
        <f>Raw_Data!G484</f>
        <v>Referral-CAM</v>
      </c>
      <c r="K484" t="str">
        <f>IFERROR(VLOOKUP(J484,Source_Assumptions!$A:$C,2,0),"Unmapped")</f>
        <v>Referral</v>
      </c>
      <c r="L484" t="str">
        <f>Raw_Data!H484</f>
        <v>AMAZE Petrol</v>
      </c>
      <c r="M484" t="str">
        <f>IFERROR(VLOOKUP(L484,Model_Assumptions!$A:$D,2,0),"Unmapped")</f>
        <v>Sub-4m Sedan</v>
      </c>
      <c r="N484" t="str">
        <f>IFERROR(VLOOKUP(L484,Model_Assumptions!$A:$D,3,0),"Unmapped")</f>
        <v>Petrol</v>
      </c>
      <c r="O484">
        <f>IFERROR(VLOOKUP(L484,Model_Assumptions!$A:$D,4,0),0)</f>
        <v>850000</v>
      </c>
      <c r="P484">
        <f>IFERROR(VLOOKUP(J484,Source_Assumptions!$A:$C,3,0),0)</f>
        <v>150</v>
      </c>
    </row>
    <row r="485" spans="1:16" x14ac:dyDescent="0.3">
      <c r="A485">
        <f>Raw_Data!A485</f>
        <v>484</v>
      </c>
      <c r="B485" s="2">
        <f>Raw_Data!B485</f>
        <v>44912</v>
      </c>
      <c r="C485">
        <f>YEAR(Raw_Data!B485)</f>
        <v>2022</v>
      </c>
      <c r="D485" t="str">
        <f>IF(MONTH(Raw_Data!B485)&gt;=4,YEAR(Raw_Data!B485)&amp;"-"&amp;RIGHT(YEAR(Raw_Data!B485)+1,2),YEAR(Raw_Data!B485)-1&amp;"-"&amp;RIGHT(YEAR(Raw_Data!B485),2))</f>
        <v>2022-23</v>
      </c>
      <c r="E485" t="str">
        <f>"Q"&amp;ROUNDUP(MONTH(Raw_Data!B485)/3,0)</f>
        <v>Q4</v>
      </c>
      <c r="F485" t="str">
        <f>TEXT(Raw_Data!B485,"mmm")</f>
        <v>Dec</v>
      </c>
      <c r="G485" t="str">
        <f>TEXT(Raw_Data!B485,"ddd")</f>
        <v>Sat</v>
      </c>
      <c r="H485" t="str">
        <f>Raw_Data!D485</f>
        <v>Invoiced</v>
      </c>
      <c r="I485" t="str">
        <f>Raw_Data!F485</f>
        <v>Walk-in Showroom</v>
      </c>
      <c r="J485" t="str">
        <f>Raw_Data!G485</f>
        <v>Adver. (TVC/Print/Hoarding/FM)</v>
      </c>
      <c r="K485" t="str">
        <f>IFERROR(VLOOKUP(J485,Source_Assumptions!$A:$C,2,0),"Unmapped")</f>
        <v>Traditional Advertising</v>
      </c>
      <c r="L485" t="str">
        <f>Raw_Data!H485</f>
        <v>5TH GEN CITY PE</v>
      </c>
      <c r="M485" t="str">
        <f>IFERROR(VLOOKUP(L485,Model_Assumptions!$A:$D,2,0),"Unmapped")</f>
        <v>Mid-size Sedan</v>
      </c>
      <c r="N485" t="str">
        <f>IFERROR(VLOOKUP(L485,Model_Assumptions!$A:$D,3,0),"Unmapped")</f>
        <v>Petrol</v>
      </c>
      <c r="O485">
        <f>IFERROR(VLOOKUP(L485,Model_Assumptions!$A:$D,4,0),0)</f>
        <v>1250000</v>
      </c>
      <c r="P485">
        <f>IFERROR(VLOOKUP(J485,Source_Assumptions!$A:$C,3,0),0)</f>
        <v>1200</v>
      </c>
    </row>
    <row r="486" spans="1:16" x14ac:dyDescent="0.3">
      <c r="A486">
        <f>Raw_Data!A486</f>
        <v>485</v>
      </c>
      <c r="B486" s="2">
        <f>Raw_Data!B486</f>
        <v>44912</v>
      </c>
      <c r="C486">
        <f>YEAR(Raw_Data!B486)</f>
        <v>2022</v>
      </c>
      <c r="D486" t="str">
        <f>IF(MONTH(Raw_Data!B486)&gt;=4,YEAR(Raw_Data!B486)&amp;"-"&amp;RIGHT(YEAR(Raw_Data!B486)+1,2),YEAR(Raw_Data!B486)-1&amp;"-"&amp;RIGHT(YEAR(Raw_Data!B486),2))</f>
        <v>2022-23</v>
      </c>
      <c r="E486" t="str">
        <f>"Q"&amp;ROUNDUP(MONTH(Raw_Data!B486)/3,0)</f>
        <v>Q4</v>
      </c>
      <c r="F486" t="str">
        <f>TEXT(Raw_Data!B486,"mmm")</f>
        <v>Dec</v>
      </c>
      <c r="G486" t="str">
        <f>TEXT(Raw_Data!B486,"ddd")</f>
        <v>Sat</v>
      </c>
      <c r="H486" t="str">
        <f>Raw_Data!D486</f>
        <v>Invoiced</v>
      </c>
      <c r="I486" t="str">
        <f>Raw_Data!F486</f>
        <v>SMS/ Tele-Out</v>
      </c>
      <c r="J486" t="str">
        <f>Raw_Data!G486</f>
        <v>Database Activity(Teleout/SMS)</v>
      </c>
      <c r="K486" t="str">
        <f>IFERROR(VLOOKUP(J486,Source_Assumptions!$A:$C,2,0),"Unmapped")</f>
        <v>Outbound/Database</v>
      </c>
      <c r="L486" t="str">
        <f>Raw_Data!H486</f>
        <v>5TH GEN CITY PE</v>
      </c>
      <c r="M486" t="str">
        <f>IFERROR(VLOOKUP(L486,Model_Assumptions!$A:$D,2,0),"Unmapped")</f>
        <v>Mid-size Sedan</v>
      </c>
      <c r="N486" t="str">
        <f>IFERROR(VLOOKUP(L486,Model_Assumptions!$A:$D,3,0),"Unmapped")</f>
        <v>Petrol</v>
      </c>
      <c r="O486">
        <f>IFERROR(VLOOKUP(L486,Model_Assumptions!$A:$D,4,0),0)</f>
        <v>1250000</v>
      </c>
      <c r="P486">
        <f>IFERROR(VLOOKUP(J486,Source_Assumptions!$A:$C,3,0),0)</f>
        <v>250</v>
      </c>
    </row>
    <row r="487" spans="1:16" x14ac:dyDescent="0.3">
      <c r="A487">
        <f>Raw_Data!A487</f>
        <v>486</v>
      </c>
      <c r="B487" s="2">
        <f>Raw_Data!B487</f>
        <v>44912</v>
      </c>
      <c r="C487">
        <f>YEAR(Raw_Data!B487)</f>
        <v>2022</v>
      </c>
      <c r="D487" t="str">
        <f>IF(MONTH(Raw_Data!B487)&gt;=4,YEAR(Raw_Data!B487)&amp;"-"&amp;RIGHT(YEAR(Raw_Data!B487)+1,2),YEAR(Raw_Data!B487)-1&amp;"-"&amp;RIGHT(YEAR(Raw_Data!B487),2))</f>
        <v>2022-23</v>
      </c>
      <c r="E487" t="str">
        <f>"Q"&amp;ROUNDUP(MONTH(Raw_Data!B487)/3,0)</f>
        <v>Q4</v>
      </c>
      <c r="F487" t="str">
        <f>TEXT(Raw_Data!B487,"mmm")</f>
        <v>Dec</v>
      </c>
      <c r="G487" t="str">
        <f>TEXT(Raw_Data!B487,"ddd")</f>
        <v>Sat</v>
      </c>
      <c r="H487" t="str">
        <f>Raw_Data!D487</f>
        <v>Invoiced</v>
      </c>
      <c r="I487" t="str">
        <f>Raw_Data!F487</f>
        <v>Tele-in</v>
      </c>
      <c r="J487" t="str">
        <f>Raw_Data!G487</f>
        <v>Dealer Webpage Tele-In</v>
      </c>
      <c r="K487" t="str">
        <f>IFERROR(VLOOKUP(J487,Source_Assumptions!$A:$C,2,0),"Unmapped")</f>
        <v>Digital - Owned</v>
      </c>
      <c r="L487" t="str">
        <f>Raw_Data!H487</f>
        <v>5TH GEN CITY PE</v>
      </c>
      <c r="M487" t="str">
        <f>IFERROR(VLOOKUP(L487,Model_Assumptions!$A:$D,2,0),"Unmapped")</f>
        <v>Mid-size Sedan</v>
      </c>
      <c r="N487" t="str">
        <f>IFERROR(VLOOKUP(L487,Model_Assumptions!$A:$D,3,0),"Unmapped")</f>
        <v>Petrol</v>
      </c>
      <c r="O487">
        <f>IFERROR(VLOOKUP(L487,Model_Assumptions!$A:$D,4,0),0)</f>
        <v>1250000</v>
      </c>
      <c r="P487">
        <f>IFERROR(VLOOKUP(J487,Source_Assumptions!$A:$C,3,0),0)</f>
        <v>300</v>
      </c>
    </row>
    <row r="488" spans="1:16" x14ac:dyDescent="0.3">
      <c r="A488">
        <f>Raw_Data!A488</f>
        <v>487</v>
      </c>
      <c r="B488" s="2">
        <f>Raw_Data!B488</f>
        <v>44912</v>
      </c>
      <c r="C488">
        <f>YEAR(Raw_Data!B488)</f>
        <v>2022</v>
      </c>
      <c r="D488" t="str">
        <f>IF(MONTH(Raw_Data!B488)&gt;=4,YEAR(Raw_Data!B488)&amp;"-"&amp;RIGHT(YEAR(Raw_Data!B488)+1,2),YEAR(Raw_Data!B488)-1&amp;"-"&amp;RIGHT(YEAR(Raw_Data!B488),2))</f>
        <v>2022-23</v>
      </c>
      <c r="E488" t="str">
        <f>"Q"&amp;ROUNDUP(MONTH(Raw_Data!B488)/3,0)</f>
        <v>Q4</v>
      </c>
      <c r="F488" t="str">
        <f>TEXT(Raw_Data!B488,"mmm")</f>
        <v>Dec</v>
      </c>
      <c r="G488" t="str">
        <f>TEXT(Raw_Data!B488,"ddd")</f>
        <v>Sat</v>
      </c>
      <c r="H488" t="str">
        <f>Raw_Data!D488</f>
        <v>Invoiced</v>
      </c>
      <c r="I488" t="str">
        <f>Raw_Data!F488</f>
        <v>Tele-in</v>
      </c>
      <c r="J488" t="str">
        <f>Raw_Data!G488</f>
        <v>Referral-CAM</v>
      </c>
      <c r="K488" t="str">
        <f>IFERROR(VLOOKUP(J488,Source_Assumptions!$A:$C,2,0),"Unmapped")</f>
        <v>Referral</v>
      </c>
      <c r="L488" t="str">
        <f>Raw_Data!H488</f>
        <v>AMAZE Petrol</v>
      </c>
      <c r="M488" t="str">
        <f>IFERROR(VLOOKUP(L488,Model_Assumptions!$A:$D,2,0),"Unmapped")</f>
        <v>Sub-4m Sedan</v>
      </c>
      <c r="N488" t="str">
        <f>IFERROR(VLOOKUP(L488,Model_Assumptions!$A:$D,3,0),"Unmapped")</f>
        <v>Petrol</v>
      </c>
      <c r="O488">
        <f>IFERROR(VLOOKUP(L488,Model_Assumptions!$A:$D,4,0),0)</f>
        <v>850000</v>
      </c>
      <c r="P488">
        <f>IFERROR(VLOOKUP(J488,Source_Assumptions!$A:$C,3,0),0)</f>
        <v>150</v>
      </c>
    </row>
    <row r="489" spans="1:16" x14ac:dyDescent="0.3">
      <c r="A489">
        <f>Raw_Data!A489</f>
        <v>488</v>
      </c>
      <c r="B489" s="2">
        <f>Raw_Data!B489</f>
        <v>44914</v>
      </c>
      <c r="C489">
        <f>YEAR(Raw_Data!B489)</f>
        <v>2022</v>
      </c>
      <c r="D489" t="str">
        <f>IF(MONTH(Raw_Data!B489)&gt;=4,YEAR(Raw_Data!B489)&amp;"-"&amp;RIGHT(YEAR(Raw_Data!B489)+1,2),YEAR(Raw_Data!B489)-1&amp;"-"&amp;RIGHT(YEAR(Raw_Data!B489),2))</f>
        <v>2022-23</v>
      </c>
      <c r="E489" t="str">
        <f>"Q"&amp;ROUNDUP(MONTH(Raw_Data!B489)/3,0)</f>
        <v>Q4</v>
      </c>
      <c r="F489" t="str">
        <f>TEXT(Raw_Data!B489,"mmm")</f>
        <v>Dec</v>
      </c>
      <c r="G489" t="str">
        <f>TEXT(Raw_Data!B489,"ddd")</f>
        <v>Mon</v>
      </c>
      <c r="H489" t="str">
        <f>Raw_Data!D489</f>
        <v>Invoiced</v>
      </c>
      <c r="I489" t="str">
        <f>Raw_Data!F489</f>
        <v>Tele-in</v>
      </c>
      <c r="J489" t="str">
        <f>Raw_Data!G489</f>
        <v>Dealer Webpage Tele-In</v>
      </c>
      <c r="K489" t="str">
        <f>IFERROR(VLOOKUP(J489,Source_Assumptions!$A:$C,2,0),"Unmapped")</f>
        <v>Digital - Owned</v>
      </c>
      <c r="L489" t="str">
        <f>Raw_Data!H489</f>
        <v>AMAZE Petrol</v>
      </c>
      <c r="M489" t="str">
        <f>IFERROR(VLOOKUP(L489,Model_Assumptions!$A:$D,2,0),"Unmapped")</f>
        <v>Sub-4m Sedan</v>
      </c>
      <c r="N489" t="str">
        <f>IFERROR(VLOOKUP(L489,Model_Assumptions!$A:$D,3,0),"Unmapped")</f>
        <v>Petrol</v>
      </c>
      <c r="O489">
        <f>IFERROR(VLOOKUP(L489,Model_Assumptions!$A:$D,4,0),0)</f>
        <v>850000</v>
      </c>
      <c r="P489">
        <f>IFERROR(VLOOKUP(J489,Source_Assumptions!$A:$C,3,0),0)</f>
        <v>300</v>
      </c>
    </row>
    <row r="490" spans="1:16" x14ac:dyDescent="0.3">
      <c r="A490">
        <f>Raw_Data!A490</f>
        <v>489</v>
      </c>
      <c r="B490" s="2">
        <f>Raw_Data!B490</f>
        <v>44915</v>
      </c>
      <c r="C490">
        <f>YEAR(Raw_Data!B490)</f>
        <v>2022</v>
      </c>
      <c r="D490" t="str">
        <f>IF(MONTH(Raw_Data!B490)&gt;=4,YEAR(Raw_Data!B490)&amp;"-"&amp;RIGHT(YEAR(Raw_Data!B490)+1,2),YEAR(Raw_Data!B490)-1&amp;"-"&amp;RIGHT(YEAR(Raw_Data!B490),2))</f>
        <v>2022-23</v>
      </c>
      <c r="E490" t="str">
        <f>"Q"&amp;ROUNDUP(MONTH(Raw_Data!B490)/3,0)</f>
        <v>Q4</v>
      </c>
      <c r="F490" t="str">
        <f>TEXT(Raw_Data!B490,"mmm")</f>
        <v>Dec</v>
      </c>
      <c r="G490" t="str">
        <f>TEXT(Raw_Data!B490,"ddd")</f>
        <v>Tue</v>
      </c>
      <c r="H490" t="str">
        <f>Raw_Data!D490</f>
        <v>Invoiced</v>
      </c>
      <c r="I490" t="str">
        <f>Raw_Data!F490</f>
        <v>SMS/ Tele-Out</v>
      </c>
      <c r="J490" t="str">
        <f>Raw_Data!G490</f>
        <v>Database Activity(Teleout/SMS)</v>
      </c>
      <c r="K490" t="str">
        <f>IFERROR(VLOOKUP(J490,Source_Assumptions!$A:$C,2,0),"Unmapped")</f>
        <v>Outbound/Database</v>
      </c>
      <c r="L490" t="str">
        <f>Raw_Data!H490</f>
        <v>5TH GEN CITY PE</v>
      </c>
      <c r="M490" t="str">
        <f>IFERROR(VLOOKUP(L490,Model_Assumptions!$A:$D,2,0),"Unmapped")</f>
        <v>Mid-size Sedan</v>
      </c>
      <c r="N490" t="str">
        <f>IFERROR(VLOOKUP(L490,Model_Assumptions!$A:$D,3,0),"Unmapped")</f>
        <v>Petrol</v>
      </c>
      <c r="O490">
        <f>IFERROR(VLOOKUP(L490,Model_Assumptions!$A:$D,4,0),0)</f>
        <v>1250000</v>
      </c>
      <c r="P490">
        <f>IFERROR(VLOOKUP(J490,Source_Assumptions!$A:$C,3,0),0)</f>
        <v>250</v>
      </c>
    </row>
    <row r="491" spans="1:16" x14ac:dyDescent="0.3">
      <c r="A491">
        <f>Raw_Data!A491</f>
        <v>490</v>
      </c>
      <c r="B491" s="2">
        <f>Raw_Data!B491</f>
        <v>44915</v>
      </c>
      <c r="C491">
        <f>YEAR(Raw_Data!B491)</f>
        <v>2022</v>
      </c>
      <c r="D491" t="str">
        <f>IF(MONTH(Raw_Data!B491)&gt;=4,YEAR(Raw_Data!B491)&amp;"-"&amp;RIGHT(YEAR(Raw_Data!B491)+1,2),YEAR(Raw_Data!B491)-1&amp;"-"&amp;RIGHT(YEAR(Raw_Data!B491),2))</f>
        <v>2022-23</v>
      </c>
      <c r="E491" t="str">
        <f>"Q"&amp;ROUNDUP(MONTH(Raw_Data!B491)/3,0)</f>
        <v>Q4</v>
      </c>
      <c r="F491" t="str">
        <f>TEXT(Raw_Data!B491,"mmm")</f>
        <v>Dec</v>
      </c>
      <c r="G491" t="str">
        <f>TEXT(Raw_Data!B491,"ddd")</f>
        <v>Tue</v>
      </c>
      <c r="H491" t="str">
        <f>Raw_Data!D491</f>
        <v>Invoiced</v>
      </c>
      <c r="I491" t="str">
        <f>Raw_Data!F491</f>
        <v>Tele-in</v>
      </c>
      <c r="J491" t="str">
        <f>Raw_Data!G491</f>
        <v>Dealer Webpage Tele-In</v>
      </c>
      <c r="K491" t="str">
        <f>IFERROR(VLOOKUP(J491,Source_Assumptions!$A:$C,2,0),"Unmapped")</f>
        <v>Digital - Owned</v>
      </c>
      <c r="L491" t="str">
        <f>Raw_Data!H491</f>
        <v>JAZZ PE</v>
      </c>
      <c r="M491" t="str">
        <f>IFERROR(VLOOKUP(L491,Model_Assumptions!$A:$D,2,0),"Unmapped")</f>
        <v>Hatchback</v>
      </c>
      <c r="N491" t="str">
        <f>IFERROR(VLOOKUP(L491,Model_Assumptions!$A:$D,3,0),"Unmapped")</f>
        <v>Petrol</v>
      </c>
      <c r="O491">
        <f>IFERROR(VLOOKUP(L491,Model_Assumptions!$A:$D,4,0),0)</f>
        <v>800000</v>
      </c>
      <c r="P491">
        <f>IFERROR(VLOOKUP(J491,Source_Assumptions!$A:$C,3,0),0)</f>
        <v>300</v>
      </c>
    </row>
    <row r="492" spans="1:16" x14ac:dyDescent="0.3">
      <c r="A492">
        <f>Raw_Data!A492</f>
        <v>491</v>
      </c>
      <c r="B492" s="2">
        <f>Raw_Data!B492</f>
        <v>44915</v>
      </c>
      <c r="C492">
        <f>YEAR(Raw_Data!B492)</f>
        <v>2022</v>
      </c>
      <c r="D492" t="str">
        <f>IF(MONTH(Raw_Data!B492)&gt;=4,YEAR(Raw_Data!B492)&amp;"-"&amp;RIGHT(YEAR(Raw_Data!B492)+1,2),YEAR(Raw_Data!B492)-1&amp;"-"&amp;RIGHT(YEAR(Raw_Data!B492),2))</f>
        <v>2022-23</v>
      </c>
      <c r="E492" t="str">
        <f>"Q"&amp;ROUNDUP(MONTH(Raw_Data!B492)/3,0)</f>
        <v>Q4</v>
      </c>
      <c r="F492" t="str">
        <f>TEXT(Raw_Data!B492,"mmm")</f>
        <v>Dec</v>
      </c>
      <c r="G492" t="str">
        <f>TEXT(Raw_Data!B492,"ddd")</f>
        <v>Tue</v>
      </c>
      <c r="H492" t="str">
        <f>Raw_Data!D492</f>
        <v>Invoiced</v>
      </c>
      <c r="I492" t="str">
        <f>Raw_Data!F492</f>
        <v>SMS/ Tele-Out</v>
      </c>
      <c r="J492" t="str">
        <f>Raw_Data!G492</f>
        <v>I-BAP Referral</v>
      </c>
      <c r="K492" t="str">
        <f>IFERROR(VLOOKUP(J492,Source_Assumptions!$A:$C,2,0),"Unmapped")</f>
        <v>Referral (Insurance/Banking Partner)</v>
      </c>
      <c r="L492" t="str">
        <f>Raw_Data!H492</f>
        <v>AMAZE Petrol</v>
      </c>
      <c r="M492" t="str">
        <f>IFERROR(VLOOKUP(L492,Model_Assumptions!$A:$D,2,0),"Unmapped")</f>
        <v>Sub-4m Sedan</v>
      </c>
      <c r="N492" t="str">
        <f>IFERROR(VLOOKUP(L492,Model_Assumptions!$A:$D,3,0),"Unmapped")</f>
        <v>Petrol</v>
      </c>
      <c r="O492">
        <f>IFERROR(VLOOKUP(L492,Model_Assumptions!$A:$D,4,0),0)</f>
        <v>850000</v>
      </c>
      <c r="P492">
        <f>IFERROR(VLOOKUP(J492,Source_Assumptions!$A:$C,3,0),0)</f>
        <v>150</v>
      </c>
    </row>
    <row r="493" spans="1:16" x14ac:dyDescent="0.3">
      <c r="A493">
        <f>Raw_Data!A493</f>
        <v>492</v>
      </c>
      <c r="B493" s="2">
        <f>Raw_Data!B493</f>
        <v>44915</v>
      </c>
      <c r="C493">
        <f>YEAR(Raw_Data!B493)</f>
        <v>2022</v>
      </c>
      <c r="D493" t="str">
        <f>IF(MONTH(Raw_Data!B493)&gt;=4,YEAR(Raw_Data!B493)&amp;"-"&amp;RIGHT(YEAR(Raw_Data!B493)+1,2),YEAR(Raw_Data!B493)-1&amp;"-"&amp;RIGHT(YEAR(Raw_Data!B493),2))</f>
        <v>2022-23</v>
      </c>
      <c r="E493" t="str">
        <f>"Q"&amp;ROUNDUP(MONTH(Raw_Data!B493)/3,0)</f>
        <v>Q4</v>
      </c>
      <c r="F493" t="str">
        <f>TEXT(Raw_Data!B493,"mmm")</f>
        <v>Dec</v>
      </c>
      <c r="G493" t="str">
        <f>TEXT(Raw_Data!B493,"ddd")</f>
        <v>Tue</v>
      </c>
      <c r="H493" t="str">
        <f>Raw_Data!D493</f>
        <v>Invoiced</v>
      </c>
      <c r="I493" t="str">
        <f>Raw_Data!F493</f>
        <v>Tele-in</v>
      </c>
      <c r="J493" t="str">
        <f>Raw_Data!G493</f>
        <v>Database Activity(Teleout/SMS)</v>
      </c>
      <c r="K493" t="str">
        <f>IFERROR(VLOOKUP(J493,Source_Assumptions!$A:$C,2,0),"Unmapped")</f>
        <v>Outbound/Database</v>
      </c>
      <c r="L493" t="str">
        <f>Raw_Data!H493</f>
        <v>5TH GEN CITY PE</v>
      </c>
      <c r="M493" t="str">
        <f>IFERROR(VLOOKUP(L493,Model_Assumptions!$A:$D,2,0),"Unmapped")</f>
        <v>Mid-size Sedan</v>
      </c>
      <c r="N493" t="str">
        <f>IFERROR(VLOOKUP(L493,Model_Assumptions!$A:$D,3,0),"Unmapped")</f>
        <v>Petrol</v>
      </c>
      <c r="O493">
        <f>IFERROR(VLOOKUP(L493,Model_Assumptions!$A:$D,4,0),0)</f>
        <v>1250000</v>
      </c>
      <c r="P493">
        <f>IFERROR(VLOOKUP(J493,Source_Assumptions!$A:$C,3,0),0)</f>
        <v>250</v>
      </c>
    </row>
    <row r="494" spans="1:16" x14ac:dyDescent="0.3">
      <c r="A494">
        <f>Raw_Data!A494</f>
        <v>493</v>
      </c>
      <c r="B494" s="2">
        <f>Raw_Data!B494</f>
        <v>44915</v>
      </c>
      <c r="C494">
        <f>YEAR(Raw_Data!B494)</f>
        <v>2022</v>
      </c>
      <c r="D494" t="str">
        <f>IF(MONTH(Raw_Data!B494)&gt;=4,YEAR(Raw_Data!B494)&amp;"-"&amp;RIGHT(YEAR(Raw_Data!B494)+1,2),YEAR(Raw_Data!B494)-1&amp;"-"&amp;RIGHT(YEAR(Raw_Data!B494),2))</f>
        <v>2022-23</v>
      </c>
      <c r="E494" t="str">
        <f>"Q"&amp;ROUNDUP(MONTH(Raw_Data!B494)/3,0)</f>
        <v>Q4</v>
      </c>
      <c r="F494" t="str">
        <f>TEXT(Raw_Data!B494,"mmm")</f>
        <v>Dec</v>
      </c>
      <c r="G494" t="str">
        <f>TEXT(Raw_Data!B494,"ddd")</f>
        <v>Tue</v>
      </c>
      <c r="H494" t="str">
        <f>Raw_Data!D494</f>
        <v>Invoiced</v>
      </c>
      <c r="I494" t="str">
        <f>Raw_Data!F494</f>
        <v>Web Lead</v>
      </c>
      <c r="J494" t="str">
        <f>Raw_Data!G494</f>
        <v>Web_CarDekho</v>
      </c>
      <c r="K494" t="str">
        <f>IFERROR(VLOOKUP(J494,Source_Assumptions!$A:$C,2,0),"Unmapped")</f>
        <v>Digital - Aggregator (Paid)</v>
      </c>
      <c r="L494" t="str">
        <f>Raw_Data!H494</f>
        <v>5TH GEN CITY PE</v>
      </c>
      <c r="M494" t="str">
        <f>IFERROR(VLOOKUP(L494,Model_Assumptions!$A:$D,2,0),"Unmapped")</f>
        <v>Mid-size Sedan</v>
      </c>
      <c r="N494" t="str">
        <f>IFERROR(VLOOKUP(L494,Model_Assumptions!$A:$D,3,0),"Unmapped")</f>
        <v>Petrol</v>
      </c>
      <c r="O494">
        <f>IFERROR(VLOOKUP(L494,Model_Assumptions!$A:$D,4,0),0)</f>
        <v>1250000</v>
      </c>
      <c r="P494">
        <f>IFERROR(VLOOKUP(J494,Source_Assumptions!$A:$C,3,0),0)</f>
        <v>900</v>
      </c>
    </row>
    <row r="495" spans="1:16" x14ac:dyDescent="0.3">
      <c r="A495">
        <f>Raw_Data!A495</f>
        <v>494</v>
      </c>
      <c r="B495" s="2">
        <f>Raw_Data!B495</f>
        <v>44915</v>
      </c>
      <c r="C495">
        <f>YEAR(Raw_Data!B495)</f>
        <v>2022</v>
      </c>
      <c r="D495" t="str">
        <f>IF(MONTH(Raw_Data!B495)&gt;=4,YEAR(Raw_Data!B495)&amp;"-"&amp;RIGHT(YEAR(Raw_Data!B495)+1,2),YEAR(Raw_Data!B495)-1&amp;"-"&amp;RIGHT(YEAR(Raw_Data!B495),2))</f>
        <v>2022-23</v>
      </c>
      <c r="E495" t="str">
        <f>"Q"&amp;ROUNDUP(MONTH(Raw_Data!B495)/3,0)</f>
        <v>Q4</v>
      </c>
      <c r="F495" t="str">
        <f>TEXT(Raw_Data!B495,"mmm")</f>
        <v>Dec</v>
      </c>
      <c r="G495" t="str">
        <f>TEXT(Raw_Data!B495,"ddd")</f>
        <v>Tue</v>
      </c>
      <c r="H495" t="str">
        <f>Raw_Data!D495</f>
        <v>Invoiced</v>
      </c>
      <c r="I495" t="str">
        <f>Raw_Data!F495</f>
        <v>Walk-in Showroom</v>
      </c>
      <c r="J495" t="str">
        <f>Raw_Data!G495</f>
        <v>Adver. (TVC/Print/Hoarding/FM)</v>
      </c>
      <c r="K495" t="str">
        <f>IFERROR(VLOOKUP(J495,Source_Assumptions!$A:$C,2,0),"Unmapped")</f>
        <v>Traditional Advertising</v>
      </c>
      <c r="L495" t="str">
        <f>Raw_Data!H495</f>
        <v>5TH GEN CITY PE</v>
      </c>
      <c r="M495" t="str">
        <f>IFERROR(VLOOKUP(L495,Model_Assumptions!$A:$D,2,0),"Unmapped")</f>
        <v>Mid-size Sedan</v>
      </c>
      <c r="N495" t="str">
        <f>IFERROR(VLOOKUP(L495,Model_Assumptions!$A:$D,3,0),"Unmapped")</f>
        <v>Petrol</v>
      </c>
      <c r="O495">
        <f>IFERROR(VLOOKUP(L495,Model_Assumptions!$A:$D,4,0),0)</f>
        <v>1250000</v>
      </c>
      <c r="P495">
        <f>IFERROR(VLOOKUP(J495,Source_Assumptions!$A:$C,3,0),0)</f>
        <v>1200</v>
      </c>
    </row>
    <row r="496" spans="1:16" x14ac:dyDescent="0.3">
      <c r="A496">
        <f>Raw_Data!A496</f>
        <v>495</v>
      </c>
      <c r="B496" s="2">
        <f>Raw_Data!B496</f>
        <v>44915</v>
      </c>
      <c r="C496">
        <f>YEAR(Raw_Data!B496)</f>
        <v>2022</v>
      </c>
      <c r="D496" t="str">
        <f>IF(MONTH(Raw_Data!B496)&gt;=4,YEAR(Raw_Data!B496)&amp;"-"&amp;RIGHT(YEAR(Raw_Data!B496)+1,2),YEAR(Raw_Data!B496)-1&amp;"-"&amp;RIGHT(YEAR(Raw_Data!B496),2))</f>
        <v>2022-23</v>
      </c>
      <c r="E496" t="str">
        <f>"Q"&amp;ROUNDUP(MONTH(Raw_Data!B496)/3,0)</f>
        <v>Q4</v>
      </c>
      <c r="F496" t="str">
        <f>TEXT(Raw_Data!B496,"mmm")</f>
        <v>Dec</v>
      </c>
      <c r="G496" t="str">
        <f>TEXT(Raw_Data!B496,"ddd")</f>
        <v>Tue</v>
      </c>
      <c r="H496" t="str">
        <f>Raw_Data!D496</f>
        <v>Invoiced</v>
      </c>
      <c r="I496" t="str">
        <f>Raw_Data!F496</f>
        <v>SMS/ Tele-Out</v>
      </c>
      <c r="J496" t="str">
        <f>Raw_Data!G496</f>
        <v>Database Activity(Teleout/SMS)</v>
      </c>
      <c r="K496" t="str">
        <f>IFERROR(VLOOKUP(J496,Source_Assumptions!$A:$C,2,0),"Unmapped")</f>
        <v>Outbound/Database</v>
      </c>
      <c r="L496" t="str">
        <f>Raw_Data!H496</f>
        <v>AMAZE Petrol</v>
      </c>
      <c r="M496" t="str">
        <f>IFERROR(VLOOKUP(L496,Model_Assumptions!$A:$D,2,0),"Unmapped")</f>
        <v>Sub-4m Sedan</v>
      </c>
      <c r="N496" t="str">
        <f>IFERROR(VLOOKUP(L496,Model_Assumptions!$A:$D,3,0),"Unmapped")</f>
        <v>Petrol</v>
      </c>
      <c r="O496">
        <f>IFERROR(VLOOKUP(L496,Model_Assumptions!$A:$D,4,0),0)</f>
        <v>850000</v>
      </c>
      <c r="P496">
        <f>IFERROR(VLOOKUP(J496,Source_Assumptions!$A:$C,3,0),0)</f>
        <v>250</v>
      </c>
    </row>
    <row r="497" spans="1:16" x14ac:dyDescent="0.3">
      <c r="A497">
        <f>Raw_Data!A497</f>
        <v>496</v>
      </c>
      <c r="B497" s="2">
        <f>Raw_Data!B497</f>
        <v>44916</v>
      </c>
      <c r="C497">
        <f>YEAR(Raw_Data!B497)</f>
        <v>2022</v>
      </c>
      <c r="D497" t="str">
        <f>IF(MONTH(Raw_Data!B497)&gt;=4,YEAR(Raw_Data!B497)&amp;"-"&amp;RIGHT(YEAR(Raw_Data!B497)+1,2),YEAR(Raw_Data!B497)-1&amp;"-"&amp;RIGHT(YEAR(Raw_Data!B497),2))</f>
        <v>2022-23</v>
      </c>
      <c r="E497" t="str">
        <f>"Q"&amp;ROUNDUP(MONTH(Raw_Data!B497)/3,0)</f>
        <v>Q4</v>
      </c>
      <c r="F497" t="str">
        <f>TEXT(Raw_Data!B497,"mmm")</f>
        <v>Dec</v>
      </c>
      <c r="G497" t="str">
        <f>TEXT(Raw_Data!B497,"ddd")</f>
        <v>Wed</v>
      </c>
      <c r="H497" t="str">
        <f>Raw_Data!D497</f>
        <v>Invoiced</v>
      </c>
      <c r="I497" t="str">
        <f>Raw_Data!F497</f>
        <v>Web Lead</v>
      </c>
      <c r="J497" t="str">
        <f>Raw_Data!G497</f>
        <v>Web_Organic</v>
      </c>
      <c r="K497" t="str">
        <f>IFERROR(VLOOKUP(J497,Source_Assumptions!$A:$C,2,0),"Unmapped")</f>
        <v>Digital - Organic</v>
      </c>
      <c r="L497" t="str">
        <f>Raw_Data!H497</f>
        <v>AMAZE Petrol</v>
      </c>
      <c r="M497" t="str">
        <f>IFERROR(VLOOKUP(L497,Model_Assumptions!$A:$D,2,0),"Unmapped")</f>
        <v>Sub-4m Sedan</v>
      </c>
      <c r="N497" t="str">
        <f>IFERROR(VLOOKUP(L497,Model_Assumptions!$A:$D,3,0),"Unmapped")</f>
        <v>Petrol</v>
      </c>
      <c r="O497">
        <f>IFERROR(VLOOKUP(L497,Model_Assumptions!$A:$D,4,0),0)</f>
        <v>850000</v>
      </c>
      <c r="P497">
        <f>IFERROR(VLOOKUP(J497,Source_Assumptions!$A:$C,3,0),0)</f>
        <v>100</v>
      </c>
    </row>
    <row r="498" spans="1:16" x14ac:dyDescent="0.3">
      <c r="A498">
        <f>Raw_Data!A498</f>
        <v>497</v>
      </c>
      <c r="B498" s="2">
        <f>Raw_Data!B498</f>
        <v>44916</v>
      </c>
      <c r="C498">
        <f>YEAR(Raw_Data!B498)</f>
        <v>2022</v>
      </c>
      <c r="D498" t="str">
        <f>IF(MONTH(Raw_Data!B498)&gt;=4,YEAR(Raw_Data!B498)&amp;"-"&amp;RIGHT(YEAR(Raw_Data!B498)+1,2),YEAR(Raw_Data!B498)-1&amp;"-"&amp;RIGHT(YEAR(Raw_Data!B498),2))</f>
        <v>2022-23</v>
      </c>
      <c r="E498" t="str">
        <f>"Q"&amp;ROUNDUP(MONTH(Raw_Data!B498)/3,0)</f>
        <v>Q4</v>
      </c>
      <c r="F498" t="str">
        <f>TEXT(Raw_Data!B498,"mmm")</f>
        <v>Dec</v>
      </c>
      <c r="G498" t="str">
        <f>TEXT(Raw_Data!B498,"ddd")</f>
        <v>Wed</v>
      </c>
      <c r="H498" t="str">
        <f>Raw_Data!D498</f>
        <v>Invoiced</v>
      </c>
      <c r="I498" t="str">
        <f>Raw_Data!F498</f>
        <v>SMS/ Tele-Out</v>
      </c>
      <c r="J498" t="str">
        <f>Raw_Data!G498</f>
        <v>Database Activity(Teleout/SMS)</v>
      </c>
      <c r="K498" t="str">
        <f>IFERROR(VLOOKUP(J498,Source_Assumptions!$A:$C,2,0),"Unmapped")</f>
        <v>Outbound/Database</v>
      </c>
      <c r="L498" t="str">
        <f>Raw_Data!H498</f>
        <v>AMAZE Petrol</v>
      </c>
      <c r="M498" t="str">
        <f>IFERROR(VLOOKUP(L498,Model_Assumptions!$A:$D,2,0),"Unmapped")</f>
        <v>Sub-4m Sedan</v>
      </c>
      <c r="N498" t="str">
        <f>IFERROR(VLOOKUP(L498,Model_Assumptions!$A:$D,3,0),"Unmapped")</f>
        <v>Petrol</v>
      </c>
      <c r="O498">
        <f>IFERROR(VLOOKUP(L498,Model_Assumptions!$A:$D,4,0),0)</f>
        <v>850000</v>
      </c>
      <c r="P498">
        <f>IFERROR(VLOOKUP(J498,Source_Assumptions!$A:$C,3,0),0)</f>
        <v>250</v>
      </c>
    </row>
    <row r="499" spans="1:16" x14ac:dyDescent="0.3">
      <c r="A499">
        <f>Raw_Data!A499</f>
        <v>498</v>
      </c>
      <c r="B499" s="2">
        <f>Raw_Data!B499</f>
        <v>44916</v>
      </c>
      <c r="C499">
        <f>YEAR(Raw_Data!B499)</f>
        <v>2022</v>
      </c>
      <c r="D499" t="str">
        <f>IF(MONTH(Raw_Data!B499)&gt;=4,YEAR(Raw_Data!B499)&amp;"-"&amp;RIGHT(YEAR(Raw_Data!B499)+1,2),YEAR(Raw_Data!B499)-1&amp;"-"&amp;RIGHT(YEAR(Raw_Data!B499),2))</f>
        <v>2022-23</v>
      </c>
      <c r="E499" t="str">
        <f>"Q"&amp;ROUNDUP(MONTH(Raw_Data!B499)/3,0)</f>
        <v>Q4</v>
      </c>
      <c r="F499" t="str">
        <f>TEXT(Raw_Data!B499,"mmm")</f>
        <v>Dec</v>
      </c>
      <c r="G499" t="str">
        <f>TEXT(Raw_Data!B499,"ddd")</f>
        <v>Wed</v>
      </c>
      <c r="H499" t="str">
        <f>Raw_Data!D499</f>
        <v>Invoiced</v>
      </c>
      <c r="I499" t="str">
        <f>Raw_Data!F499</f>
        <v>Tele-in</v>
      </c>
      <c r="J499" t="str">
        <f>Raw_Data!G499</f>
        <v>Referral-CAM</v>
      </c>
      <c r="K499" t="str">
        <f>IFERROR(VLOOKUP(J499,Source_Assumptions!$A:$C,2,0),"Unmapped")</f>
        <v>Referral</v>
      </c>
      <c r="L499" t="str">
        <f>Raw_Data!H499</f>
        <v>WR-V PE</v>
      </c>
      <c r="M499" t="str">
        <f>IFERROR(VLOOKUP(L499,Model_Assumptions!$A:$D,2,0),"Unmapped")</f>
        <v>Compact SUV</v>
      </c>
      <c r="N499" t="str">
        <f>IFERROR(VLOOKUP(L499,Model_Assumptions!$A:$D,3,0),"Unmapped")</f>
        <v>Petrol</v>
      </c>
      <c r="O499">
        <f>IFERROR(VLOOKUP(L499,Model_Assumptions!$A:$D,4,0),0)</f>
        <v>950000</v>
      </c>
      <c r="P499">
        <f>IFERROR(VLOOKUP(J499,Source_Assumptions!$A:$C,3,0),0)</f>
        <v>150</v>
      </c>
    </row>
    <row r="500" spans="1:16" x14ac:dyDescent="0.3">
      <c r="A500">
        <f>Raw_Data!A500</f>
        <v>499</v>
      </c>
      <c r="B500" s="2">
        <f>Raw_Data!B500</f>
        <v>44917</v>
      </c>
      <c r="C500">
        <f>YEAR(Raw_Data!B500)</f>
        <v>2022</v>
      </c>
      <c r="D500" t="str">
        <f>IF(MONTH(Raw_Data!B500)&gt;=4,YEAR(Raw_Data!B500)&amp;"-"&amp;RIGHT(YEAR(Raw_Data!B500)+1,2),YEAR(Raw_Data!B500)-1&amp;"-"&amp;RIGHT(YEAR(Raw_Data!B500),2))</f>
        <v>2022-23</v>
      </c>
      <c r="E500" t="str">
        <f>"Q"&amp;ROUNDUP(MONTH(Raw_Data!B500)/3,0)</f>
        <v>Q4</v>
      </c>
      <c r="F500" t="str">
        <f>TEXT(Raw_Data!B500,"mmm")</f>
        <v>Dec</v>
      </c>
      <c r="G500" t="str">
        <f>TEXT(Raw_Data!B500,"ddd")</f>
        <v>Thu</v>
      </c>
      <c r="H500" t="str">
        <f>Raw_Data!D500</f>
        <v>Invoiced</v>
      </c>
      <c r="I500" t="str">
        <f>Raw_Data!F500</f>
        <v>Walk-in Showroom</v>
      </c>
      <c r="J500" t="str">
        <f>Raw_Data!G500</f>
        <v>Adver. (TVC/Print/Hoarding/FM)</v>
      </c>
      <c r="K500" t="str">
        <f>IFERROR(VLOOKUP(J500,Source_Assumptions!$A:$C,2,0),"Unmapped")</f>
        <v>Traditional Advertising</v>
      </c>
      <c r="L500" t="str">
        <f>Raw_Data!H500</f>
        <v>5TH GEN CITY PE</v>
      </c>
      <c r="M500" t="str">
        <f>IFERROR(VLOOKUP(L500,Model_Assumptions!$A:$D,2,0),"Unmapped")</f>
        <v>Mid-size Sedan</v>
      </c>
      <c r="N500" t="str">
        <f>IFERROR(VLOOKUP(L500,Model_Assumptions!$A:$D,3,0),"Unmapped")</f>
        <v>Petrol</v>
      </c>
      <c r="O500">
        <f>IFERROR(VLOOKUP(L500,Model_Assumptions!$A:$D,4,0),0)</f>
        <v>1250000</v>
      </c>
      <c r="P500">
        <f>IFERROR(VLOOKUP(J500,Source_Assumptions!$A:$C,3,0),0)</f>
        <v>1200</v>
      </c>
    </row>
    <row r="501" spans="1:16" x14ac:dyDescent="0.3">
      <c r="A501">
        <f>Raw_Data!A501</f>
        <v>500</v>
      </c>
      <c r="B501" s="2">
        <f>Raw_Data!B501</f>
        <v>44917</v>
      </c>
      <c r="C501">
        <f>YEAR(Raw_Data!B501)</f>
        <v>2022</v>
      </c>
      <c r="D501" t="str">
        <f>IF(MONTH(Raw_Data!B501)&gt;=4,YEAR(Raw_Data!B501)&amp;"-"&amp;RIGHT(YEAR(Raw_Data!B501)+1,2),YEAR(Raw_Data!B501)-1&amp;"-"&amp;RIGHT(YEAR(Raw_Data!B501),2))</f>
        <v>2022-23</v>
      </c>
      <c r="E501" t="str">
        <f>"Q"&amp;ROUNDUP(MONTH(Raw_Data!B501)/3,0)</f>
        <v>Q4</v>
      </c>
      <c r="F501" t="str">
        <f>TEXT(Raw_Data!B501,"mmm")</f>
        <v>Dec</v>
      </c>
      <c r="G501" t="str">
        <f>TEXT(Raw_Data!B501,"ddd")</f>
        <v>Thu</v>
      </c>
      <c r="H501" t="str">
        <f>Raw_Data!D501</f>
        <v>Invoiced</v>
      </c>
      <c r="I501" t="str">
        <f>Raw_Data!F501</f>
        <v>Tele-in</v>
      </c>
      <c r="J501" t="str">
        <f>Raw_Data!G501</f>
        <v>Referral-CAM</v>
      </c>
      <c r="K501" t="str">
        <f>IFERROR(VLOOKUP(J501,Source_Assumptions!$A:$C,2,0),"Unmapped")</f>
        <v>Referral</v>
      </c>
      <c r="L501" t="str">
        <f>Raw_Data!H501</f>
        <v>AMAZE Petrol</v>
      </c>
      <c r="M501" t="str">
        <f>IFERROR(VLOOKUP(L501,Model_Assumptions!$A:$D,2,0),"Unmapped")</f>
        <v>Sub-4m Sedan</v>
      </c>
      <c r="N501" t="str">
        <f>IFERROR(VLOOKUP(L501,Model_Assumptions!$A:$D,3,0),"Unmapped")</f>
        <v>Petrol</v>
      </c>
      <c r="O501">
        <f>IFERROR(VLOOKUP(L501,Model_Assumptions!$A:$D,4,0),0)</f>
        <v>850000</v>
      </c>
      <c r="P501">
        <f>IFERROR(VLOOKUP(J501,Source_Assumptions!$A:$C,3,0),0)</f>
        <v>150</v>
      </c>
    </row>
    <row r="502" spans="1:16" x14ac:dyDescent="0.3">
      <c r="A502">
        <f>Raw_Data!A502</f>
        <v>501</v>
      </c>
      <c r="B502" s="2">
        <f>Raw_Data!B502</f>
        <v>44917</v>
      </c>
      <c r="C502">
        <f>YEAR(Raw_Data!B502)</f>
        <v>2022</v>
      </c>
      <c r="D502" t="str">
        <f>IF(MONTH(Raw_Data!B502)&gt;=4,YEAR(Raw_Data!B502)&amp;"-"&amp;RIGHT(YEAR(Raw_Data!B502)+1,2),YEAR(Raw_Data!B502)-1&amp;"-"&amp;RIGHT(YEAR(Raw_Data!B502),2))</f>
        <v>2022-23</v>
      </c>
      <c r="E502" t="str">
        <f>"Q"&amp;ROUNDUP(MONTH(Raw_Data!B502)/3,0)</f>
        <v>Q4</v>
      </c>
      <c r="F502" t="str">
        <f>TEXT(Raw_Data!B502,"mmm")</f>
        <v>Dec</v>
      </c>
      <c r="G502" t="str">
        <f>TEXT(Raw_Data!B502,"ddd")</f>
        <v>Thu</v>
      </c>
      <c r="H502" t="str">
        <f>Raw_Data!D502</f>
        <v>Invoiced</v>
      </c>
      <c r="I502" t="str">
        <f>Raw_Data!F502</f>
        <v>Tele-in</v>
      </c>
      <c r="J502" t="str">
        <f>Raw_Data!G502</f>
        <v>Dealer Webpage Tele-In</v>
      </c>
      <c r="K502" t="str">
        <f>IFERROR(VLOOKUP(J502,Source_Assumptions!$A:$C,2,0),"Unmapped")</f>
        <v>Digital - Owned</v>
      </c>
      <c r="L502" t="str">
        <f>Raw_Data!H502</f>
        <v>5TH GEN CITY PE</v>
      </c>
      <c r="M502" t="str">
        <f>IFERROR(VLOOKUP(L502,Model_Assumptions!$A:$D,2,0),"Unmapped")</f>
        <v>Mid-size Sedan</v>
      </c>
      <c r="N502" t="str">
        <f>IFERROR(VLOOKUP(L502,Model_Assumptions!$A:$D,3,0),"Unmapped")</f>
        <v>Petrol</v>
      </c>
      <c r="O502">
        <f>IFERROR(VLOOKUP(L502,Model_Assumptions!$A:$D,4,0),0)</f>
        <v>1250000</v>
      </c>
      <c r="P502">
        <f>IFERROR(VLOOKUP(J502,Source_Assumptions!$A:$C,3,0),0)</f>
        <v>300</v>
      </c>
    </row>
    <row r="503" spans="1:16" x14ac:dyDescent="0.3">
      <c r="A503">
        <f>Raw_Data!A503</f>
        <v>502</v>
      </c>
      <c r="B503" s="2">
        <f>Raw_Data!B503</f>
        <v>44917</v>
      </c>
      <c r="C503">
        <f>YEAR(Raw_Data!B503)</f>
        <v>2022</v>
      </c>
      <c r="D503" t="str">
        <f>IF(MONTH(Raw_Data!B503)&gt;=4,YEAR(Raw_Data!B503)&amp;"-"&amp;RIGHT(YEAR(Raw_Data!B503)+1,2),YEAR(Raw_Data!B503)-1&amp;"-"&amp;RIGHT(YEAR(Raw_Data!B503),2))</f>
        <v>2022-23</v>
      </c>
      <c r="E503" t="str">
        <f>"Q"&amp;ROUNDUP(MONTH(Raw_Data!B503)/3,0)</f>
        <v>Q4</v>
      </c>
      <c r="F503" t="str">
        <f>TEXT(Raw_Data!B503,"mmm")</f>
        <v>Dec</v>
      </c>
      <c r="G503" t="str">
        <f>TEXT(Raw_Data!B503,"ddd")</f>
        <v>Thu</v>
      </c>
      <c r="H503" t="str">
        <f>Raw_Data!D503</f>
        <v>Invoiced</v>
      </c>
      <c r="I503" t="str">
        <f>Raw_Data!F503</f>
        <v>Tele-in</v>
      </c>
      <c r="J503" t="str">
        <f>Raw_Data!G503</f>
        <v>Adver. (TVC/Print/Hoarding/FM)</v>
      </c>
      <c r="K503" t="str">
        <f>IFERROR(VLOOKUP(J503,Source_Assumptions!$A:$C,2,0),"Unmapped")</f>
        <v>Traditional Advertising</v>
      </c>
      <c r="L503" t="str">
        <f>Raw_Data!H503</f>
        <v>AMAZE Petrol</v>
      </c>
      <c r="M503" t="str">
        <f>IFERROR(VLOOKUP(L503,Model_Assumptions!$A:$D,2,0),"Unmapped")</f>
        <v>Sub-4m Sedan</v>
      </c>
      <c r="N503" t="str">
        <f>IFERROR(VLOOKUP(L503,Model_Assumptions!$A:$D,3,0),"Unmapped")</f>
        <v>Petrol</v>
      </c>
      <c r="O503">
        <f>IFERROR(VLOOKUP(L503,Model_Assumptions!$A:$D,4,0),0)</f>
        <v>850000</v>
      </c>
      <c r="P503">
        <f>IFERROR(VLOOKUP(J503,Source_Assumptions!$A:$C,3,0),0)</f>
        <v>1200</v>
      </c>
    </row>
    <row r="504" spans="1:16" x14ac:dyDescent="0.3">
      <c r="A504">
        <f>Raw_Data!A504</f>
        <v>503</v>
      </c>
      <c r="B504" s="2">
        <f>Raw_Data!B504</f>
        <v>44918</v>
      </c>
      <c r="C504">
        <f>YEAR(Raw_Data!B504)</f>
        <v>2022</v>
      </c>
      <c r="D504" t="str">
        <f>IF(MONTH(Raw_Data!B504)&gt;=4,YEAR(Raw_Data!B504)&amp;"-"&amp;RIGHT(YEAR(Raw_Data!B504)+1,2),YEAR(Raw_Data!B504)-1&amp;"-"&amp;RIGHT(YEAR(Raw_Data!B504),2))</f>
        <v>2022-23</v>
      </c>
      <c r="E504" t="str">
        <f>"Q"&amp;ROUNDUP(MONTH(Raw_Data!B504)/3,0)</f>
        <v>Q4</v>
      </c>
      <c r="F504" t="str">
        <f>TEXT(Raw_Data!B504,"mmm")</f>
        <v>Dec</v>
      </c>
      <c r="G504" t="str">
        <f>TEXT(Raw_Data!B504,"ddd")</f>
        <v>Fri</v>
      </c>
      <c r="H504" t="str">
        <f>Raw_Data!D504</f>
        <v>Invoiced</v>
      </c>
      <c r="I504" t="str">
        <f>Raw_Data!F504</f>
        <v>Web Lead</v>
      </c>
      <c r="J504" t="str">
        <f>Raw_Data!G504</f>
        <v>Web</v>
      </c>
      <c r="K504" t="str">
        <f>IFERROR(VLOOKUP(J504,Source_Assumptions!$A:$C,2,0),"Unmapped")</f>
        <v>Digital - Owned</v>
      </c>
      <c r="L504" t="str">
        <f>Raw_Data!H504</f>
        <v>AMAZE Petrol</v>
      </c>
      <c r="M504" t="str">
        <f>IFERROR(VLOOKUP(L504,Model_Assumptions!$A:$D,2,0),"Unmapped")</f>
        <v>Sub-4m Sedan</v>
      </c>
      <c r="N504" t="str">
        <f>IFERROR(VLOOKUP(L504,Model_Assumptions!$A:$D,3,0),"Unmapped")</f>
        <v>Petrol</v>
      </c>
      <c r="O504">
        <f>IFERROR(VLOOKUP(L504,Model_Assumptions!$A:$D,4,0),0)</f>
        <v>850000</v>
      </c>
      <c r="P504">
        <f>IFERROR(VLOOKUP(J504,Source_Assumptions!$A:$C,3,0),0)</f>
        <v>300</v>
      </c>
    </row>
    <row r="505" spans="1:16" x14ac:dyDescent="0.3">
      <c r="A505">
        <f>Raw_Data!A505</f>
        <v>504</v>
      </c>
      <c r="B505" s="2">
        <f>Raw_Data!B505</f>
        <v>44918</v>
      </c>
      <c r="C505">
        <f>YEAR(Raw_Data!B505)</f>
        <v>2022</v>
      </c>
      <c r="D505" t="str">
        <f>IF(MONTH(Raw_Data!B505)&gt;=4,YEAR(Raw_Data!B505)&amp;"-"&amp;RIGHT(YEAR(Raw_Data!B505)+1,2),YEAR(Raw_Data!B505)-1&amp;"-"&amp;RIGHT(YEAR(Raw_Data!B505),2))</f>
        <v>2022-23</v>
      </c>
      <c r="E505" t="str">
        <f>"Q"&amp;ROUNDUP(MONTH(Raw_Data!B505)/3,0)</f>
        <v>Q4</v>
      </c>
      <c r="F505" t="str">
        <f>TEXT(Raw_Data!B505,"mmm")</f>
        <v>Dec</v>
      </c>
      <c r="G505" t="str">
        <f>TEXT(Raw_Data!B505,"ddd")</f>
        <v>Fri</v>
      </c>
      <c r="H505" t="str">
        <f>Raw_Data!D505</f>
        <v>Invoiced</v>
      </c>
      <c r="I505" t="str">
        <f>Raw_Data!F505</f>
        <v>SMS/ Tele-Out</v>
      </c>
      <c r="J505" t="str">
        <f>Raw_Data!G505</f>
        <v>I-BAP Referral</v>
      </c>
      <c r="K505" t="str">
        <f>IFERROR(VLOOKUP(J505,Source_Assumptions!$A:$C,2,0),"Unmapped")</f>
        <v>Referral (Insurance/Banking Partner)</v>
      </c>
      <c r="L505" t="str">
        <f>Raw_Data!H505</f>
        <v>WR-V PE</v>
      </c>
      <c r="M505" t="str">
        <f>IFERROR(VLOOKUP(L505,Model_Assumptions!$A:$D,2,0),"Unmapped")</f>
        <v>Compact SUV</v>
      </c>
      <c r="N505" t="str">
        <f>IFERROR(VLOOKUP(L505,Model_Assumptions!$A:$D,3,0),"Unmapped")</f>
        <v>Petrol</v>
      </c>
      <c r="O505">
        <f>IFERROR(VLOOKUP(L505,Model_Assumptions!$A:$D,4,0),0)</f>
        <v>950000</v>
      </c>
      <c r="P505">
        <f>IFERROR(VLOOKUP(J505,Source_Assumptions!$A:$C,3,0),0)</f>
        <v>150</v>
      </c>
    </row>
    <row r="506" spans="1:16" x14ac:dyDescent="0.3">
      <c r="A506">
        <f>Raw_Data!A506</f>
        <v>505</v>
      </c>
      <c r="B506" s="2">
        <f>Raw_Data!B506</f>
        <v>44918</v>
      </c>
      <c r="C506">
        <f>YEAR(Raw_Data!B506)</f>
        <v>2022</v>
      </c>
      <c r="D506" t="str">
        <f>IF(MONTH(Raw_Data!B506)&gt;=4,YEAR(Raw_Data!B506)&amp;"-"&amp;RIGHT(YEAR(Raw_Data!B506)+1,2),YEAR(Raw_Data!B506)-1&amp;"-"&amp;RIGHT(YEAR(Raw_Data!B506),2))</f>
        <v>2022-23</v>
      </c>
      <c r="E506" t="str">
        <f>"Q"&amp;ROUNDUP(MONTH(Raw_Data!B506)/3,0)</f>
        <v>Q4</v>
      </c>
      <c r="F506" t="str">
        <f>TEXT(Raw_Data!B506,"mmm")</f>
        <v>Dec</v>
      </c>
      <c r="G506" t="str">
        <f>TEXT(Raw_Data!B506,"ddd")</f>
        <v>Fri</v>
      </c>
      <c r="H506" t="str">
        <f>Raw_Data!D506</f>
        <v>Invoiced</v>
      </c>
      <c r="I506" t="str">
        <f>Raw_Data!F506</f>
        <v>Tele-in</v>
      </c>
      <c r="J506" t="str">
        <f>Raw_Data!G506</f>
        <v>I-BAP Self</v>
      </c>
      <c r="K506" t="str">
        <f>IFERROR(VLOOKUP(J506,Source_Assumptions!$A:$C,2,0),"Unmapped")</f>
        <v>Referral (Insurance/Banking Partner)</v>
      </c>
      <c r="L506" t="str">
        <f>Raw_Data!H506</f>
        <v>AMAZE Petrol</v>
      </c>
      <c r="M506" t="str">
        <f>IFERROR(VLOOKUP(L506,Model_Assumptions!$A:$D,2,0),"Unmapped")</f>
        <v>Sub-4m Sedan</v>
      </c>
      <c r="N506" t="str">
        <f>IFERROR(VLOOKUP(L506,Model_Assumptions!$A:$D,3,0),"Unmapped")</f>
        <v>Petrol</v>
      </c>
      <c r="O506">
        <f>IFERROR(VLOOKUP(L506,Model_Assumptions!$A:$D,4,0),0)</f>
        <v>850000</v>
      </c>
      <c r="P506">
        <f>IFERROR(VLOOKUP(J506,Source_Assumptions!$A:$C,3,0),0)</f>
        <v>100</v>
      </c>
    </row>
    <row r="507" spans="1:16" x14ac:dyDescent="0.3">
      <c r="A507">
        <f>Raw_Data!A507</f>
        <v>506</v>
      </c>
      <c r="B507" s="2">
        <f>Raw_Data!B507</f>
        <v>44918</v>
      </c>
      <c r="C507">
        <f>YEAR(Raw_Data!B507)</f>
        <v>2022</v>
      </c>
      <c r="D507" t="str">
        <f>IF(MONTH(Raw_Data!B507)&gt;=4,YEAR(Raw_Data!B507)&amp;"-"&amp;RIGHT(YEAR(Raw_Data!B507)+1,2),YEAR(Raw_Data!B507)-1&amp;"-"&amp;RIGHT(YEAR(Raw_Data!B507),2))</f>
        <v>2022-23</v>
      </c>
      <c r="E507" t="str">
        <f>"Q"&amp;ROUNDUP(MONTH(Raw_Data!B507)/3,0)</f>
        <v>Q4</v>
      </c>
      <c r="F507" t="str">
        <f>TEXT(Raw_Data!B507,"mmm")</f>
        <v>Dec</v>
      </c>
      <c r="G507" t="str">
        <f>TEXT(Raw_Data!B507,"ddd")</f>
        <v>Fri</v>
      </c>
      <c r="H507" t="str">
        <f>Raw_Data!D507</f>
        <v>Invoiced</v>
      </c>
      <c r="I507" t="str">
        <f>Raw_Data!F507</f>
        <v>Walk-in Showroom</v>
      </c>
      <c r="J507" t="str">
        <f>Raw_Data!G507</f>
        <v>Adver. (TVC/Print/Hoarding/FM)</v>
      </c>
      <c r="K507" t="str">
        <f>IFERROR(VLOOKUP(J507,Source_Assumptions!$A:$C,2,0),"Unmapped")</f>
        <v>Traditional Advertising</v>
      </c>
      <c r="L507" t="str">
        <f>Raw_Data!H507</f>
        <v>AMAZE Petrol</v>
      </c>
      <c r="M507" t="str">
        <f>IFERROR(VLOOKUP(L507,Model_Assumptions!$A:$D,2,0),"Unmapped")</f>
        <v>Sub-4m Sedan</v>
      </c>
      <c r="N507" t="str">
        <f>IFERROR(VLOOKUP(L507,Model_Assumptions!$A:$D,3,0),"Unmapped")</f>
        <v>Petrol</v>
      </c>
      <c r="O507">
        <f>IFERROR(VLOOKUP(L507,Model_Assumptions!$A:$D,4,0),0)</f>
        <v>850000</v>
      </c>
      <c r="P507">
        <f>IFERROR(VLOOKUP(J507,Source_Assumptions!$A:$C,3,0),0)</f>
        <v>1200</v>
      </c>
    </row>
    <row r="508" spans="1:16" x14ac:dyDescent="0.3">
      <c r="A508">
        <f>Raw_Data!A508</f>
        <v>507</v>
      </c>
      <c r="B508" s="2">
        <f>Raw_Data!B508</f>
        <v>44921</v>
      </c>
      <c r="C508">
        <f>YEAR(Raw_Data!B508)</f>
        <v>2022</v>
      </c>
      <c r="D508" t="str">
        <f>IF(MONTH(Raw_Data!B508)&gt;=4,YEAR(Raw_Data!B508)&amp;"-"&amp;RIGHT(YEAR(Raw_Data!B508)+1,2),YEAR(Raw_Data!B508)-1&amp;"-"&amp;RIGHT(YEAR(Raw_Data!B508),2))</f>
        <v>2022-23</v>
      </c>
      <c r="E508" t="str">
        <f>"Q"&amp;ROUNDUP(MONTH(Raw_Data!B508)/3,0)</f>
        <v>Q4</v>
      </c>
      <c r="F508" t="str">
        <f>TEXT(Raw_Data!B508,"mmm")</f>
        <v>Dec</v>
      </c>
      <c r="G508" t="str">
        <f>TEXT(Raw_Data!B508,"ddd")</f>
        <v>Mon</v>
      </c>
      <c r="H508" t="str">
        <f>Raw_Data!D508</f>
        <v>Invoiced</v>
      </c>
      <c r="I508" t="str">
        <f>Raw_Data!F508</f>
        <v>Walk-in Showroom</v>
      </c>
      <c r="J508" t="str">
        <f>Raw_Data!G508</f>
        <v>Adver. (TVC/Print/Hoarding/FM)</v>
      </c>
      <c r="K508" t="str">
        <f>IFERROR(VLOOKUP(J508,Source_Assumptions!$A:$C,2,0),"Unmapped")</f>
        <v>Traditional Advertising</v>
      </c>
      <c r="L508" t="str">
        <f>Raw_Data!H508</f>
        <v>5TH GEN CITY PE</v>
      </c>
      <c r="M508" t="str">
        <f>IFERROR(VLOOKUP(L508,Model_Assumptions!$A:$D,2,0),"Unmapped")</f>
        <v>Mid-size Sedan</v>
      </c>
      <c r="N508" t="str">
        <f>IFERROR(VLOOKUP(L508,Model_Assumptions!$A:$D,3,0),"Unmapped")</f>
        <v>Petrol</v>
      </c>
      <c r="O508">
        <f>IFERROR(VLOOKUP(L508,Model_Assumptions!$A:$D,4,0),0)</f>
        <v>1250000</v>
      </c>
      <c r="P508">
        <f>IFERROR(VLOOKUP(J508,Source_Assumptions!$A:$C,3,0),0)</f>
        <v>1200</v>
      </c>
    </row>
    <row r="509" spans="1:16" x14ac:dyDescent="0.3">
      <c r="A509">
        <f>Raw_Data!A509</f>
        <v>508</v>
      </c>
      <c r="B509" s="2">
        <f>Raw_Data!B509</f>
        <v>44921</v>
      </c>
      <c r="C509">
        <f>YEAR(Raw_Data!B509)</f>
        <v>2022</v>
      </c>
      <c r="D509" t="str">
        <f>IF(MONTH(Raw_Data!B509)&gt;=4,YEAR(Raw_Data!B509)&amp;"-"&amp;RIGHT(YEAR(Raw_Data!B509)+1,2),YEAR(Raw_Data!B509)-1&amp;"-"&amp;RIGHT(YEAR(Raw_Data!B509),2))</f>
        <v>2022-23</v>
      </c>
      <c r="E509" t="str">
        <f>"Q"&amp;ROUNDUP(MONTH(Raw_Data!B509)/3,0)</f>
        <v>Q4</v>
      </c>
      <c r="F509" t="str">
        <f>TEXT(Raw_Data!B509,"mmm")</f>
        <v>Dec</v>
      </c>
      <c r="G509" t="str">
        <f>TEXT(Raw_Data!B509,"ddd")</f>
        <v>Mon</v>
      </c>
      <c r="H509" t="str">
        <f>Raw_Data!D509</f>
        <v>Invoiced</v>
      </c>
      <c r="I509" t="str">
        <f>Raw_Data!F509</f>
        <v>Tele-in</v>
      </c>
      <c r="J509" t="str">
        <f>Raw_Data!G509</f>
        <v>Dealer Webpage Tele-In</v>
      </c>
      <c r="K509" t="str">
        <f>IFERROR(VLOOKUP(J509,Source_Assumptions!$A:$C,2,0),"Unmapped")</f>
        <v>Digital - Owned</v>
      </c>
      <c r="L509" t="str">
        <f>Raw_Data!H509</f>
        <v>AMAZE Petrol</v>
      </c>
      <c r="M509" t="str">
        <f>IFERROR(VLOOKUP(L509,Model_Assumptions!$A:$D,2,0),"Unmapped")</f>
        <v>Sub-4m Sedan</v>
      </c>
      <c r="N509" t="str">
        <f>IFERROR(VLOOKUP(L509,Model_Assumptions!$A:$D,3,0),"Unmapped")</f>
        <v>Petrol</v>
      </c>
      <c r="O509">
        <f>IFERROR(VLOOKUP(L509,Model_Assumptions!$A:$D,4,0),0)</f>
        <v>850000</v>
      </c>
      <c r="P509">
        <f>IFERROR(VLOOKUP(J509,Source_Assumptions!$A:$C,3,0),0)</f>
        <v>300</v>
      </c>
    </row>
    <row r="510" spans="1:16" x14ac:dyDescent="0.3">
      <c r="A510">
        <f>Raw_Data!A510</f>
        <v>509</v>
      </c>
      <c r="B510" s="2">
        <f>Raw_Data!B510</f>
        <v>44922</v>
      </c>
      <c r="C510">
        <f>YEAR(Raw_Data!B510)</f>
        <v>2022</v>
      </c>
      <c r="D510" t="str">
        <f>IF(MONTH(Raw_Data!B510)&gt;=4,YEAR(Raw_Data!B510)&amp;"-"&amp;RIGHT(YEAR(Raw_Data!B510)+1,2),YEAR(Raw_Data!B510)-1&amp;"-"&amp;RIGHT(YEAR(Raw_Data!B510),2))</f>
        <v>2022-23</v>
      </c>
      <c r="E510" t="str">
        <f>"Q"&amp;ROUNDUP(MONTH(Raw_Data!B510)/3,0)</f>
        <v>Q4</v>
      </c>
      <c r="F510" t="str">
        <f>TEXT(Raw_Data!B510,"mmm")</f>
        <v>Dec</v>
      </c>
      <c r="G510" t="str">
        <f>TEXT(Raw_Data!B510,"ddd")</f>
        <v>Tue</v>
      </c>
      <c r="H510" t="str">
        <f>Raw_Data!D510</f>
        <v>Invoiced</v>
      </c>
      <c r="I510" t="str">
        <f>Raw_Data!F510</f>
        <v>Tele-in</v>
      </c>
      <c r="J510" t="str">
        <f>Raw_Data!G510</f>
        <v>Dealer Webpage Tele-In</v>
      </c>
      <c r="K510" t="str">
        <f>IFERROR(VLOOKUP(J510,Source_Assumptions!$A:$C,2,0),"Unmapped")</f>
        <v>Digital - Owned</v>
      </c>
      <c r="L510" t="str">
        <f>Raw_Data!H510</f>
        <v>5TH GEN CITY PE</v>
      </c>
      <c r="M510" t="str">
        <f>IFERROR(VLOOKUP(L510,Model_Assumptions!$A:$D,2,0),"Unmapped")</f>
        <v>Mid-size Sedan</v>
      </c>
      <c r="N510" t="str">
        <f>IFERROR(VLOOKUP(L510,Model_Assumptions!$A:$D,3,0),"Unmapped")</f>
        <v>Petrol</v>
      </c>
      <c r="O510">
        <f>IFERROR(VLOOKUP(L510,Model_Assumptions!$A:$D,4,0),0)</f>
        <v>1250000</v>
      </c>
      <c r="P510">
        <f>IFERROR(VLOOKUP(J510,Source_Assumptions!$A:$C,3,0),0)</f>
        <v>300</v>
      </c>
    </row>
    <row r="511" spans="1:16" x14ac:dyDescent="0.3">
      <c r="A511">
        <f>Raw_Data!A511</f>
        <v>510</v>
      </c>
      <c r="B511" s="2">
        <f>Raw_Data!B511</f>
        <v>44922</v>
      </c>
      <c r="C511">
        <f>YEAR(Raw_Data!B511)</f>
        <v>2022</v>
      </c>
      <c r="D511" t="str">
        <f>IF(MONTH(Raw_Data!B511)&gt;=4,YEAR(Raw_Data!B511)&amp;"-"&amp;RIGHT(YEAR(Raw_Data!B511)+1,2),YEAR(Raw_Data!B511)-1&amp;"-"&amp;RIGHT(YEAR(Raw_Data!B511),2))</f>
        <v>2022-23</v>
      </c>
      <c r="E511" t="str">
        <f>"Q"&amp;ROUNDUP(MONTH(Raw_Data!B511)/3,0)</f>
        <v>Q4</v>
      </c>
      <c r="F511" t="str">
        <f>TEXT(Raw_Data!B511,"mmm")</f>
        <v>Dec</v>
      </c>
      <c r="G511" t="str">
        <f>TEXT(Raw_Data!B511,"ddd")</f>
        <v>Tue</v>
      </c>
      <c r="H511" t="str">
        <f>Raw_Data!D511</f>
        <v>Invoiced</v>
      </c>
      <c r="I511" t="str">
        <f>Raw_Data!F511</f>
        <v>Tele-in</v>
      </c>
      <c r="J511" t="str">
        <f>Raw_Data!G511</f>
        <v>Referral-CAM</v>
      </c>
      <c r="K511" t="str">
        <f>IFERROR(VLOOKUP(J511,Source_Assumptions!$A:$C,2,0),"Unmapped")</f>
        <v>Referral</v>
      </c>
      <c r="L511" t="str">
        <f>Raw_Data!H511</f>
        <v>5TH GEN CITY DE</v>
      </c>
      <c r="M511" t="str">
        <f>IFERROR(VLOOKUP(L511,Model_Assumptions!$A:$D,2,0),"Unmapped")</f>
        <v>Mid-size Sedan</v>
      </c>
      <c r="N511" t="str">
        <f>IFERROR(VLOOKUP(L511,Model_Assumptions!$A:$D,3,0),"Unmapped")</f>
        <v>Diesel</v>
      </c>
      <c r="O511">
        <f>IFERROR(VLOOKUP(L511,Model_Assumptions!$A:$D,4,0),0)</f>
        <v>1350000</v>
      </c>
      <c r="P511">
        <f>IFERROR(VLOOKUP(J511,Source_Assumptions!$A:$C,3,0),0)</f>
        <v>150</v>
      </c>
    </row>
    <row r="512" spans="1:16" x14ac:dyDescent="0.3">
      <c r="A512">
        <f>Raw_Data!A512</f>
        <v>511</v>
      </c>
      <c r="B512" s="2">
        <f>Raw_Data!B512</f>
        <v>44922</v>
      </c>
      <c r="C512">
        <f>YEAR(Raw_Data!B512)</f>
        <v>2022</v>
      </c>
      <c r="D512" t="str">
        <f>IF(MONTH(Raw_Data!B512)&gt;=4,YEAR(Raw_Data!B512)&amp;"-"&amp;RIGHT(YEAR(Raw_Data!B512)+1,2),YEAR(Raw_Data!B512)-1&amp;"-"&amp;RIGHT(YEAR(Raw_Data!B512),2))</f>
        <v>2022-23</v>
      </c>
      <c r="E512" t="str">
        <f>"Q"&amp;ROUNDUP(MONTH(Raw_Data!B512)/3,0)</f>
        <v>Q4</v>
      </c>
      <c r="F512" t="str">
        <f>TEXT(Raw_Data!B512,"mmm")</f>
        <v>Dec</v>
      </c>
      <c r="G512" t="str">
        <f>TEXT(Raw_Data!B512,"ddd")</f>
        <v>Tue</v>
      </c>
      <c r="H512" t="str">
        <f>Raw_Data!D512</f>
        <v>Invoiced</v>
      </c>
      <c r="I512" t="str">
        <f>Raw_Data!F512</f>
        <v>Walk-in Showroom</v>
      </c>
      <c r="J512" t="str">
        <f>Raw_Data!G512</f>
        <v>Adver. (TVC/Print/Hoarding/FM)</v>
      </c>
      <c r="K512" t="str">
        <f>IFERROR(VLOOKUP(J512,Source_Assumptions!$A:$C,2,0),"Unmapped")</f>
        <v>Traditional Advertising</v>
      </c>
      <c r="L512" t="str">
        <f>Raw_Data!H512</f>
        <v>AMAZE Petrol</v>
      </c>
      <c r="M512" t="str">
        <f>IFERROR(VLOOKUP(L512,Model_Assumptions!$A:$D,2,0),"Unmapped")</f>
        <v>Sub-4m Sedan</v>
      </c>
      <c r="N512" t="str">
        <f>IFERROR(VLOOKUP(L512,Model_Assumptions!$A:$D,3,0),"Unmapped")</f>
        <v>Petrol</v>
      </c>
      <c r="O512">
        <f>IFERROR(VLOOKUP(L512,Model_Assumptions!$A:$D,4,0),0)</f>
        <v>850000</v>
      </c>
      <c r="P512">
        <f>IFERROR(VLOOKUP(J512,Source_Assumptions!$A:$C,3,0),0)</f>
        <v>1200</v>
      </c>
    </row>
    <row r="513" spans="1:16" x14ac:dyDescent="0.3">
      <c r="A513">
        <f>Raw_Data!A513</f>
        <v>512</v>
      </c>
      <c r="B513" s="2">
        <f>Raw_Data!B513</f>
        <v>44923</v>
      </c>
      <c r="C513">
        <f>YEAR(Raw_Data!B513)</f>
        <v>2022</v>
      </c>
      <c r="D513" t="str">
        <f>IF(MONTH(Raw_Data!B513)&gt;=4,YEAR(Raw_Data!B513)&amp;"-"&amp;RIGHT(YEAR(Raw_Data!B513)+1,2),YEAR(Raw_Data!B513)-1&amp;"-"&amp;RIGHT(YEAR(Raw_Data!B513),2))</f>
        <v>2022-23</v>
      </c>
      <c r="E513" t="str">
        <f>"Q"&amp;ROUNDUP(MONTH(Raw_Data!B513)/3,0)</f>
        <v>Q4</v>
      </c>
      <c r="F513" t="str">
        <f>TEXT(Raw_Data!B513,"mmm")</f>
        <v>Dec</v>
      </c>
      <c r="G513" t="str">
        <f>TEXT(Raw_Data!B513,"ddd")</f>
        <v>Wed</v>
      </c>
      <c r="H513" t="str">
        <f>Raw_Data!D513</f>
        <v>Invoiced</v>
      </c>
      <c r="I513" t="str">
        <f>Raw_Data!F513</f>
        <v>Tele-in</v>
      </c>
      <c r="J513" t="str">
        <f>Raw_Data!G513</f>
        <v>Dealer Webpage Tele-In</v>
      </c>
      <c r="K513" t="str">
        <f>IFERROR(VLOOKUP(J513,Source_Assumptions!$A:$C,2,0),"Unmapped")</f>
        <v>Digital - Owned</v>
      </c>
      <c r="L513" t="str">
        <f>Raw_Data!H513</f>
        <v>AMAZE Petrol</v>
      </c>
      <c r="M513" t="str">
        <f>IFERROR(VLOOKUP(L513,Model_Assumptions!$A:$D,2,0),"Unmapped")</f>
        <v>Sub-4m Sedan</v>
      </c>
      <c r="N513" t="str">
        <f>IFERROR(VLOOKUP(L513,Model_Assumptions!$A:$D,3,0),"Unmapped")</f>
        <v>Petrol</v>
      </c>
      <c r="O513">
        <f>IFERROR(VLOOKUP(L513,Model_Assumptions!$A:$D,4,0),0)</f>
        <v>850000</v>
      </c>
      <c r="P513">
        <f>IFERROR(VLOOKUP(J513,Source_Assumptions!$A:$C,3,0),0)</f>
        <v>300</v>
      </c>
    </row>
    <row r="514" spans="1:16" x14ac:dyDescent="0.3">
      <c r="A514">
        <f>Raw_Data!A514</f>
        <v>513</v>
      </c>
      <c r="B514" s="2">
        <f>Raw_Data!B514</f>
        <v>44923</v>
      </c>
      <c r="C514">
        <f>YEAR(Raw_Data!B514)</f>
        <v>2022</v>
      </c>
      <c r="D514" t="str">
        <f>IF(MONTH(Raw_Data!B514)&gt;=4,YEAR(Raw_Data!B514)&amp;"-"&amp;RIGHT(YEAR(Raw_Data!B514)+1,2),YEAR(Raw_Data!B514)-1&amp;"-"&amp;RIGHT(YEAR(Raw_Data!B514),2))</f>
        <v>2022-23</v>
      </c>
      <c r="E514" t="str">
        <f>"Q"&amp;ROUNDUP(MONTH(Raw_Data!B514)/3,0)</f>
        <v>Q4</v>
      </c>
      <c r="F514" t="str">
        <f>TEXT(Raw_Data!B514,"mmm")</f>
        <v>Dec</v>
      </c>
      <c r="G514" t="str">
        <f>TEXT(Raw_Data!B514,"ddd")</f>
        <v>Wed</v>
      </c>
      <c r="H514" t="str">
        <f>Raw_Data!D514</f>
        <v>Invoiced</v>
      </c>
      <c r="I514" t="str">
        <f>Raw_Data!F514</f>
        <v>SMS/ Tele-Out</v>
      </c>
      <c r="J514" t="str">
        <f>Raw_Data!G514</f>
        <v>Database Activity(Teleout/SMS)</v>
      </c>
      <c r="K514" t="str">
        <f>IFERROR(VLOOKUP(J514,Source_Assumptions!$A:$C,2,0),"Unmapped")</f>
        <v>Outbound/Database</v>
      </c>
      <c r="L514" t="str">
        <f>Raw_Data!H514</f>
        <v>AMAZE Petrol</v>
      </c>
      <c r="M514" t="str">
        <f>IFERROR(VLOOKUP(L514,Model_Assumptions!$A:$D,2,0),"Unmapped")</f>
        <v>Sub-4m Sedan</v>
      </c>
      <c r="N514" t="str">
        <f>IFERROR(VLOOKUP(L514,Model_Assumptions!$A:$D,3,0),"Unmapped")</f>
        <v>Petrol</v>
      </c>
      <c r="O514">
        <f>IFERROR(VLOOKUP(L514,Model_Assumptions!$A:$D,4,0),0)</f>
        <v>850000</v>
      </c>
      <c r="P514">
        <f>IFERROR(VLOOKUP(J514,Source_Assumptions!$A:$C,3,0),0)</f>
        <v>250</v>
      </c>
    </row>
    <row r="515" spans="1:16" x14ac:dyDescent="0.3">
      <c r="A515">
        <f>Raw_Data!A515</f>
        <v>514</v>
      </c>
      <c r="B515" s="2">
        <f>Raw_Data!B515</f>
        <v>44923</v>
      </c>
      <c r="C515">
        <f>YEAR(Raw_Data!B515)</f>
        <v>2022</v>
      </c>
      <c r="D515" t="str">
        <f>IF(MONTH(Raw_Data!B515)&gt;=4,YEAR(Raw_Data!B515)&amp;"-"&amp;RIGHT(YEAR(Raw_Data!B515)+1,2),YEAR(Raw_Data!B515)-1&amp;"-"&amp;RIGHT(YEAR(Raw_Data!B515),2))</f>
        <v>2022-23</v>
      </c>
      <c r="E515" t="str">
        <f>"Q"&amp;ROUNDUP(MONTH(Raw_Data!B515)/3,0)</f>
        <v>Q4</v>
      </c>
      <c r="F515" t="str">
        <f>TEXT(Raw_Data!B515,"mmm")</f>
        <v>Dec</v>
      </c>
      <c r="G515" t="str">
        <f>TEXT(Raw_Data!B515,"ddd")</f>
        <v>Wed</v>
      </c>
      <c r="H515" t="str">
        <f>Raw_Data!D515</f>
        <v>Invoiced</v>
      </c>
      <c r="I515" t="str">
        <f>Raw_Data!F515</f>
        <v>Web Lead</v>
      </c>
      <c r="J515" t="str">
        <f>Raw_Data!G515</f>
        <v>Web</v>
      </c>
      <c r="K515" t="str">
        <f>IFERROR(VLOOKUP(J515,Source_Assumptions!$A:$C,2,0),"Unmapped")</f>
        <v>Digital - Owned</v>
      </c>
      <c r="L515" t="str">
        <f>Raw_Data!H515</f>
        <v>AMAZE Petrol</v>
      </c>
      <c r="M515" t="str">
        <f>IFERROR(VLOOKUP(L515,Model_Assumptions!$A:$D,2,0),"Unmapped")</f>
        <v>Sub-4m Sedan</v>
      </c>
      <c r="N515" t="str">
        <f>IFERROR(VLOOKUP(L515,Model_Assumptions!$A:$D,3,0),"Unmapped")</f>
        <v>Petrol</v>
      </c>
      <c r="O515">
        <f>IFERROR(VLOOKUP(L515,Model_Assumptions!$A:$D,4,0),0)</f>
        <v>850000</v>
      </c>
      <c r="P515">
        <f>IFERROR(VLOOKUP(J515,Source_Assumptions!$A:$C,3,0),0)</f>
        <v>300</v>
      </c>
    </row>
    <row r="516" spans="1:16" x14ac:dyDescent="0.3">
      <c r="A516">
        <f>Raw_Data!A516</f>
        <v>515</v>
      </c>
      <c r="B516" s="2">
        <f>Raw_Data!B516</f>
        <v>44923</v>
      </c>
      <c r="C516">
        <f>YEAR(Raw_Data!B516)</f>
        <v>2022</v>
      </c>
      <c r="D516" t="str">
        <f>IF(MONTH(Raw_Data!B516)&gt;=4,YEAR(Raw_Data!B516)&amp;"-"&amp;RIGHT(YEAR(Raw_Data!B516)+1,2),YEAR(Raw_Data!B516)-1&amp;"-"&amp;RIGHT(YEAR(Raw_Data!B516),2))</f>
        <v>2022-23</v>
      </c>
      <c r="E516" t="str">
        <f>"Q"&amp;ROUNDUP(MONTH(Raw_Data!B516)/3,0)</f>
        <v>Q4</v>
      </c>
      <c r="F516" t="str">
        <f>TEXT(Raw_Data!B516,"mmm")</f>
        <v>Dec</v>
      </c>
      <c r="G516" t="str">
        <f>TEXT(Raw_Data!B516,"ddd")</f>
        <v>Wed</v>
      </c>
      <c r="H516" t="str">
        <f>Raw_Data!D516</f>
        <v>Invoiced</v>
      </c>
      <c r="I516" t="str">
        <f>Raw_Data!F516</f>
        <v>Tele-in</v>
      </c>
      <c r="J516" t="str">
        <f>Raw_Data!G516</f>
        <v>Dealer Webpage Tele-In</v>
      </c>
      <c r="K516" t="str">
        <f>IFERROR(VLOOKUP(J516,Source_Assumptions!$A:$C,2,0),"Unmapped")</f>
        <v>Digital - Owned</v>
      </c>
      <c r="L516" t="str">
        <f>Raw_Data!H516</f>
        <v>AMAZE Petrol</v>
      </c>
      <c r="M516" t="str">
        <f>IFERROR(VLOOKUP(L516,Model_Assumptions!$A:$D,2,0),"Unmapped")</f>
        <v>Sub-4m Sedan</v>
      </c>
      <c r="N516" t="str">
        <f>IFERROR(VLOOKUP(L516,Model_Assumptions!$A:$D,3,0),"Unmapped")</f>
        <v>Petrol</v>
      </c>
      <c r="O516">
        <f>IFERROR(VLOOKUP(L516,Model_Assumptions!$A:$D,4,0),0)</f>
        <v>850000</v>
      </c>
      <c r="P516">
        <f>IFERROR(VLOOKUP(J516,Source_Assumptions!$A:$C,3,0),0)</f>
        <v>300</v>
      </c>
    </row>
    <row r="517" spans="1:16" x14ac:dyDescent="0.3">
      <c r="A517">
        <f>Raw_Data!A517</f>
        <v>516</v>
      </c>
      <c r="B517" s="2">
        <f>Raw_Data!B517</f>
        <v>44924</v>
      </c>
      <c r="C517">
        <f>YEAR(Raw_Data!B517)</f>
        <v>2022</v>
      </c>
      <c r="D517" t="str">
        <f>IF(MONTH(Raw_Data!B517)&gt;=4,YEAR(Raw_Data!B517)&amp;"-"&amp;RIGHT(YEAR(Raw_Data!B517)+1,2),YEAR(Raw_Data!B517)-1&amp;"-"&amp;RIGHT(YEAR(Raw_Data!B517),2))</f>
        <v>2022-23</v>
      </c>
      <c r="E517" t="str">
        <f>"Q"&amp;ROUNDUP(MONTH(Raw_Data!B517)/3,0)</f>
        <v>Q4</v>
      </c>
      <c r="F517" t="str">
        <f>TEXT(Raw_Data!B517,"mmm")</f>
        <v>Dec</v>
      </c>
      <c r="G517" t="str">
        <f>TEXT(Raw_Data!B517,"ddd")</f>
        <v>Thu</v>
      </c>
      <c r="H517" t="str">
        <f>Raw_Data!D517</f>
        <v>Invoiced</v>
      </c>
      <c r="I517" t="str">
        <f>Raw_Data!F517</f>
        <v>SMS/ Tele-Out</v>
      </c>
      <c r="J517" t="str">
        <f>Raw_Data!G517</f>
        <v>Database Activity(Teleout/SMS)</v>
      </c>
      <c r="K517" t="str">
        <f>IFERROR(VLOOKUP(J517,Source_Assumptions!$A:$C,2,0),"Unmapped")</f>
        <v>Outbound/Database</v>
      </c>
      <c r="L517" t="str">
        <f>Raw_Data!H517</f>
        <v>AMAZE Petrol</v>
      </c>
      <c r="M517" t="str">
        <f>IFERROR(VLOOKUP(L517,Model_Assumptions!$A:$D,2,0),"Unmapped")</f>
        <v>Sub-4m Sedan</v>
      </c>
      <c r="N517" t="str">
        <f>IFERROR(VLOOKUP(L517,Model_Assumptions!$A:$D,3,0),"Unmapped")</f>
        <v>Petrol</v>
      </c>
      <c r="O517">
        <f>IFERROR(VLOOKUP(L517,Model_Assumptions!$A:$D,4,0),0)</f>
        <v>850000</v>
      </c>
      <c r="P517">
        <f>IFERROR(VLOOKUP(J517,Source_Assumptions!$A:$C,3,0),0)</f>
        <v>250</v>
      </c>
    </row>
    <row r="518" spans="1:16" x14ac:dyDescent="0.3">
      <c r="A518">
        <f>Raw_Data!A518</f>
        <v>517</v>
      </c>
      <c r="B518" s="2">
        <f>Raw_Data!B518</f>
        <v>44924</v>
      </c>
      <c r="C518">
        <f>YEAR(Raw_Data!B518)</f>
        <v>2022</v>
      </c>
      <c r="D518" t="str">
        <f>IF(MONTH(Raw_Data!B518)&gt;=4,YEAR(Raw_Data!B518)&amp;"-"&amp;RIGHT(YEAR(Raw_Data!B518)+1,2),YEAR(Raw_Data!B518)-1&amp;"-"&amp;RIGHT(YEAR(Raw_Data!B518),2))</f>
        <v>2022-23</v>
      </c>
      <c r="E518" t="str">
        <f>"Q"&amp;ROUNDUP(MONTH(Raw_Data!B518)/3,0)</f>
        <v>Q4</v>
      </c>
      <c r="F518" t="str">
        <f>TEXT(Raw_Data!B518,"mmm")</f>
        <v>Dec</v>
      </c>
      <c r="G518" t="str">
        <f>TEXT(Raw_Data!B518,"ddd")</f>
        <v>Thu</v>
      </c>
      <c r="H518" t="str">
        <f>Raw_Data!D518</f>
        <v>Invoiced</v>
      </c>
      <c r="I518" t="str">
        <f>Raw_Data!F518</f>
        <v>Tele-in</v>
      </c>
      <c r="J518" t="str">
        <f>Raw_Data!G518</f>
        <v>Referral-CAM</v>
      </c>
      <c r="K518" t="str">
        <f>IFERROR(VLOOKUP(J518,Source_Assumptions!$A:$C,2,0),"Unmapped")</f>
        <v>Referral</v>
      </c>
      <c r="L518" t="str">
        <f>Raw_Data!H518</f>
        <v>AMAZE Petrol</v>
      </c>
      <c r="M518" t="str">
        <f>IFERROR(VLOOKUP(L518,Model_Assumptions!$A:$D,2,0),"Unmapped")</f>
        <v>Sub-4m Sedan</v>
      </c>
      <c r="N518" t="str">
        <f>IFERROR(VLOOKUP(L518,Model_Assumptions!$A:$D,3,0),"Unmapped")</f>
        <v>Petrol</v>
      </c>
      <c r="O518">
        <f>IFERROR(VLOOKUP(L518,Model_Assumptions!$A:$D,4,0),0)</f>
        <v>850000</v>
      </c>
      <c r="P518">
        <f>IFERROR(VLOOKUP(J518,Source_Assumptions!$A:$C,3,0),0)</f>
        <v>150</v>
      </c>
    </row>
    <row r="519" spans="1:16" x14ac:dyDescent="0.3">
      <c r="A519">
        <f>Raw_Data!A519</f>
        <v>518</v>
      </c>
      <c r="B519" s="2">
        <f>Raw_Data!B519</f>
        <v>44925</v>
      </c>
      <c r="C519">
        <f>YEAR(Raw_Data!B519)</f>
        <v>2022</v>
      </c>
      <c r="D519" t="str">
        <f>IF(MONTH(Raw_Data!B519)&gt;=4,YEAR(Raw_Data!B519)&amp;"-"&amp;RIGHT(YEAR(Raw_Data!B519)+1,2),YEAR(Raw_Data!B519)-1&amp;"-"&amp;RIGHT(YEAR(Raw_Data!B519),2))</f>
        <v>2022-23</v>
      </c>
      <c r="E519" t="str">
        <f>"Q"&amp;ROUNDUP(MONTH(Raw_Data!B519)/3,0)</f>
        <v>Q4</v>
      </c>
      <c r="F519" t="str">
        <f>TEXT(Raw_Data!B519,"mmm")</f>
        <v>Dec</v>
      </c>
      <c r="G519" t="str">
        <f>TEXT(Raw_Data!B519,"ddd")</f>
        <v>Fri</v>
      </c>
      <c r="H519" t="str">
        <f>Raw_Data!D519</f>
        <v>Invoiced</v>
      </c>
      <c r="I519" t="str">
        <f>Raw_Data!F519</f>
        <v>Walk-in Showroom</v>
      </c>
      <c r="J519" t="str">
        <f>Raw_Data!G519</f>
        <v>Adver. (TVC/Print/Hoarding/FM)</v>
      </c>
      <c r="K519" t="str">
        <f>IFERROR(VLOOKUP(J519,Source_Assumptions!$A:$C,2,0),"Unmapped")</f>
        <v>Traditional Advertising</v>
      </c>
      <c r="L519" t="str">
        <f>Raw_Data!H519</f>
        <v>AMAZE Petrol</v>
      </c>
      <c r="M519" t="str">
        <f>IFERROR(VLOOKUP(L519,Model_Assumptions!$A:$D,2,0),"Unmapped")</f>
        <v>Sub-4m Sedan</v>
      </c>
      <c r="N519" t="str">
        <f>IFERROR(VLOOKUP(L519,Model_Assumptions!$A:$D,3,0),"Unmapped")</f>
        <v>Petrol</v>
      </c>
      <c r="O519">
        <f>IFERROR(VLOOKUP(L519,Model_Assumptions!$A:$D,4,0),0)</f>
        <v>850000</v>
      </c>
      <c r="P519">
        <f>IFERROR(VLOOKUP(J519,Source_Assumptions!$A:$C,3,0),0)</f>
        <v>1200</v>
      </c>
    </row>
    <row r="520" spans="1:16" x14ac:dyDescent="0.3">
      <c r="A520">
        <f>Raw_Data!A520</f>
        <v>519</v>
      </c>
      <c r="B520" s="2">
        <f>Raw_Data!B520</f>
        <v>44925</v>
      </c>
      <c r="C520">
        <f>YEAR(Raw_Data!B520)</f>
        <v>2022</v>
      </c>
      <c r="D520" t="str">
        <f>IF(MONTH(Raw_Data!B520)&gt;=4,YEAR(Raw_Data!B520)&amp;"-"&amp;RIGHT(YEAR(Raw_Data!B520)+1,2),YEAR(Raw_Data!B520)-1&amp;"-"&amp;RIGHT(YEAR(Raw_Data!B520),2))</f>
        <v>2022-23</v>
      </c>
      <c r="E520" t="str">
        <f>"Q"&amp;ROUNDUP(MONTH(Raw_Data!B520)/3,0)</f>
        <v>Q4</v>
      </c>
      <c r="F520" t="str">
        <f>TEXT(Raw_Data!B520,"mmm")</f>
        <v>Dec</v>
      </c>
      <c r="G520" t="str">
        <f>TEXT(Raw_Data!B520,"ddd")</f>
        <v>Fri</v>
      </c>
      <c r="H520" t="str">
        <f>Raw_Data!D520</f>
        <v>Invoiced</v>
      </c>
      <c r="I520" t="str">
        <f>Raw_Data!F520</f>
        <v>SMS/ Tele-Out</v>
      </c>
      <c r="J520" t="str">
        <f>Raw_Data!G520</f>
        <v>Database Activity(Teleout/SMS)</v>
      </c>
      <c r="K520" t="str">
        <f>IFERROR(VLOOKUP(J520,Source_Assumptions!$A:$C,2,0),"Unmapped")</f>
        <v>Outbound/Database</v>
      </c>
      <c r="L520" t="str">
        <f>Raw_Data!H520</f>
        <v>AMAZE Petrol</v>
      </c>
      <c r="M520" t="str">
        <f>IFERROR(VLOOKUP(L520,Model_Assumptions!$A:$D,2,0),"Unmapped")</f>
        <v>Sub-4m Sedan</v>
      </c>
      <c r="N520" t="str">
        <f>IFERROR(VLOOKUP(L520,Model_Assumptions!$A:$D,3,0),"Unmapped")</f>
        <v>Petrol</v>
      </c>
      <c r="O520">
        <f>IFERROR(VLOOKUP(L520,Model_Assumptions!$A:$D,4,0),0)</f>
        <v>850000</v>
      </c>
      <c r="P520">
        <f>IFERROR(VLOOKUP(J520,Source_Assumptions!$A:$C,3,0),0)</f>
        <v>250</v>
      </c>
    </row>
    <row r="521" spans="1:16" x14ac:dyDescent="0.3">
      <c r="A521">
        <f>Raw_Data!A521</f>
        <v>520</v>
      </c>
      <c r="B521" s="2">
        <f>Raw_Data!B521</f>
        <v>44924</v>
      </c>
      <c r="C521">
        <f>YEAR(Raw_Data!B521)</f>
        <v>2022</v>
      </c>
      <c r="D521" t="str">
        <f>IF(MONTH(Raw_Data!B521)&gt;=4,YEAR(Raw_Data!B521)&amp;"-"&amp;RIGHT(YEAR(Raw_Data!B521)+1,2),YEAR(Raw_Data!B521)-1&amp;"-"&amp;RIGHT(YEAR(Raw_Data!B521),2))</f>
        <v>2022-23</v>
      </c>
      <c r="E521" t="str">
        <f>"Q"&amp;ROUNDUP(MONTH(Raw_Data!B521)/3,0)</f>
        <v>Q4</v>
      </c>
      <c r="F521" t="str">
        <f>TEXT(Raw_Data!B521,"mmm")</f>
        <v>Dec</v>
      </c>
      <c r="G521" t="str">
        <f>TEXT(Raw_Data!B521,"ddd")</f>
        <v>Thu</v>
      </c>
      <c r="H521" t="str">
        <f>Raw_Data!D521</f>
        <v>Invoiced</v>
      </c>
      <c r="I521" t="str">
        <f>Raw_Data!F521</f>
        <v>Walk-in Showroom</v>
      </c>
      <c r="J521" t="str">
        <f>Raw_Data!G521</f>
        <v>Adver. (TVC/Print/Hoarding/FM)</v>
      </c>
      <c r="K521" t="str">
        <f>IFERROR(VLOOKUP(J521,Source_Assumptions!$A:$C,2,0),"Unmapped")</f>
        <v>Traditional Advertising</v>
      </c>
      <c r="L521" t="str">
        <f>Raw_Data!H521</f>
        <v>AMAZE Petrol</v>
      </c>
      <c r="M521" t="str">
        <f>IFERROR(VLOOKUP(L521,Model_Assumptions!$A:$D,2,0),"Unmapped")</f>
        <v>Sub-4m Sedan</v>
      </c>
      <c r="N521" t="str">
        <f>IFERROR(VLOOKUP(L521,Model_Assumptions!$A:$D,3,0),"Unmapped")</f>
        <v>Petrol</v>
      </c>
      <c r="O521">
        <f>IFERROR(VLOOKUP(L521,Model_Assumptions!$A:$D,4,0),0)</f>
        <v>850000</v>
      </c>
      <c r="P521">
        <f>IFERROR(VLOOKUP(J521,Source_Assumptions!$A:$C,3,0),0)</f>
        <v>1200</v>
      </c>
    </row>
    <row r="522" spans="1:16" x14ac:dyDescent="0.3">
      <c r="A522">
        <f>Raw_Data!A522</f>
        <v>521</v>
      </c>
      <c r="B522" s="2">
        <f>Raw_Data!B522</f>
        <v>44926</v>
      </c>
      <c r="C522">
        <f>YEAR(Raw_Data!B522)</f>
        <v>2022</v>
      </c>
      <c r="D522" t="str">
        <f>IF(MONTH(Raw_Data!B522)&gt;=4,YEAR(Raw_Data!B522)&amp;"-"&amp;RIGHT(YEAR(Raw_Data!B522)+1,2),YEAR(Raw_Data!B522)-1&amp;"-"&amp;RIGHT(YEAR(Raw_Data!B522),2))</f>
        <v>2022-23</v>
      </c>
      <c r="E522" t="str">
        <f>"Q"&amp;ROUNDUP(MONTH(Raw_Data!B522)/3,0)</f>
        <v>Q4</v>
      </c>
      <c r="F522" t="str">
        <f>TEXT(Raw_Data!B522,"mmm")</f>
        <v>Dec</v>
      </c>
      <c r="G522" t="str">
        <f>TEXT(Raw_Data!B522,"ddd")</f>
        <v>Sat</v>
      </c>
      <c r="H522" t="str">
        <f>Raw_Data!D522</f>
        <v>Invoiced</v>
      </c>
      <c r="I522" t="str">
        <f>Raw_Data!F522</f>
        <v>Web Lead</v>
      </c>
      <c r="J522" t="str">
        <f>Raw_Data!G522</f>
        <v>Web_Carwale</v>
      </c>
      <c r="K522" t="str">
        <f>IFERROR(VLOOKUP(J522,Source_Assumptions!$A:$C,2,0),"Unmapped")</f>
        <v>Digital - Aggregator (Paid)</v>
      </c>
      <c r="L522" t="str">
        <f>Raw_Data!H522</f>
        <v>AMAZE Petrol</v>
      </c>
      <c r="M522" t="str">
        <f>IFERROR(VLOOKUP(L522,Model_Assumptions!$A:$D,2,0),"Unmapped")</f>
        <v>Sub-4m Sedan</v>
      </c>
      <c r="N522" t="str">
        <f>IFERROR(VLOOKUP(L522,Model_Assumptions!$A:$D,3,0),"Unmapped")</f>
        <v>Petrol</v>
      </c>
      <c r="O522">
        <f>IFERROR(VLOOKUP(L522,Model_Assumptions!$A:$D,4,0),0)</f>
        <v>850000</v>
      </c>
      <c r="P522">
        <f>IFERROR(VLOOKUP(J522,Source_Assumptions!$A:$C,3,0),0)</f>
        <v>900</v>
      </c>
    </row>
    <row r="523" spans="1:16" x14ac:dyDescent="0.3">
      <c r="A523">
        <f>Raw_Data!A523</f>
        <v>522</v>
      </c>
      <c r="B523" s="2">
        <f>Raw_Data!B523</f>
        <v>44926</v>
      </c>
      <c r="C523">
        <f>YEAR(Raw_Data!B523)</f>
        <v>2022</v>
      </c>
      <c r="D523" t="str">
        <f>IF(MONTH(Raw_Data!B523)&gt;=4,YEAR(Raw_Data!B523)&amp;"-"&amp;RIGHT(YEAR(Raw_Data!B523)+1,2),YEAR(Raw_Data!B523)-1&amp;"-"&amp;RIGHT(YEAR(Raw_Data!B523),2))</f>
        <v>2022-23</v>
      </c>
      <c r="E523" t="str">
        <f>"Q"&amp;ROUNDUP(MONTH(Raw_Data!B523)/3,0)</f>
        <v>Q4</v>
      </c>
      <c r="F523" t="str">
        <f>TEXT(Raw_Data!B523,"mmm")</f>
        <v>Dec</v>
      </c>
      <c r="G523" t="str">
        <f>TEXT(Raw_Data!B523,"ddd")</f>
        <v>Sat</v>
      </c>
      <c r="H523" t="str">
        <f>Raw_Data!D523</f>
        <v>Invoiced</v>
      </c>
      <c r="I523" t="str">
        <f>Raw_Data!F523</f>
        <v>Tele-in</v>
      </c>
      <c r="J523" t="str">
        <f>Raw_Data!G523</f>
        <v>Referral-CAM</v>
      </c>
      <c r="K523" t="str">
        <f>IFERROR(VLOOKUP(J523,Source_Assumptions!$A:$C,2,0),"Unmapped")</f>
        <v>Referral</v>
      </c>
      <c r="L523" t="str">
        <f>Raw_Data!H523</f>
        <v>AMAZE Petrol</v>
      </c>
      <c r="M523" t="str">
        <f>IFERROR(VLOOKUP(L523,Model_Assumptions!$A:$D,2,0),"Unmapped")</f>
        <v>Sub-4m Sedan</v>
      </c>
      <c r="N523" t="str">
        <f>IFERROR(VLOOKUP(L523,Model_Assumptions!$A:$D,3,0),"Unmapped")</f>
        <v>Petrol</v>
      </c>
      <c r="O523">
        <f>IFERROR(VLOOKUP(L523,Model_Assumptions!$A:$D,4,0),0)</f>
        <v>850000</v>
      </c>
      <c r="P523">
        <f>IFERROR(VLOOKUP(J523,Source_Assumptions!$A:$C,3,0),0)</f>
        <v>150</v>
      </c>
    </row>
    <row r="524" spans="1:16" x14ac:dyDescent="0.3">
      <c r="A524">
        <f>Raw_Data!A524</f>
        <v>523</v>
      </c>
      <c r="B524" s="2">
        <f>Raw_Data!B524</f>
        <v>44931</v>
      </c>
      <c r="C524">
        <f>YEAR(Raw_Data!B524)</f>
        <v>2023</v>
      </c>
      <c r="D524" t="str">
        <f>IF(MONTH(Raw_Data!B524)&gt;=4,YEAR(Raw_Data!B524)&amp;"-"&amp;RIGHT(YEAR(Raw_Data!B524)+1,2),YEAR(Raw_Data!B524)-1&amp;"-"&amp;RIGHT(YEAR(Raw_Data!B524),2))</f>
        <v>2022-23</v>
      </c>
      <c r="E524" t="str">
        <f>"Q"&amp;ROUNDUP(MONTH(Raw_Data!B524)/3,0)</f>
        <v>Q1</v>
      </c>
      <c r="F524" t="str">
        <f>TEXT(Raw_Data!B524,"mmm")</f>
        <v>Jan</v>
      </c>
      <c r="G524" t="str">
        <f>TEXT(Raw_Data!B524,"ddd")</f>
        <v>Thu</v>
      </c>
      <c r="H524" t="str">
        <f>Raw_Data!D524</f>
        <v>Invoiced</v>
      </c>
      <c r="I524" t="str">
        <f>Raw_Data!F524</f>
        <v>Walk-in Showroom</v>
      </c>
      <c r="J524" t="str">
        <f>Raw_Data!G524</f>
        <v>Adver. (TVC/Print/Hoarding/FM)</v>
      </c>
      <c r="K524" t="str">
        <f>IFERROR(VLOOKUP(J524,Source_Assumptions!$A:$C,2,0),"Unmapped")</f>
        <v>Traditional Advertising</v>
      </c>
      <c r="L524" t="str">
        <f>Raw_Data!H524</f>
        <v>AMAZE Petrol</v>
      </c>
      <c r="M524" t="str">
        <f>IFERROR(VLOOKUP(L524,Model_Assumptions!$A:$D,2,0),"Unmapped")</f>
        <v>Sub-4m Sedan</v>
      </c>
      <c r="N524" t="str">
        <f>IFERROR(VLOOKUP(L524,Model_Assumptions!$A:$D,3,0),"Unmapped")</f>
        <v>Petrol</v>
      </c>
      <c r="O524">
        <f>IFERROR(VLOOKUP(L524,Model_Assumptions!$A:$D,4,0),0)</f>
        <v>850000</v>
      </c>
      <c r="P524">
        <f>IFERROR(VLOOKUP(J524,Source_Assumptions!$A:$C,3,0),0)</f>
        <v>1200</v>
      </c>
    </row>
    <row r="525" spans="1:16" x14ac:dyDescent="0.3">
      <c r="A525">
        <f>Raw_Data!A525</f>
        <v>524</v>
      </c>
      <c r="B525" s="2">
        <f>Raw_Data!B525</f>
        <v>44937</v>
      </c>
      <c r="C525">
        <f>YEAR(Raw_Data!B525)</f>
        <v>2023</v>
      </c>
      <c r="D525" t="str">
        <f>IF(MONTH(Raw_Data!B525)&gt;=4,YEAR(Raw_Data!B525)&amp;"-"&amp;RIGHT(YEAR(Raw_Data!B525)+1,2),YEAR(Raw_Data!B525)-1&amp;"-"&amp;RIGHT(YEAR(Raw_Data!B525),2))</f>
        <v>2022-23</v>
      </c>
      <c r="E525" t="str">
        <f>"Q"&amp;ROUNDUP(MONTH(Raw_Data!B525)/3,0)</f>
        <v>Q1</v>
      </c>
      <c r="F525" t="str">
        <f>TEXT(Raw_Data!B525,"mmm")</f>
        <v>Jan</v>
      </c>
      <c r="G525" t="str">
        <f>TEXT(Raw_Data!B525,"ddd")</f>
        <v>Wed</v>
      </c>
      <c r="H525" t="str">
        <f>Raw_Data!D525</f>
        <v>Invoiced</v>
      </c>
      <c r="I525" t="str">
        <f>Raw_Data!F525</f>
        <v>Tele-in</v>
      </c>
      <c r="J525" t="str">
        <f>Raw_Data!G525</f>
        <v>Referral-CAM</v>
      </c>
      <c r="K525" t="str">
        <f>IFERROR(VLOOKUP(J525,Source_Assumptions!$A:$C,2,0),"Unmapped")</f>
        <v>Referral</v>
      </c>
      <c r="L525" t="str">
        <f>Raw_Data!H525</f>
        <v>WR-V PE</v>
      </c>
      <c r="M525" t="str">
        <f>IFERROR(VLOOKUP(L525,Model_Assumptions!$A:$D,2,0),"Unmapped")</f>
        <v>Compact SUV</v>
      </c>
      <c r="N525" t="str">
        <f>IFERROR(VLOOKUP(L525,Model_Assumptions!$A:$D,3,0),"Unmapped")</f>
        <v>Petrol</v>
      </c>
      <c r="O525">
        <f>IFERROR(VLOOKUP(L525,Model_Assumptions!$A:$D,4,0),0)</f>
        <v>950000</v>
      </c>
      <c r="P525">
        <f>IFERROR(VLOOKUP(J525,Source_Assumptions!$A:$C,3,0),0)</f>
        <v>150</v>
      </c>
    </row>
    <row r="526" spans="1:16" x14ac:dyDescent="0.3">
      <c r="A526">
        <f>Raw_Data!A526</f>
        <v>525</v>
      </c>
      <c r="B526" s="2">
        <f>Raw_Data!B526</f>
        <v>44938</v>
      </c>
      <c r="C526">
        <f>YEAR(Raw_Data!B526)</f>
        <v>2023</v>
      </c>
      <c r="D526" t="str">
        <f>IF(MONTH(Raw_Data!B526)&gt;=4,YEAR(Raw_Data!B526)&amp;"-"&amp;RIGHT(YEAR(Raw_Data!B526)+1,2),YEAR(Raw_Data!B526)-1&amp;"-"&amp;RIGHT(YEAR(Raw_Data!B526),2))</f>
        <v>2022-23</v>
      </c>
      <c r="E526" t="str">
        <f>"Q"&amp;ROUNDUP(MONTH(Raw_Data!B526)/3,0)</f>
        <v>Q1</v>
      </c>
      <c r="F526" t="str">
        <f>TEXT(Raw_Data!B526,"mmm")</f>
        <v>Jan</v>
      </c>
      <c r="G526" t="str">
        <f>TEXT(Raw_Data!B526,"ddd")</f>
        <v>Thu</v>
      </c>
      <c r="H526" t="str">
        <f>Raw_Data!D526</f>
        <v>Invoiced</v>
      </c>
      <c r="I526" t="str">
        <f>Raw_Data!F526</f>
        <v>Walk-in Showroom</v>
      </c>
      <c r="J526" t="str">
        <f>Raw_Data!G526</f>
        <v>Adver. (TVC/Print/Hoarding/FM)</v>
      </c>
      <c r="K526" t="str">
        <f>IFERROR(VLOOKUP(J526,Source_Assumptions!$A:$C,2,0),"Unmapped")</f>
        <v>Traditional Advertising</v>
      </c>
      <c r="L526" t="str">
        <f>Raw_Data!H526</f>
        <v>AMAZE-PE</v>
      </c>
      <c r="M526" t="str">
        <f>IFERROR(VLOOKUP(L526,Model_Assumptions!$A:$D,2,0),"Unmapped")</f>
        <v>Sub-4m Sedan</v>
      </c>
      <c r="N526" t="str">
        <f>IFERROR(VLOOKUP(L526,Model_Assumptions!$A:$D,3,0),"Unmapped")</f>
        <v>Petrol</v>
      </c>
      <c r="O526">
        <f>IFERROR(VLOOKUP(L526,Model_Assumptions!$A:$D,4,0),0)</f>
        <v>850000</v>
      </c>
      <c r="P526">
        <f>IFERROR(VLOOKUP(J526,Source_Assumptions!$A:$C,3,0),0)</f>
        <v>1200</v>
      </c>
    </row>
    <row r="527" spans="1:16" x14ac:dyDescent="0.3">
      <c r="A527">
        <f>Raw_Data!A527</f>
        <v>526</v>
      </c>
      <c r="B527" s="2">
        <f>Raw_Data!B527</f>
        <v>44942</v>
      </c>
      <c r="C527">
        <f>YEAR(Raw_Data!B527)</f>
        <v>2023</v>
      </c>
      <c r="D527" t="str">
        <f>IF(MONTH(Raw_Data!B527)&gt;=4,YEAR(Raw_Data!B527)&amp;"-"&amp;RIGHT(YEAR(Raw_Data!B527)+1,2),YEAR(Raw_Data!B527)-1&amp;"-"&amp;RIGHT(YEAR(Raw_Data!B527),2))</f>
        <v>2022-23</v>
      </c>
      <c r="E527" t="str">
        <f>"Q"&amp;ROUNDUP(MONTH(Raw_Data!B527)/3,0)</f>
        <v>Q1</v>
      </c>
      <c r="F527" t="str">
        <f>TEXT(Raw_Data!B527,"mmm")</f>
        <v>Jan</v>
      </c>
      <c r="G527" t="str">
        <f>TEXT(Raw_Data!B527,"ddd")</f>
        <v>Mon</v>
      </c>
      <c r="H527" t="str">
        <f>Raw_Data!D527</f>
        <v>Invoiced</v>
      </c>
      <c r="I527" t="str">
        <f>Raw_Data!F527</f>
        <v>Web Lead</v>
      </c>
      <c r="J527" t="str">
        <f>Raw_Data!G527</f>
        <v>Web</v>
      </c>
      <c r="K527" t="str">
        <f>IFERROR(VLOOKUP(J527,Source_Assumptions!$A:$C,2,0),"Unmapped")</f>
        <v>Digital - Owned</v>
      </c>
      <c r="L527" t="str">
        <f>Raw_Data!H527</f>
        <v>AMAZE Petrol</v>
      </c>
      <c r="M527" t="str">
        <f>IFERROR(VLOOKUP(L527,Model_Assumptions!$A:$D,2,0),"Unmapped")</f>
        <v>Sub-4m Sedan</v>
      </c>
      <c r="N527" t="str">
        <f>IFERROR(VLOOKUP(L527,Model_Assumptions!$A:$D,3,0),"Unmapped")</f>
        <v>Petrol</v>
      </c>
      <c r="O527">
        <f>IFERROR(VLOOKUP(L527,Model_Assumptions!$A:$D,4,0),0)</f>
        <v>850000</v>
      </c>
      <c r="P527">
        <f>IFERROR(VLOOKUP(J527,Source_Assumptions!$A:$C,3,0),0)</f>
        <v>300</v>
      </c>
    </row>
    <row r="528" spans="1:16" x14ac:dyDescent="0.3">
      <c r="A528">
        <f>Raw_Data!A528</f>
        <v>527</v>
      </c>
      <c r="B528" s="2">
        <f>Raw_Data!B528</f>
        <v>44942</v>
      </c>
      <c r="C528">
        <f>YEAR(Raw_Data!B528)</f>
        <v>2023</v>
      </c>
      <c r="D528" t="str">
        <f>IF(MONTH(Raw_Data!B528)&gt;=4,YEAR(Raw_Data!B528)&amp;"-"&amp;RIGHT(YEAR(Raw_Data!B528)+1,2),YEAR(Raw_Data!B528)-1&amp;"-"&amp;RIGHT(YEAR(Raw_Data!B528),2))</f>
        <v>2022-23</v>
      </c>
      <c r="E528" t="str">
        <f>"Q"&amp;ROUNDUP(MONTH(Raw_Data!B528)/3,0)</f>
        <v>Q1</v>
      </c>
      <c r="F528" t="str">
        <f>TEXT(Raw_Data!B528,"mmm")</f>
        <v>Jan</v>
      </c>
      <c r="G528" t="str">
        <f>TEXT(Raw_Data!B528,"ddd")</f>
        <v>Mon</v>
      </c>
      <c r="H528" t="str">
        <f>Raw_Data!D528</f>
        <v>Invoiced</v>
      </c>
      <c r="I528" t="str">
        <f>Raw_Data!F528</f>
        <v>Tele-in</v>
      </c>
      <c r="J528" t="str">
        <f>Raw_Data!G528</f>
        <v>Adver. (TVC/Print/Hoarding/FM)</v>
      </c>
      <c r="K528" t="str">
        <f>IFERROR(VLOOKUP(J528,Source_Assumptions!$A:$C,2,0),"Unmapped")</f>
        <v>Traditional Advertising</v>
      </c>
      <c r="L528" t="str">
        <f>Raw_Data!H528</f>
        <v>5TH GEN CITY PE</v>
      </c>
      <c r="M528" t="str">
        <f>IFERROR(VLOOKUP(L528,Model_Assumptions!$A:$D,2,0),"Unmapped")</f>
        <v>Mid-size Sedan</v>
      </c>
      <c r="N528" t="str">
        <f>IFERROR(VLOOKUP(L528,Model_Assumptions!$A:$D,3,0),"Unmapped")</f>
        <v>Petrol</v>
      </c>
      <c r="O528">
        <f>IFERROR(VLOOKUP(L528,Model_Assumptions!$A:$D,4,0),0)</f>
        <v>1250000</v>
      </c>
      <c r="P528">
        <f>IFERROR(VLOOKUP(J528,Source_Assumptions!$A:$C,3,0),0)</f>
        <v>1200</v>
      </c>
    </row>
    <row r="529" spans="1:16" x14ac:dyDescent="0.3">
      <c r="A529">
        <f>Raw_Data!A529</f>
        <v>528</v>
      </c>
      <c r="B529" s="2">
        <f>Raw_Data!B529</f>
        <v>44943</v>
      </c>
      <c r="C529">
        <f>YEAR(Raw_Data!B529)</f>
        <v>2023</v>
      </c>
      <c r="D529" t="str">
        <f>IF(MONTH(Raw_Data!B529)&gt;=4,YEAR(Raw_Data!B529)&amp;"-"&amp;RIGHT(YEAR(Raw_Data!B529)+1,2),YEAR(Raw_Data!B529)-1&amp;"-"&amp;RIGHT(YEAR(Raw_Data!B529),2))</f>
        <v>2022-23</v>
      </c>
      <c r="E529" t="str">
        <f>"Q"&amp;ROUNDUP(MONTH(Raw_Data!B529)/3,0)</f>
        <v>Q1</v>
      </c>
      <c r="F529" t="str">
        <f>TEXT(Raw_Data!B529,"mmm")</f>
        <v>Jan</v>
      </c>
      <c r="G529" t="str">
        <f>TEXT(Raw_Data!B529,"ddd")</f>
        <v>Tue</v>
      </c>
      <c r="H529" t="str">
        <f>Raw_Data!D529</f>
        <v>Invoiced</v>
      </c>
      <c r="I529" t="str">
        <f>Raw_Data!F529</f>
        <v>SMS/ Tele-Out</v>
      </c>
      <c r="J529" t="str">
        <f>Raw_Data!G529</f>
        <v>Database Activity(Teleout/SMS)</v>
      </c>
      <c r="K529" t="str">
        <f>IFERROR(VLOOKUP(J529,Source_Assumptions!$A:$C,2,0),"Unmapped")</f>
        <v>Outbound/Database</v>
      </c>
      <c r="L529" t="str">
        <f>Raw_Data!H529</f>
        <v>AMAZE Petrol</v>
      </c>
      <c r="M529" t="str">
        <f>IFERROR(VLOOKUP(L529,Model_Assumptions!$A:$D,2,0),"Unmapped")</f>
        <v>Sub-4m Sedan</v>
      </c>
      <c r="N529" t="str">
        <f>IFERROR(VLOOKUP(L529,Model_Assumptions!$A:$D,3,0),"Unmapped")</f>
        <v>Petrol</v>
      </c>
      <c r="O529">
        <f>IFERROR(VLOOKUP(L529,Model_Assumptions!$A:$D,4,0),0)</f>
        <v>850000</v>
      </c>
      <c r="P529">
        <f>IFERROR(VLOOKUP(J529,Source_Assumptions!$A:$C,3,0),0)</f>
        <v>250</v>
      </c>
    </row>
    <row r="530" spans="1:16" x14ac:dyDescent="0.3">
      <c r="A530">
        <f>Raw_Data!A530</f>
        <v>529</v>
      </c>
      <c r="B530" s="2">
        <f>Raw_Data!B530</f>
        <v>44945</v>
      </c>
      <c r="C530">
        <f>YEAR(Raw_Data!B530)</f>
        <v>2023</v>
      </c>
      <c r="D530" t="str">
        <f>IF(MONTH(Raw_Data!B530)&gt;=4,YEAR(Raw_Data!B530)&amp;"-"&amp;RIGHT(YEAR(Raw_Data!B530)+1,2),YEAR(Raw_Data!B530)-1&amp;"-"&amp;RIGHT(YEAR(Raw_Data!B530),2))</f>
        <v>2022-23</v>
      </c>
      <c r="E530" t="str">
        <f>"Q"&amp;ROUNDUP(MONTH(Raw_Data!B530)/3,0)</f>
        <v>Q1</v>
      </c>
      <c r="F530" t="str">
        <f>TEXT(Raw_Data!B530,"mmm")</f>
        <v>Jan</v>
      </c>
      <c r="G530" t="str">
        <f>TEXT(Raw_Data!B530,"ddd")</f>
        <v>Thu</v>
      </c>
      <c r="H530" t="str">
        <f>Raw_Data!D530</f>
        <v>Invoiced</v>
      </c>
      <c r="I530" t="str">
        <f>Raw_Data!F530</f>
        <v>Walk-in Showroom</v>
      </c>
      <c r="J530" t="str">
        <f>Raw_Data!G530</f>
        <v>Adver. (TVC/Print/Hoarding/FM)</v>
      </c>
      <c r="K530" t="str">
        <f>IFERROR(VLOOKUP(J530,Source_Assumptions!$A:$C,2,0),"Unmapped")</f>
        <v>Traditional Advertising</v>
      </c>
      <c r="L530" t="str">
        <f>Raw_Data!H530</f>
        <v>5TH GEN CITY PE</v>
      </c>
      <c r="M530" t="str">
        <f>IFERROR(VLOOKUP(L530,Model_Assumptions!$A:$D,2,0),"Unmapped")</f>
        <v>Mid-size Sedan</v>
      </c>
      <c r="N530" t="str">
        <f>IFERROR(VLOOKUP(L530,Model_Assumptions!$A:$D,3,0),"Unmapped")</f>
        <v>Petrol</v>
      </c>
      <c r="O530">
        <f>IFERROR(VLOOKUP(L530,Model_Assumptions!$A:$D,4,0),0)</f>
        <v>1250000</v>
      </c>
      <c r="P530">
        <f>IFERROR(VLOOKUP(J530,Source_Assumptions!$A:$C,3,0),0)</f>
        <v>1200</v>
      </c>
    </row>
    <row r="531" spans="1:16" x14ac:dyDescent="0.3">
      <c r="A531">
        <f>Raw_Data!A531</f>
        <v>530</v>
      </c>
      <c r="B531" s="2">
        <f>Raw_Data!B531</f>
        <v>44946</v>
      </c>
      <c r="C531">
        <f>YEAR(Raw_Data!B531)</f>
        <v>2023</v>
      </c>
      <c r="D531" t="str">
        <f>IF(MONTH(Raw_Data!B531)&gt;=4,YEAR(Raw_Data!B531)&amp;"-"&amp;RIGHT(YEAR(Raw_Data!B531)+1,2),YEAR(Raw_Data!B531)-1&amp;"-"&amp;RIGHT(YEAR(Raw_Data!B531),2))</f>
        <v>2022-23</v>
      </c>
      <c r="E531" t="str">
        <f>"Q"&amp;ROUNDUP(MONTH(Raw_Data!B531)/3,0)</f>
        <v>Q1</v>
      </c>
      <c r="F531" t="str">
        <f>TEXT(Raw_Data!B531,"mmm")</f>
        <v>Jan</v>
      </c>
      <c r="G531" t="str">
        <f>TEXT(Raw_Data!B531,"ddd")</f>
        <v>Fri</v>
      </c>
      <c r="H531" t="str">
        <f>Raw_Data!D531</f>
        <v>Invoiced</v>
      </c>
      <c r="I531" t="str">
        <f>Raw_Data!F531</f>
        <v>Tele-in</v>
      </c>
      <c r="J531" t="str">
        <f>Raw_Data!G531</f>
        <v>Dealer Webpage Tele-In</v>
      </c>
      <c r="K531" t="str">
        <f>IFERROR(VLOOKUP(J531,Source_Assumptions!$A:$C,2,0),"Unmapped")</f>
        <v>Digital - Owned</v>
      </c>
      <c r="L531" t="str">
        <f>Raw_Data!H531</f>
        <v>AMAZE-PE</v>
      </c>
      <c r="M531" t="str">
        <f>IFERROR(VLOOKUP(L531,Model_Assumptions!$A:$D,2,0),"Unmapped")</f>
        <v>Sub-4m Sedan</v>
      </c>
      <c r="N531" t="str">
        <f>IFERROR(VLOOKUP(L531,Model_Assumptions!$A:$D,3,0),"Unmapped")</f>
        <v>Petrol</v>
      </c>
      <c r="O531">
        <f>IFERROR(VLOOKUP(L531,Model_Assumptions!$A:$D,4,0),0)</f>
        <v>850000</v>
      </c>
      <c r="P531">
        <f>IFERROR(VLOOKUP(J531,Source_Assumptions!$A:$C,3,0),0)</f>
        <v>300</v>
      </c>
    </row>
    <row r="532" spans="1:16" x14ac:dyDescent="0.3">
      <c r="A532">
        <f>Raw_Data!A532</f>
        <v>531</v>
      </c>
      <c r="B532" s="2">
        <f>Raw_Data!B532</f>
        <v>44947</v>
      </c>
      <c r="C532">
        <f>YEAR(Raw_Data!B532)</f>
        <v>2023</v>
      </c>
      <c r="D532" t="str">
        <f>IF(MONTH(Raw_Data!B532)&gt;=4,YEAR(Raw_Data!B532)&amp;"-"&amp;RIGHT(YEAR(Raw_Data!B532)+1,2),YEAR(Raw_Data!B532)-1&amp;"-"&amp;RIGHT(YEAR(Raw_Data!B532),2))</f>
        <v>2022-23</v>
      </c>
      <c r="E532" t="str">
        <f>"Q"&amp;ROUNDUP(MONTH(Raw_Data!B532)/3,0)</f>
        <v>Q1</v>
      </c>
      <c r="F532" t="str">
        <f>TEXT(Raw_Data!B532,"mmm")</f>
        <v>Jan</v>
      </c>
      <c r="G532" t="str">
        <f>TEXT(Raw_Data!B532,"ddd")</f>
        <v>Sat</v>
      </c>
      <c r="H532" t="str">
        <f>Raw_Data!D532</f>
        <v>Invoiced</v>
      </c>
      <c r="I532" t="str">
        <f>Raw_Data!F532</f>
        <v>SMS/ Tele-Out</v>
      </c>
      <c r="J532" t="str">
        <f>Raw_Data!G532</f>
        <v>Database Activity(Teleout/SMS)</v>
      </c>
      <c r="K532" t="str">
        <f>IFERROR(VLOOKUP(J532,Source_Assumptions!$A:$C,2,0),"Unmapped")</f>
        <v>Outbound/Database</v>
      </c>
      <c r="L532" t="str">
        <f>Raw_Data!H532</f>
        <v>AMAZE-PE</v>
      </c>
      <c r="M532" t="str">
        <f>IFERROR(VLOOKUP(L532,Model_Assumptions!$A:$D,2,0),"Unmapped")</f>
        <v>Sub-4m Sedan</v>
      </c>
      <c r="N532" t="str">
        <f>IFERROR(VLOOKUP(L532,Model_Assumptions!$A:$D,3,0),"Unmapped")</f>
        <v>Petrol</v>
      </c>
      <c r="O532">
        <f>IFERROR(VLOOKUP(L532,Model_Assumptions!$A:$D,4,0),0)</f>
        <v>850000</v>
      </c>
      <c r="P532">
        <f>IFERROR(VLOOKUP(J532,Source_Assumptions!$A:$C,3,0),0)</f>
        <v>250</v>
      </c>
    </row>
    <row r="533" spans="1:16" x14ac:dyDescent="0.3">
      <c r="A533">
        <f>Raw_Data!A533</f>
        <v>532</v>
      </c>
      <c r="B533" s="2">
        <f>Raw_Data!B533</f>
        <v>44950</v>
      </c>
      <c r="C533">
        <f>YEAR(Raw_Data!B533)</f>
        <v>2023</v>
      </c>
      <c r="D533" t="str">
        <f>IF(MONTH(Raw_Data!B533)&gt;=4,YEAR(Raw_Data!B533)&amp;"-"&amp;RIGHT(YEAR(Raw_Data!B533)+1,2),YEAR(Raw_Data!B533)-1&amp;"-"&amp;RIGHT(YEAR(Raw_Data!B533),2))</f>
        <v>2022-23</v>
      </c>
      <c r="E533" t="str">
        <f>"Q"&amp;ROUNDUP(MONTH(Raw_Data!B533)/3,0)</f>
        <v>Q1</v>
      </c>
      <c r="F533" t="str">
        <f>TEXT(Raw_Data!B533,"mmm")</f>
        <v>Jan</v>
      </c>
      <c r="G533" t="str">
        <f>TEXT(Raw_Data!B533,"ddd")</f>
        <v>Tue</v>
      </c>
      <c r="H533" t="str">
        <f>Raw_Data!D533</f>
        <v>Invoiced</v>
      </c>
      <c r="I533" t="str">
        <f>Raw_Data!F533</f>
        <v>Tele-in</v>
      </c>
      <c r="J533" t="str">
        <f>Raw_Data!G533</f>
        <v>Referral-CAM</v>
      </c>
      <c r="K533" t="str">
        <f>IFERROR(VLOOKUP(J533,Source_Assumptions!$A:$C,2,0),"Unmapped")</f>
        <v>Referral</v>
      </c>
      <c r="L533" t="str">
        <f>Raw_Data!H533</f>
        <v>WR-V PE</v>
      </c>
      <c r="M533" t="str">
        <f>IFERROR(VLOOKUP(L533,Model_Assumptions!$A:$D,2,0),"Unmapped")</f>
        <v>Compact SUV</v>
      </c>
      <c r="N533" t="str">
        <f>IFERROR(VLOOKUP(L533,Model_Assumptions!$A:$D,3,0),"Unmapped")</f>
        <v>Petrol</v>
      </c>
      <c r="O533">
        <f>IFERROR(VLOOKUP(L533,Model_Assumptions!$A:$D,4,0),0)</f>
        <v>950000</v>
      </c>
      <c r="P533">
        <f>IFERROR(VLOOKUP(J533,Source_Assumptions!$A:$C,3,0),0)</f>
        <v>150</v>
      </c>
    </row>
    <row r="534" spans="1:16" x14ac:dyDescent="0.3">
      <c r="A534">
        <f>Raw_Data!A534</f>
        <v>533</v>
      </c>
      <c r="B534" s="2">
        <f>Raw_Data!B534</f>
        <v>44950</v>
      </c>
      <c r="C534">
        <f>YEAR(Raw_Data!B534)</f>
        <v>2023</v>
      </c>
      <c r="D534" t="str">
        <f>IF(MONTH(Raw_Data!B534)&gt;=4,YEAR(Raw_Data!B534)&amp;"-"&amp;RIGHT(YEAR(Raw_Data!B534)+1,2),YEAR(Raw_Data!B534)-1&amp;"-"&amp;RIGHT(YEAR(Raw_Data!B534),2))</f>
        <v>2022-23</v>
      </c>
      <c r="E534" t="str">
        <f>"Q"&amp;ROUNDUP(MONTH(Raw_Data!B534)/3,0)</f>
        <v>Q1</v>
      </c>
      <c r="F534" t="str">
        <f>TEXT(Raw_Data!B534,"mmm")</f>
        <v>Jan</v>
      </c>
      <c r="G534" t="str">
        <f>TEXT(Raw_Data!B534,"ddd")</f>
        <v>Tue</v>
      </c>
      <c r="H534" t="str">
        <f>Raw_Data!D534</f>
        <v>Invoiced</v>
      </c>
      <c r="I534" t="str">
        <f>Raw_Data!F534</f>
        <v>Web Lead</v>
      </c>
      <c r="J534" t="str">
        <f>Raw_Data!G534</f>
        <v>Web</v>
      </c>
      <c r="K534" t="str">
        <f>IFERROR(VLOOKUP(J534,Source_Assumptions!$A:$C,2,0),"Unmapped")</f>
        <v>Digital - Owned</v>
      </c>
      <c r="L534" t="str">
        <f>Raw_Data!H534</f>
        <v>AMAZE Petrol</v>
      </c>
      <c r="M534" t="str">
        <f>IFERROR(VLOOKUP(L534,Model_Assumptions!$A:$D,2,0),"Unmapped")</f>
        <v>Sub-4m Sedan</v>
      </c>
      <c r="N534" t="str">
        <f>IFERROR(VLOOKUP(L534,Model_Assumptions!$A:$D,3,0),"Unmapped")</f>
        <v>Petrol</v>
      </c>
      <c r="O534">
        <f>IFERROR(VLOOKUP(L534,Model_Assumptions!$A:$D,4,0),0)</f>
        <v>850000</v>
      </c>
      <c r="P534">
        <f>IFERROR(VLOOKUP(J534,Source_Assumptions!$A:$C,3,0),0)</f>
        <v>300</v>
      </c>
    </row>
    <row r="535" spans="1:16" x14ac:dyDescent="0.3">
      <c r="A535">
        <f>Raw_Data!A535</f>
        <v>534</v>
      </c>
      <c r="B535" s="2">
        <f>Raw_Data!B535</f>
        <v>44953</v>
      </c>
      <c r="C535">
        <f>YEAR(Raw_Data!B535)</f>
        <v>2023</v>
      </c>
      <c r="D535" t="str">
        <f>IF(MONTH(Raw_Data!B535)&gt;=4,YEAR(Raw_Data!B535)&amp;"-"&amp;RIGHT(YEAR(Raw_Data!B535)+1,2),YEAR(Raw_Data!B535)-1&amp;"-"&amp;RIGHT(YEAR(Raw_Data!B535),2))</f>
        <v>2022-23</v>
      </c>
      <c r="E535" t="str">
        <f>"Q"&amp;ROUNDUP(MONTH(Raw_Data!B535)/3,0)</f>
        <v>Q1</v>
      </c>
      <c r="F535" t="str">
        <f>TEXT(Raw_Data!B535,"mmm")</f>
        <v>Jan</v>
      </c>
      <c r="G535" t="str">
        <f>TEXT(Raw_Data!B535,"ddd")</f>
        <v>Fri</v>
      </c>
      <c r="H535" t="str">
        <f>Raw_Data!D535</f>
        <v>Invoiced</v>
      </c>
      <c r="I535" t="str">
        <f>Raw_Data!F535</f>
        <v>Tele-in</v>
      </c>
      <c r="J535" t="str">
        <f>Raw_Data!G535</f>
        <v>Referral-CAM</v>
      </c>
      <c r="K535" t="str">
        <f>IFERROR(VLOOKUP(J535,Source_Assumptions!$A:$C,2,0),"Unmapped")</f>
        <v>Referral</v>
      </c>
      <c r="L535" t="str">
        <f>Raw_Data!H535</f>
        <v>AMAZE Petrol</v>
      </c>
      <c r="M535" t="str">
        <f>IFERROR(VLOOKUP(L535,Model_Assumptions!$A:$D,2,0),"Unmapped")</f>
        <v>Sub-4m Sedan</v>
      </c>
      <c r="N535" t="str">
        <f>IFERROR(VLOOKUP(L535,Model_Assumptions!$A:$D,3,0),"Unmapped")</f>
        <v>Petrol</v>
      </c>
      <c r="O535">
        <f>IFERROR(VLOOKUP(L535,Model_Assumptions!$A:$D,4,0),0)</f>
        <v>850000</v>
      </c>
      <c r="P535">
        <f>IFERROR(VLOOKUP(J535,Source_Assumptions!$A:$C,3,0),0)</f>
        <v>150</v>
      </c>
    </row>
    <row r="536" spans="1:16" x14ac:dyDescent="0.3">
      <c r="A536">
        <f>Raw_Data!A536</f>
        <v>535</v>
      </c>
      <c r="B536" s="2">
        <f>Raw_Data!B536</f>
        <v>44954</v>
      </c>
      <c r="C536">
        <f>YEAR(Raw_Data!B536)</f>
        <v>2023</v>
      </c>
      <c r="D536" t="str">
        <f>IF(MONTH(Raw_Data!B536)&gt;=4,YEAR(Raw_Data!B536)&amp;"-"&amp;RIGHT(YEAR(Raw_Data!B536)+1,2),YEAR(Raw_Data!B536)-1&amp;"-"&amp;RIGHT(YEAR(Raw_Data!B536),2))</f>
        <v>2022-23</v>
      </c>
      <c r="E536" t="str">
        <f>"Q"&amp;ROUNDUP(MONTH(Raw_Data!B536)/3,0)</f>
        <v>Q1</v>
      </c>
      <c r="F536" t="str">
        <f>TEXT(Raw_Data!B536,"mmm")</f>
        <v>Jan</v>
      </c>
      <c r="G536" t="str">
        <f>TEXT(Raw_Data!B536,"ddd")</f>
        <v>Sat</v>
      </c>
      <c r="H536" t="str">
        <f>Raw_Data!D536</f>
        <v>Invoiced</v>
      </c>
      <c r="I536" t="str">
        <f>Raw_Data!F536</f>
        <v>Tele-in</v>
      </c>
      <c r="J536" t="str">
        <f>Raw_Data!G536</f>
        <v>Dealer Webpage Tele-In</v>
      </c>
      <c r="K536" t="str">
        <f>IFERROR(VLOOKUP(J536,Source_Assumptions!$A:$C,2,0),"Unmapped")</f>
        <v>Digital - Owned</v>
      </c>
      <c r="L536" t="str">
        <f>Raw_Data!H536</f>
        <v>AMAZE-PE</v>
      </c>
      <c r="M536" t="str">
        <f>IFERROR(VLOOKUP(L536,Model_Assumptions!$A:$D,2,0),"Unmapped")</f>
        <v>Sub-4m Sedan</v>
      </c>
      <c r="N536" t="str">
        <f>IFERROR(VLOOKUP(L536,Model_Assumptions!$A:$D,3,0),"Unmapped")</f>
        <v>Petrol</v>
      </c>
      <c r="O536">
        <f>IFERROR(VLOOKUP(L536,Model_Assumptions!$A:$D,4,0),0)</f>
        <v>850000</v>
      </c>
      <c r="P536">
        <f>IFERROR(VLOOKUP(J536,Source_Assumptions!$A:$C,3,0),0)</f>
        <v>300</v>
      </c>
    </row>
    <row r="537" spans="1:16" x14ac:dyDescent="0.3">
      <c r="A537">
        <f>Raw_Data!A537</f>
        <v>536</v>
      </c>
      <c r="B537" s="2">
        <f>Raw_Data!B537</f>
        <v>44954</v>
      </c>
      <c r="C537">
        <f>YEAR(Raw_Data!B537)</f>
        <v>2023</v>
      </c>
      <c r="D537" t="str">
        <f>IF(MONTH(Raw_Data!B537)&gt;=4,YEAR(Raw_Data!B537)&amp;"-"&amp;RIGHT(YEAR(Raw_Data!B537)+1,2),YEAR(Raw_Data!B537)-1&amp;"-"&amp;RIGHT(YEAR(Raw_Data!B537),2))</f>
        <v>2022-23</v>
      </c>
      <c r="E537" t="str">
        <f>"Q"&amp;ROUNDUP(MONTH(Raw_Data!B537)/3,0)</f>
        <v>Q1</v>
      </c>
      <c r="F537" t="str">
        <f>TEXT(Raw_Data!B537,"mmm")</f>
        <v>Jan</v>
      </c>
      <c r="G537" t="str">
        <f>TEXT(Raw_Data!B537,"ddd")</f>
        <v>Sat</v>
      </c>
      <c r="H537" t="str">
        <f>Raw_Data!D537</f>
        <v>Invoiced</v>
      </c>
      <c r="I537" t="str">
        <f>Raw_Data!F537</f>
        <v>Tele-in</v>
      </c>
      <c r="J537" t="str">
        <f>Raw_Data!G537</f>
        <v>Dealer Webpage Tele-In</v>
      </c>
      <c r="K537" t="str">
        <f>IFERROR(VLOOKUP(J537,Source_Assumptions!$A:$C,2,0),"Unmapped")</f>
        <v>Digital - Owned</v>
      </c>
      <c r="L537" t="str">
        <f>Raw_Data!H537</f>
        <v>AMAZE-PE</v>
      </c>
      <c r="M537" t="str">
        <f>IFERROR(VLOOKUP(L537,Model_Assumptions!$A:$D,2,0),"Unmapped")</f>
        <v>Sub-4m Sedan</v>
      </c>
      <c r="N537" t="str">
        <f>IFERROR(VLOOKUP(L537,Model_Assumptions!$A:$D,3,0),"Unmapped")</f>
        <v>Petrol</v>
      </c>
      <c r="O537">
        <f>IFERROR(VLOOKUP(L537,Model_Assumptions!$A:$D,4,0),0)</f>
        <v>850000</v>
      </c>
      <c r="P537">
        <f>IFERROR(VLOOKUP(J537,Source_Assumptions!$A:$C,3,0),0)</f>
        <v>300</v>
      </c>
    </row>
    <row r="538" spans="1:16" x14ac:dyDescent="0.3">
      <c r="A538">
        <f>Raw_Data!A538</f>
        <v>537</v>
      </c>
      <c r="B538" s="2">
        <f>Raw_Data!B538</f>
        <v>44954</v>
      </c>
      <c r="C538">
        <f>YEAR(Raw_Data!B538)</f>
        <v>2023</v>
      </c>
      <c r="D538" t="str">
        <f>IF(MONTH(Raw_Data!B538)&gt;=4,YEAR(Raw_Data!B538)&amp;"-"&amp;RIGHT(YEAR(Raw_Data!B538)+1,2),YEAR(Raw_Data!B538)-1&amp;"-"&amp;RIGHT(YEAR(Raw_Data!B538),2))</f>
        <v>2022-23</v>
      </c>
      <c r="E538" t="str">
        <f>"Q"&amp;ROUNDUP(MONTH(Raw_Data!B538)/3,0)</f>
        <v>Q1</v>
      </c>
      <c r="F538" t="str">
        <f>TEXT(Raw_Data!B538,"mmm")</f>
        <v>Jan</v>
      </c>
      <c r="G538" t="str">
        <f>TEXT(Raw_Data!B538,"ddd")</f>
        <v>Sat</v>
      </c>
      <c r="H538" t="str">
        <f>Raw_Data!D538</f>
        <v>Invoiced</v>
      </c>
      <c r="I538" t="str">
        <f>Raw_Data!F538</f>
        <v>Web Lead</v>
      </c>
      <c r="J538" t="str">
        <f>Raw_Data!G538</f>
        <v>Web_Carwale</v>
      </c>
      <c r="K538" t="str">
        <f>IFERROR(VLOOKUP(J538,Source_Assumptions!$A:$C,2,0),"Unmapped")</f>
        <v>Digital - Aggregator (Paid)</v>
      </c>
      <c r="L538" t="str">
        <f>Raw_Data!H538</f>
        <v>AMAZE-PE</v>
      </c>
      <c r="M538" t="str">
        <f>IFERROR(VLOOKUP(L538,Model_Assumptions!$A:$D,2,0),"Unmapped")</f>
        <v>Sub-4m Sedan</v>
      </c>
      <c r="N538" t="str">
        <f>IFERROR(VLOOKUP(L538,Model_Assumptions!$A:$D,3,0),"Unmapped")</f>
        <v>Petrol</v>
      </c>
      <c r="O538">
        <f>IFERROR(VLOOKUP(L538,Model_Assumptions!$A:$D,4,0),0)</f>
        <v>850000</v>
      </c>
      <c r="P538">
        <f>IFERROR(VLOOKUP(J538,Source_Assumptions!$A:$C,3,0),0)</f>
        <v>900</v>
      </c>
    </row>
    <row r="539" spans="1:16" x14ac:dyDescent="0.3">
      <c r="A539">
        <f>Raw_Data!A539</f>
        <v>538</v>
      </c>
      <c r="B539" s="2">
        <f>Raw_Data!B539</f>
        <v>44956</v>
      </c>
      <c r="C539">
        <f>YEAR(Raw_Data!B539)</f>
        <v>2023</v>
      </c>
      <c r="D539" t="str">
        <f>IF(MONTH(Raw_Data!B539)&gt;=4,YEAR(Raw_Data!B539)&amp;"-"&amp;RIGHT(YEAR(Raw_Data!B539)+1,2),YEAR(Raw_Data!B539)-1&amp;"-"&amp;RIGHT(YEAR(Raw_Data!B539),2))</f>
        <v>2022-23</v>
      </c>
      <c r="E539" t="str">
        <f>"Q"&amp;ROUNDUP(MONTH(Raw_Data!B539)/3,0)</f>
        <v>Q1</v>
      </c>
      <c r="F539" t="str">
        <f>TEXT(Raw_Data!B539,"mmm")</f>
        <v>Jan</v>
      </c>
      <c r="G539" t="str">
        <f>TEXT(Raw_Data!B539,"ddd")</f>
        <v>Mon</v>
      </c>
      <c r="H539" t="str">
        <f>Raw_Data!D539</f>
        <v>Invoiced</v>
      </c>
      <c r="I539" t="str">
        <f>Raw_Data!F539</f>
        <v>Walk-in Showroom</v>
      </c>
      <c r="J539" t="str">
        <f>Raw_Data!G539</f>
        <v>Adver. (TVC/Print/Hoarding/FM)</v>
      </c>
      <c r="K539" t="str">
        <f>IFERROR(VLOOKUP(J539,Source_Assumptions!$A:$C,2,0),"Unmapped")</f>
        <v>Traditional Advertising</v>
      </c>
      <c r="L539" t="str">
        <f>Raw_Data!H539</f>
        <v>5TH GEN CITY PE</v>
      </c>
      <c r="M539" t="str">
        <f>IFERROR(VLOOKUP(L539,Model_Assumptions!$A:$D,2,0),"Unmapped")</f>
        <v>Mid-size Sedan</v>
      </c>
      <c r="N539" t="str">
        <f>IFERROR(VLOOKUP(L539,Model_Assumptions!$A:$D,3,0),"Unmapped")</f>
        <v>Petrol</v>
      </c>
      <c r="O539">
        <f>IFERROR(VLOOKUP(L539,Model_Assumptions!$A:$D,4,0),0)</f>
        <v>1250000</v>
      </c>
      <c r="P539">
        <f>IFERROR(VLOOKUP(J539,Source_Assumptions!$A:$C,3,0),0)</f>
        <v>1200</v>
      </c>
    </row>
    <row r="540" spans="1:16" x14ac:dyDescent="0.3">
      <c r="A540">
        <f>Raw_Data!A540</f>
        <v>539</v>
      </c>
      <c r="B540" s="2">
        <f>Raw_Data!B540</f>
        <v>44957</v>
      </c>
      <c r="C540">
        <f>YEAR(Raw_Data!B540)</f>
        <v>2023</v>
      </c>
      <c r="D540" t="str">
        <f>IF(MONTH(Raw_Data!B540)&gt;=4,YEAR(Raw_Data!B540)&amp;"-"&amp;RIGHT(YEAR(Raw_Data!B540)+1,2),YEAR(Raw_Data!B540)-1&amp;"-"&amp;RIGHT(YEAR(Raw_Data!B540),2))</f>
        <v>2022-23</v>
      </c>
      <c r="E540" t="str">
        <f>"Q"&amp;ROUNDUP(MONTH(Raw_Data!B540)/3,0)</f>
        <v>Q1</v>
      </c>
      <c r="F540" t="str">
        <f>TEXT(Raw_Data!B540,"mmm")</f>
        <v>Jan</v>
      </c>
      <c r="G540" t="str">
        <f>TEXT(Raw_Data!B540,"ddd")</f>
        <v>Tue</v>
      </c>
      <c r="H540" t="str">
        <f>Raw_Data!D540</f>
        <v>Invoiced</v>
      </c>
      <c r="I540" t="str">
        <f>Raw_Data!F540</f>
        <v>Tele-in</v>
      </c>
      <c r="J540" t="str">
        <f>Raw_Data!G540</f>
        <v>Dealer Webpage Tele-In</v>
      </c>
      <c r="K540" t="str">
        <f>IFERROR(VLOOKUP(J540,Source_Assumptions!$A:$C,2,0),"Unmapped")</f>
        <v>Digital - Owned</v>
      </c>
      <c r="L540" t="str">
        <f>Raw_Data!H540</f>
        <v>AMAZE-PE</v>
      </c>
      <c r="M540" t="str">
        <f>IFERROR(VLOOKUP(L540,Model_Assumptions!$A:$D,2,0),"Unmapped")</f>
        <v>Sub-4m Sedan</v>
      </c>
      <c r="N540" t="str">
        <f>IFERROR(VLOOKUP(L540,Model_Assumptions!$A:$D,3,0),"Unmapped")</f>
        <v>Petrol</v>
      </c>
      <c r="O540">
        <f>IFERROR(VLOOKUP(L540,Model_Assumptions!$A:$D,4,0),0)</f>
        <v>850000</v>
      </c>
      <c r="P540">
        <f>IFERROR(VLOOKUP(J540,Source_Assumptions!$A:$C,3,0),0)</f>
        <v>300</v>
      </c>
    </row>
    <row r="541" spans="1:16" x14ac:dyDescent="0.3">
      <c r="A541">
        <f>Raw_Data!A541</f>
        <v>540</v>
      </c>
      <c r="B541" s="2">
        <f>Raw_Data!B541</f>
        <v>44957</v>
      </c>
      <c r="C541">
        <f>YEAR(Raw_Data!B541)</f>
        <v>2023</v>
      </c>
      <c r="D541" t="str">
        <f>IF(MONTH(Raw_Data!B541)&gt;=4,YEAR(Raw_Data!B541)&amp;"-"&amp;RIGHT(YEAR(Raw_Data!B541)+1,2),YEAR(Raw_Data!B541)-1&amp;"-"&amp;RIGHT(YEAR(Raw_Data!B541),2))</f>
        <v>2022-23</v>
      </c>
      <c r="E541" t="str">
        <f>"Q"&amp;ROUNDUP(MONTH(Raw_Data!B541)/3,0)</f>
        <v>Q1</v>
      </c>
      <c r="F541" t="str">
        <f>TEXT(Raw_Data!B541,"mmm")</f>
        <v>Jan</v>
      </c>
      <c r="G541" t="str">
        <f>TEXT(Raw_Data!B541,"ddd")</f>
        <v>Tue</v>
      </c>
      <c r="H541" t="str">
        <f>Raw_Data!D541</f>
        <v>Invoiced</v>
      </c>
      <c r="I541" t="str">
        <f>Raw_Data!F541</f>
        <v>SMS/ Tele-Out</v>
      </c>
      <c r="J541" t="str">
        <f>Raw_Data!G541</f>
        <v>Database Activity(Teleout/SMS)</v>
      </c>
      <c r="K541" t="str">
        <f>IFERROR(VLOOKUP(J541,Source_Assumptions!$A:$C,2,0),"Unmapped")</f>
        <v>Outbound/Database</v>
      </c>
      <c r="L541" t="str">
        <f>Raw_Data!H541</f>
        <v>5TH GEN CITY PE</v>
      </c>
      <c r="M541" t="str">
        <f>IFERROR(VLOOKUP(L541,Model_Assumptions!$A:$D,2,0),"Unmapped")</f>
        <v>Mid-size Sedan</v>
      </c>
      <c r="N541" t="str">
        <f>IFERROR(VLOOKUP(L541,Model_Assumptions!$A:$D,3,0),"Unmapped")</f>
        <v>Petrol</v>
      </c>
      <c r="O541">
        <f>IFERROR(VLOOKUP(L541,Model_Assumptions!$A:$D,4,0),0)</f>
        <v>1250000</v>
      </c>
      <c r="P541">
        <f>IFERROR(VLOOKUP(J541,Source_Assumptions!$A:$C,3,0),0)</f>
        <v>250</v>
      </c>
    </row>
    <row r="542" spans="1:16" x14ac:dyDescent="0.3">
      <c r="A542">
        <f>Raw_Data!A542</f>
        <v>541</v>
      </c>
      <c r="B542" s="2">
        <f>Raw_Data!B542</f>
        <v>44957</v>
      </c>
      <c r="C542">
        <f>YEAR(Raw_Data!B542)</f>
        <v>2023</v>
      </c>
      <c r="D542" t="str">
        <f>IF(MONTH(Raw_Data!B542)&gt;=4,YEAR(Raw_Data!B542)&amp;"-"&amp;RIGHT(YEAR(Raw_Data!B542)+1,2),YEAR(Raw_Data!B542)-1&amp;"-"&amp;RIGHT(YEAR(Raw_Data!B542),2))</f>
        <v>2022-23</v>
      </c>
      <c r="E542" t="str">
        <f>"Q"&amp;ROUNDUP(MONTH(Raw_Data!B542)/3,0)</f>
        <v>Q1</v>
      </c>
      <c r="F542" t="str">
        <f>TEXT(Raw_Data!B542,"mmm")</f>
        <v>Jan</v>
      </c>
      <c r="G542" t="str">
        <f>TEXT(Raw_Data!B542,"ddd")</f>
        <v>Tue</v>
      </c>
      <c r="H542" t="str">
        <f>Raw_Data!D542</f>
        <v>Invoiced</v>
      </c>
      <c r="I542" t="str">
        <f>Raw_Data!F542</f>
        <v>Tele-in</v>
      </c>
      <c r="J542" t="str">
        <f>Raw_Data!G542</f>
        <v>Referral-CAM</v>
      </c>
      <c r="K542" t="str">
        <f>IFERROR(VLOOKUP(J542,Source_Assumptions!$A:$C,2,0),"Unmapped")</f>
        <v>Referral</v>
      </c>
      <c r="L542" t="str">
        <f>Raw_Data!H542</f>
        <v>AMAZE-PE</v>
      </c>
      <c r="M542" t="str">
        <f>IFERROR(VLOOKUP(L542,Model_Assumptions!$A:$D,2,0),"Unmapped")</f>
        <v>Sub-4m Sedan</v>
      </c>
      <c r="N542" t="str">
        <f>IFERROR(VLOOKUP(L542,Model_Assumptions!$A:$D,3,0),"Unmapped")</f>
        <v>Petrol</v>
      </c>
      <c r="O542">
        <f>IFERROR(VLOOKUP(L542,Model_Assumptions!$A:$D,4,0),0)</f>
        <v>850000</v>
      </c>
      <c r="P542">
        <f>IFERROR(VLOOKUP(J542,Source_Assumptions!$A:$C,3,0),0)</f>
        <v>150</v>
      </c>
    </row>
    <row r="543" spans="1:16" x14ac:dyDescent="0.3">
      <c r="A543">
        <f>Raw_Data!A543</f>
        <v>542</v>
      </c>
      <c r="B543" s="2">
        <f>Raw_Data!B543</f>
        <v>44957</v>
      </c>
      <c r="C543">
        <f>YEAR(Raw_Data!B543)</f>
        <v>2023</v>
      </c>
      <c r="D543" t="str">
        <f>IF(MONTH(Raw_Data!B543)&gt;=4,YEAR(Raw_Data!B543)&amp;"-"&amp;RIGHT(YEAR(Raw_Data!B543)+1,2),YEAR(Raw_Data!B543)-1&amp;"-"&amp;RIGHT(YEAR(Raw_Data!B543),2))</f>
        <v>2022-23</v>
      </c>
      <c r="E543" t="str">
        <f>"Q"&amp;ROUNDUP(MONTH(Raw_Data!B543)/3,0)</f>
        <v>Q1</v>
      </c>
      <c r="F543" t="str">
        <f>TEXT(Raw_Data!B543,"mmm")</f>
        <v>Jan</v>
      </c>
      <c r="G543" t="str">
        <f>TEXT(Raw_Data!B543,"ddd")</f>
        <v>Tue</v>
      </c>
      <c r="H543" t="str">
        <f>Raw_Data!D543</f>
        <v>Invoiced</v>
      </c>
      <c r="I543" t="str">
        <f>Raw_Data!F543</f>
        <v>Tele-in</v>
      </c>
      <c r="J543" t="str">
        <f>Raw_Data!G543</f>
        <v>Dealer Webpage Tele-In</v>
      </c>
      <c r="K543" t="str">
        <f>IFERROR(VLOOKUP(J543,Source_Assumptions!$A:$C,2,0),"Unmapped")</f>
        <v>Digital - Owned</v>
      </c>
      <c r="L543" t="str">
        <f>Raw_Data!H543</f>
        <v>AMAZE-PE</v>
      </c>
      <c r="M543" t="str">
        <f>IFERROR(VLOOKUP(L543,Model_Assumptions!$A:$D,2,0),"Unmapped")</f>
        <v>Sub-4m Sedan</v>
      </c>
      <c r="N543" t="str">
        <f>IFERROR(VLOOKUP(L543,Model_Assumptions!$A:$D,3,0),"Unmapped")</f>
        <v>Petrol</v>
      </c>
      <c r="O543">
        <f>IFERROR(VLOOKUP(L543,Model_Assumptions!$A:$D,4,0),0)</f>
        <v>850000</v>
      </c>
      <c r="P543">
        <f>IFERROR(VLOOKUP(J543,Source_Assumptions!$A:$C,3,0),0)</f>
        <v>300</v>
      </c>
    </row>
    <row r="544" spans="1:16" x14ac:dyDescent="0.3">
      <c r="A544">
        <f>Raw_Data!A544</f>
        <v>543</v>
      </c>
      <c r="B544" s="2">
        <f>Raw_Data!B544</f>
        <v>44957</v>
      </c>
      <c r="C544">
        <f>YEAR(Raw_Data!B544)</f>
        <v>2023</v>
      </c>
      <c r="D544" t="str">
        <f>IF(MONTH(Raw_Data!B544)&gt;=4,YEAR(Raw_Data!B544)&amp;"-"&amp;RIGHT(YEAR(Raw_Data!B544)+1,2),YEAR(Raw_Data!B544)-1&amp;"-"&amp;RIGHT(YEAR(Raw_Data!B544),2))</f>
        <v>2022-23</v>
      </c>
      <c r="E544" t="str">
        <f>"Q"&amp;ROUNDUP(MONTH(Raw_Data!B544)/3,0)</f>
        <v>Q1</v>
      </c>
      <c r="F544" t="str">
        <f>TEXT(Raw_Data!B544,"mmm")</f>
        <v>Jan</v>
      </c>
      <c r="G544" t="str">
        <f>TEXT(Raw_Data!B544,"ddd")</f>
        <v>Tue</v>
      </c>
      <c r="H544" t="str">
        <f>Raw_Data!D544</f>
        <v>Invoiced</v>
      </c>
      <c r="I544" t="str">
        <f>Raw_Data!F544</f>
        <v>Walk-in Showroom</v>
      </c>
      <c r="J544" t="str">
        <f>Raw_Data!G544</f>
        <v>UIO Re-purchase</v>
      </c>
      <c r="K544" t="str">
        <f>IFERROR(VLOOKUP(J544,Source_Assumptions!$A:$C,2,0),"Unmapped")</f>
        <v>Existing Customer</v>
      </c>
      <c r="L544" t="str">
        <f>Raw_Data!H544</f>
        <v>AMAZE-PE</v>
      </c>
      <c r="M544" t="str">
        <f>IFERROR(VLOOKUP(L544,Model_Assumptions!$A:$D,2,0),"Unmapped")</f>
        <v>Sub-4m Sedan</v>
      </c>
      <c r="N544" t="str">
        <f>IFERROR(VLOOKUP(L544,Model_Assumptions!$A:$D,3,0),"Unmapped")</f>
        <v>Petrol</v>
      </c>
      <c r="O544">
        <f>IFERROR(VLOOKUP(L544,Model_Assumptions!$A:$D,4,0),0)</f>
        <v>850000</v>
      </c>
      <c r="P544">
        <f>IFERROR(VLOOKUP(J544,Source_Assumptions!$A:$C,3,0),0)</f>
        <v>50</v>
      </c>
    </row>
    <row r="545" spans="1:16" x14ac:dyDescent="0.3">
      <c r="A545">
        <f>Raw_Data!A545</f>
        <v>544</v>
      </c>
      <c r="B545" s="2">
        <f>Raw_Data!B545</f>
        <v>44957</v>
      </c>
      <c r="C545">
        <f>YEAR(Raw_Data!B545)</f>
        <v>2023</v>
      </c>
      <c r="D545" t="str">
        <f>IF(MONTH(Raw_Data!B545)&gt;=4,YEAR(Raw_Data!B545)&amp;"-"&amp;RIGHT(YEAR(Raw_Data!B545)+1,2),YEAR(Raw_Data!B545)-1&amp;"-"&amp;RIGHT(YEAR(Raw_Data!B545),2))</f>
        <v>2022-23</v>
      </c>
      <c r="E545" t="str">
        <f>"Q"&amp;ROUNDUP(MONTH(Raw_Data!B545)/3,0)</f>
        <v>Q1</v>
      </c>
      <c r="F545" t="str">
        <f>TEXT(Raw_Data!B545,"mmm")</f>
        <v>Jan</v>
      </c>
      <c r="G545" t="str">
        <f>TEXT(Raw_Data!B545,"ddd")</f>
        <v>Tue</v>
      </c>
      <c r="H545" t="str">
        <f>Raw_Data!D545</f>
        <v>Invoiced</v>
      </c>
      <c r="I545" t="str">
        <f>Raw_Data!F545</f>
        <v>Walk-in Showroom</v>
      </c>
      <c r="J545" t="str">
        <f>Raw_Data!G545</f>
        <v>UIO Re-purchase</v>
      </c>
      <c r="K545" t="str">
        <f>IFERROR(VLOOKUP(J545,Source_Assumptions!$A:$C,2,0),"Unmapped")</f>
        <v>Existing Customer</v>
      </c>
      <c r="L545" t="str">
        <f>Raw_Data!H545</f>
        <v>AMAZE-PE</v>
      </c>
      <c r="M545" t="str">
        <f>IFERROR(VLOOKUP(L545,Model_Assumptions!$A:$D,2,0),"Unmapped")</f>
        <v>Sub-4m Sedan</v>
      </c>
      <c r="N545" t="str">
        <f>IFERROR(VLOOKUP(L545,Model_Assumptions!$A:$D,3,0),"Unmapped")</f>
        <v>Petrol</v>
      </c>
      <c r="O545">
        <f>IFERROR(VLOOKUP(L545,Model_Assumptions!$A:$D,4,0),0)</f>
        <v>850000</v>
      </c>
      <c r="P545">
        <f>IFERROR(VLOOKUP(J545,Source_Assumptions!$A:$C,3,0),0)</f>
        <v>50</v>
      </c>
    </row>
    <row r="546" spans="1:16" x14ac:dyDescent="0.3">
      <c r="A546">
        <f>Raw_Data!A546</f>
        <v>545</v>
      </c>
      <c r="B546" s="2">
        <f>Raw_Data!B546</f>
        <v>44959</v>
      </c>
      <c r="C546">
        <f>YEAR(Raw_Data!B546)</f>
        <v>2023</v>
      </c>
      <c r="D546" t="str">
        <f>IF(MONTH(Raw_Data!B546)&gt;=4,YEAR(Raw_Data!B546)&amp;"-"&amp;RIGHT(YEAR(Raw_Data!B546)+1,2),YEAR(Raw_Data!B546)-1&amp;"-"&amp;RIGHT(YEAR(Raw_Data!B546),2))</f>
        <v>2022-23</v>
      </c>
      <c r="E546" t="str">
        <f>"Q"&amp;ROUNDUP(MONTH(Raw_Data!B546)/3,0)</f>
        <v>Q1</v>
      </c>
      <c r="F546" t="str">
        <f>TEXT(Raw_Data!B546,"mmm")</f>
        <v>Feb</v>
      </c>
      <c r="G546" t="str">
        <f>TEXT(Raw_Data!B546,"ddd")</f>
        <v>Thu</v>
      </c>
      <c r="H546" t="str">
        <f>Raw_Data!D546</f>
        <v>Invoiced</v>
      </c>
      <c r="I546" t="str">
        <f>Raw_Data!F546</f>
        <v>Walk-in Showroom</v>
      </c>
      <c r="J546" t="str">
        <f>Raw_Data!G546</f>
        <v>Adver. (TVC/Print/Hoarding/FM)</v>
      </c>
      <c r="K546" t="str">
        <f>IFERROR(VLOOKUP(J546,Source_Assumptions!$A:$C,2,0),"Unmapped")</f>
        <v>Traditional Advertising</v>
      </c>
      <c r="L546" t="str">
        <f>Raw_Data!H546</f>
        <v>AMAZE-PE</v>
      </c>
      <c r="M546" t="str">
        <f>IFERROR(VLOOKUP(L546,Model_Assumptions!$A:$D,2,0),"Unmapped")</f>
        <v>Sub-4m Sedan</v>
      </c>
      <c r="N546" t="str">
        <f>IFERROR(VLOOKUP(L546,Model_Assumptions!$A:$D,3,0),"Unmapped")</f>
        <v>Petrol</v>
      </c>
      <c r="O546">
        <f>IFERROR(VLOOKUP(L546,Model_Assumptions!$A:$D,4,0),0)</f>
        <v>850000</v>
      </c>
      <c r="P546">
        <f>IFERROR(VLOOKUP(J546,Source_Assumptions!$A:$C,3,0),0)</f>
        <v>1200</v>
      </c>
    </row>
    <row r="547" spans="1:16" x14ac:dyDescent="0.3">
      <c r="A547">
        <f>Raw_Data!A547</f>
        <v>546</v>
      </c>
      <c r="B547" s="2">
        <f>Raw_Data!B547</f>
        <v>44961</v>
      </c>
      <c r="C547">
        <f>YEAR(Raw_Data!B547)</f>
        <v>2023</v>
      </c>
      <c r="D547" t="str">
        <f>IF(MONTH(Raw_Data!B547)&gt;=4,YEAR(Raw_Data!B547)&amp;"-"&amp;RIGHT(YEAR(Raw_Data!B547)+1,2),YEAR(Raw_Data!B547)-1&amp;"-"&amp;RIGHT(YEAR(Raw_Data!B547),2))</f>
        <v>2022-23</v>
      </c>
      <c r="E547" t="str">
        <f>"Q"&amp;ROUNDUP(MONTH(Raw_Data!B547)/3,0)</f>
        <v>Q1</v>
      </c>
      <c r="F547" t="str">
        <f>TEXT(Raw_Data!B547,"mmm")</f>
        <v>Feb</v>
      </c>
      <c r="G547" t="str">
        <f>TEXT(Raw_Data!B547,"ddd")</f>
        <v>Sat</v>
      </c>
      <c r="H547" t="str">
        <f>Raw_Data!D547</f>
        <v>Invoiced</v>
      </c>
      <c r="I547" t="str">
        <f>Raw_Data!F547</f>
        <v>SMS/ Tele-Out</v>
      </c>
      <c r="J547" t="str">
        <f>Raw_Data!G547</f>
        <v>Adver. (TVC/Print/Hoarding/FM)</v>
      </c>
      <c r="K547" t="str">
        <f>IFERROR(VLOOKUP(J547,Source_Assumptions!$A:$C,2,0),"Unmapped")</f>
        <v>Traditional Advertising</v>
      </c>
      <c r="L547" t="str">
        <f>Raw_Data!H547</f>
        <v>5TH GEN CITY PE</v>
      </c>
      <c r="M547" t="str">
        <f>IFERROR(VLOOKUP(L547,Model_Assumptions!$A:$D,2,0),"Unmapped")</f>
        <v>Mid-size Sedan</v>
      </c>
      <c r="N547" t="str">
        <f>IFERROR(VLOOKUP(L547,Model_Assumptions!$A:$D,3,0),"Unmapped")</f>
        <v>Petrol</v>
      </c>
      <c r="O547">
        <f>IFERROR(VLOOKUP(L547,Model_Assumptions!$A:$D,4,0),0)</f>
        <v>1250000</v>
      </c>
      <c r="P547">
        <f>IFERROR(VLOOKUP(J547,Source_Assumptions!$A:$C,3,0),0)</f>
        <v>1200</v>
      </c>
    </row>
    <row r="548" spans="1:16" x14ac:dyDescent="0.3">
      <c r="A548">
        <f>Raw_Data!A548</f>
        <v>547</v>
      </c>
      <c r="B548" s="2">
        <f>Raw_Data!B548</f>
        <v>44963</v>
      </c>
      <c r="C548">
        <f>YEAR(Raw_Data!B548)</f>
        <v>2023</v>
      </c>
      <c r="D548" t="str">
        <f>IF(MONTH(Raw_Data!B548)&gt;=4,YEAR(Raw_Data!B548)&amp;"-"&amp;RIGHT(YEAR(Raw_Data!B548)+1,2),YEAR(Raw_Data!B548)-1&amp;"-"&amp;RIGHT(YEAR(Raw_Data!B548),2))</f>
        <v>2022-23</v>
      </c>
      <c r="E548" t="str">
        <f>"Q"&amp;ROUNDUP(MONTH(Raw_Data!B548)/3,0)</f>
        <v>Q1</v>
      </c>
      <c r="F548" t="str">
        <f>TEXT(Raw_Data!B548,"mmm")</f>
        <v>Feb</v>
      </c>
      <c r="G548" t="str">
        <f>TEXT(Raw_Data!B548,"ddd")</f>
        <v>Mon</v>
      </c>
      <c r="H548" t="str">
        <f>Raw_Data!D548</f>
        <v>Invoiced</v>
      </c>
      <c r="I548" t="str">
        <f>Raw_Data!F548</f>
        <v>Tele-in</v>
      </c>
      <c r="J548" t="str">
        <f>Raw_Data!G548</f>
        <v>Referral-CAM</v>
      </c>
      <c r="K548" t="str">
        <f>IFERROR(VLOOKUP(J548,Source_Assumptions!$A:$C,2,0),"Unmapped")</f>
        <v>Referral</v>
      </c>
      <c r="L548" t="str">
        <f>Raw_Data!H548</f>
        <v>5TH GEN CITY PE</v>
      </c>
      <c r="M548" t="str">
        <f>IFERROR(VLOOKUP(L548,Model_Assumptions!$A:$D,2,0),"Unmapped")</f>
        <v>Mid-size Sedan</v>
      </c>
      <c r="N548" t="str">
        <f>IFERROR(VLOOKUP(L548,Model_Assumptions!$A:$D,3,0),"Unmapped")</f>
        <v>Petrol</v>
      </c>
      <c r="O548">
        <f>IFERROR(VLOOKUP(L548,Model_Assumptions!$A:$D,4,0),0)</f>
        <v>1250000</v>
      </c>
      <c r="P548">
        <f>IFERROR(VLOOKUP(J548,Source_Assumptions!$A:$C,3,0),0)</f>
        <v>150</v>
      </c>
    </row>
    <row r="549" spans="1:16" x14ac:dyDescent="0.3">
      <c r="A549">
        <f>Raw_Data!A549</f>
        <v>548</v>
      </c>
      <c r="B549" s="2">
        <f>Raw_Data!B549</f>
        <v>44965</v>
      </c>
      <c r="C549">
        <f>YEAR(Raw_Data!B549)</f>
        <v>2023</v>
      </c>
      <c r="D549" t="str">
        <f>IF(MONTH(Raw_Data!B549)&gt;=4,YEAR(Raw_Data!B549)&amp;"-"&amp;RIGHT(YEAR(Raw_Data!B549)+1,2),YEAR(Raw_Data!B549)-1&amp;"-"&amp;RIGHT(YEAR(Raw_Data!B549),2))</f>
        <v>2022-23</v>
      </c>
      <c r="E549" t="str">
        <f>"Q"&amp;ROUNDUP(MONTH(Raw_Data!B549)/3,0)</f>
        <v>Q1</v>
      </c>
      <c r="F549" t="str">
        <f>TEXT(Raw_Data!B549,"mmm")</f>
        <v>Feb</v>
      </c>
      <c r="G549" t="str">
        <f>TEXT(Raw_Data!B549,"ddd")</f>
        <v>Wed</v>
      </c>
      <c r="H549" t="str">
        <f>Raw_Data!D549</f>
        <v>Invoiced</v>
      </c>
      <c r="I549" t="str">
        <f>Raw_Data!F549</f>
        <v>SMS/ Tele-Out</v>
      </c>
      <c r="J549" t="str">
        <f>Raw_Data!G549</f>
        <v>Database Activity(Teleout/SMS)</v>
      </c>
      <c r="K549" t="str">
        <f>IFERROR(VLOOKUP(J549,Source_Assumptions!$A:$C,2,0),"Unmapped")</f>
        <v>Outbound/Database</v>
      </c>
      <c r="L549" t="str">
        <f>Raw_Data!H549</f>
        <v>5TH GEN CITY DE</v>
      </c>
      <c r="M549" t="str">
        <f>IFERROR(VLOOKUP(L549,Model_Assumptions!$A:$D,2,0),"Unmapped")</f>
        <v>Mid-size Sedan</v>
      </c>
      <c r="N549" t="str">
        <f>IFERROR(VLOOKUP(L549,Model_Assumptions!$A:$D,3,0),"Unmapped")</f>
        <v>Diesel</v>
      </c>
      <c r="O549">
        <f>IFERROR(VLOOKUP(L549,Model_Assumptions!$A:$D,4,0),0)</f>
        <v>1350000</v>
      </c>
      <c r="P549">
        <f>IFERROR(VLOOKUP(J549,Source_Assumptions!$A:$C,3,0),0)</f>
        <v>250</v>
      </c>
    </row>
    <row r="550" spans="1:16" x14ac:dyDescent="0.3">
      <c r="A550">
        <f>Raw_Data!A550</f>
        <v>549</v>
      </c>
      <c r="B550" s="2">
        <f>Raw_Data!B550</f>
        <v>44965</v>
      </c>
      <c r="C550">
        <f>YEAR(Raw_Data!B550)</f>
        <v>2023</v>
      </c>
      <c r="D550" t="str">
        <f>IF(MONTH(Raw_Data!B550)&gt;=4,YEAR(Raw_Data!B550)&amp;"-"&amp;RIGHT(YEAR(Raw_Data!B550)+1,2),YEAR(Raw_Data!B550)-1&amp;"-"&amp;RIGHT(YEAR(Raw_Data!B550),2))</f>
        <v>2022-23</v>
      </c>
      <c r="E550" t="str">
        <f>"Q"&amp;ROUNDUP(MONTH(Raw_Data!B550)/3,0)</f>
        <v>Q1</v>
      </c>
      <c r="F550" t="str">
        <f>TEXT(Raw_Data!B550,"mmm")</f>
        <v>Feb</v>
      </c>
      <c r="G550" t="str">
        <f>TEXT(Raw_Data!B550,"ddd")</f>
        <v>Wed</v>
      </c>
      <c r="H550" t="str">
        <f>Raw_Data!D550</f>
        <v>Invoiced</v>
      </c>
      <c r="I550" t="str">
        <f>Raw_Data!F550</f>
        <v>Web Lead</v>
      </c>
      <c r="J550" t="str">
        <f>Raw_Data!G550</f>
        <v>Web</v>
      </c>
      <c r="K550" t="str">
        <f>IFERROR(VLOOKUP(J550,Source_Assumptions!$A:$C,2,0),"Unmapped")</f>
        <v>Digital - Owned</v>
      </c>
      <c r="L550" t="str">
        <f>Raw_Data!H550</f>
        <v>5TH GEN CITY PE</v>
      </c>
      <c r="M550" t="str">
        <f>IFERROR(VLOOKUP(L550,Model_Assumptions!$A:$D,2,0),"Unmapped")</f>
        <v>Mid-size Sedan</v>
      </c>
      <c r="N550" t="str">
        <f>IFERROR(VLOOKUP(L550,Model_Assumptions!$A:$D,3,0),"Unmapped")</f>
        <v>Petrol</v>
      </c>
      <c r="O550">
        <f>IFERROR(VLOOKUP(L550,Model_Assumptions!$A:$D,4,0),0)</f>
        <v>1250000</v>
      </c>
      <c r="P550">
        <f>IFERROR(VLOOKUP(J550,Source_Assumptions!$A:$C,3,0),0)</f>
        <v>300</v>
      </c>
    </row>
    <row r="551" spans="1:16" x14ac:dyDescent="0.3">
      <c r="A551">
        <f>Raw_Data!A551</f>
        <v>550</v>
      </c>
      <c r="B551" s="2">
        <f>Raw_Data!B551</f>
        <v>44966</v>
      </c>
      <c r="C551">
        <f>YEAR(Raw_Data!B551)</f>
        <v>2023</v>
      </c>
      <c r="D551" t="str">
        <f>IF(MONTH(Raw_Data!B551)&gt;=4,YEAR(Raw_Data!B551)&amp;"-"&amp;RIGHT(YEAR(Raw_Data!B551)+1,2),YEAR(Raw_Data!B551)-1&amp;"-"&amp;RIGHT(YEAR(Raw_Data!B551),2))</f>
        <v>2022-23</v>
      </c>
      <c r="E551" t="str">
        <f>"Q"&amp;ROUNDUP(MONTH(Raw_Data!B551)/3,0)</f>
        <v>Q1</v>
      </c>
      <c r="F551" t="str">
        <f>TEXT(Raw_Data!B551,"mmm")</f>
        <v>Feb</v>
      </c>
      <c r="G551" t="str">
        <f>TEXT(Raw_Data!B551,"ddd")</f>
        <v>Thu</v>
      </c>
      <c r="H551" t="str">
        <f>Raw_Data!D551</f>
        <v>Invoiced</v>
      </c>
      <c r="I551" t="str">
        <f>Raw_Data!F551</f>
        <v>Tele-in</v>
      </c>
      <c r="J551" t="str">
        <f>Raw_Data!G551</f>
        <v>Dealer Webpage Tele-In</v>
      </c>
      <c r="K551" t="str">
        <f>IFERROR(VLOOKUP(J551,Source_Assumptions!$A:$C,2,0),"Unmapped")</f>
        <v>Digital - Owned</v>
      </c>
      <c r="L551" t="str">
        <f>Raw_Data!H551</f>
        <v>5TH GEN CITY PE</v>
      </c>
      <c r="M551" t="str">
        <f>IFERROR(VLOOKUP(L551,Model_Assumptions!$A:$D,2,0),"Unmapped")</f>
        <v>Mid-size Sedan</v>
      </c>
      <c r="N551" t="str">
        <f>IFERROR(VLOOKUP(L551,Model_Assumptions!$A:$D,3,0),"Unmapped")</f>
        <v>Petrol</v>
      </c>
      <c r="O551">
        <f>IFERROR(VLOOKUP(L551,Model_Assumptions!$A:$D,4,0),0)</f>
        <v>1250000</v>
      </c>
      <c r="P551">
        <f>IFERROR(VLOOKUP(J551,Source_Assumptions!$A:$C,3,0),0)</f>
        <v>300</v>
      </c>
    </row>
    <row r="552" spans="1:16" x14ac:dyDescent="0.3">
      <c r="A552">
        <f>Raw_Data!A552</f>
        <v>551</v>
      </c>
      <c r="B552" s="2">
        <f>Raw_Data!B552</f>
        <v>44966</v>
      </c>
      <c r="C552">
        <f>YEAR(Raw_Data!B552)</f>
        <v>2023</v>
      </c>
      <c r="D552" t="str">
        <f>IF(MONTH(Raw_Data!B552)&gt;=4,YEAR(Raw_Data!B552)&amp;"-"&amp;RIGHT(YEAR(Raw_Data!B552)+1,2),YEAR(Raw_Data!B552)-1&amp;"-"&amp;RIGHT(YEAR(Raw_Data!B552),2))</f>
        <v>2022-23</v>
      </c>
      <c r="E552" t="str">
        <f>"Q"&amp;ROUNDUP(MONTH(Raw_Data!B552)/3,0)</f>
        <v>Q1</v>
      </c>
      <c r="F552" t="str">
        <f>TEXT(Raw_Data!B552,"mmm")</f>
        <v>Feb</v>
      </c>
      <c r="G552" t="str">
        <f>TEXT(Raw_Data!B552,"ddd")</f>
        <v>Thu</v>
      </c>
      <c r="H552" t="str">
        <f>Raw_Data!D552</f>
        <v>Invoiced</v>
      </c>
      <c r="I552" t="str">
        <f>Raw_Data!F552</f>
        <v>Web Lead</v>
      </c>
      <c r="J552" t="str">
        <f>Raw_Data!G552</f>
        <v>Web_Organic</v>
      </c>
      <c r="K552" t="str">
        <f>IFERROR(VLOOKUP(J552,Source_Assumptions!$A:$C,2,0),"Unmapped")</f>
        <v>Digital - Organic</v>
      </c>
      <c r="L552" t="str">
        <f>Raw_Data!H552</f>
        <v>AMAZE-PE</v>
      </c>
      <c r="M552" t="str">
        <f>IFERROR(VLOOKUP(L552,Model_Assumptions!$A:$D,2,0),"Unmapped")</f>
        <v>Sub-4m Sedan</v>
      </c>
      <c r="N552" t="str">
        <f>IFERROR(VLOOKUP(L552,Model_Assumptions!$A:$D,3,0),"Unmapped")</f>
        <v>Petrol</v>
      </c>
      <c r="O552">
        <f>IFERROR(VLOOKUP(L552,Model_Assumptions!$A:$D,4,0),0)</f>
        <v>850000</v>
      </c>
      <c r="P552">
        <f>IFERROR(VLOOKUP(J552,Source_Assumptions!$A:$C,3,0),0)</f>
        <v>100</v>
      </c>
    </row>
    <row r="553" spans="1:16" x14ac:dyDescent="0.3">
      <c r="A553">
        <f>Raw_Data!A553</f>
        <v>552</v>
      </c>
      <c r="B553" s="2">
        <f>Raw_Data!B553</f>
        <v>44966</v>
      </c>
      <c r="C553">
        <f>YEAR(Raw_Data!B553)</f>
        <v>2023</v>
      </c>
      <c r="D553" t="str">
        <f>IF(MONTH(Raw_Data!B553)&gt;=4,YEAR(Raw_Data!B553)&amp;"-"&amp;RIGHT(YEAR(Raw_Data!B553)+1,2),YEAR(Raw_Data!B553)-1&amp;"-"&amp;RIGHT(YEAR(Raw_Data!B553),2))</f>
        <v>2022-23</v>
      </c>
      <c r="E553" t="str">
        <f>"Q"&amp;ROUNDUP(MONTH(Raw_Data!B553)/3,0)</f>
        <v>Q1</v>
      </c>
      <c r="F553" t="str">
        <f>TEXT(Raw_Data!B553,"mmm")</f>
        <v>Feb</v>
      </c>
      <c r="G553" t="str">
        <f>TEXT(Raw_Data!B553,"ddd")</f>
        <v>Thu</v>
      </c>
      <c r="H553" t="str">
        <f>Raw_Data!D553</f>
        <v>Invoiced</v>
      </c>
      <c r="I553" t="str">
        <f>Raw_Data!F553</f>
        <v>Web Lead</v>
      </c>
      <c r="J553" t="str">
        <f>Raw_Data!G553</f>
        <v>Web</v>
      </c>
      <c r="K553" t="str">
        <f>IFERROR(VLOOKUP(J553,Source_Assumptions!$A:$C,2,0),"Unmapped")</f>
        <v>Digital - Owned</v>
      </c>
      <c r="L553" t="str">
        <f>Raw_Data!H553</f>
        <v>5TH GEN CITY PE</v>
      </c>
      <c r="M553" t="str">
        <f>IFERROR(VLOOKUP(L553,Model_Assumptions!$A:$D,2,0),"Unmapped")</f>
        <v>Mid-size Sedan</v>
      </c>
      <c r="N553" t="str">
        <f>IFERROR(VLOOKUP(L553,Model_Assumptions!$A:$D,3,0),"Unmapped")</f>
        <v>Petrol</v>
      </c>
      <c r="O553">
        <f>IFERROR(VLOOKUP(L553,Model_Assumptions!$A:$D,4,0),0)</f>
        <v>1250000</v>
      </c>
      <c r="P553">
        <f>IFERROR(VLOOKUP(J553,Source_Assumptions!$A:$C,3,0),0)</f>
        <v>300</v>
      </c>
    </row>
    <row r="554" spans="1:16" x14ac:dyDescent="0.3">
      <c r="A554">
        <f>Raw_Data!A554</f>
        <v>553</v>
      </c>
      <c r="B554" s="2">
        <f>Raw_Data!B554</f>
        <v>44967</v>
      </c>
      <c r="C554">
        <f>YEAR(Raw_Data!B554)</f>
        <v>2023</v>
      </c>
      <c r="D554" t="str">
        <f>IF(MONTH(Raw_Data!B554)&gt;=4,YEAR(Raw_Data!B554)&amp;"-"&amp;RIGHT(YEAR(Raw_Data!B554)+1,2),YEAR(Raw_Data!B554)-1&amp;"-"&amp;RIGHT(YEAR(Raw_Data!B554),2))</f>
        <v>2022-23</v>
      </c>
      <c r="E554" t="str">
        <f>"Q"&amp;ROUNDUP(MONTH(Raw_Data!B554)/3,0)</f>
        <v>Q1</v>
      </c>
      <c r="F554" t="str">
        <f>TEXT(Raw_Data!B554,"mmm")</f>
        <v>Feb</v>
      </c>
      <c r="G554" t="str">
        <f>TEXT(Raw_Data!B554,"ddd")</f>
        <v>Fri</v>
      </c>
      <c r="H554" t="str">
        <f>Raw_Data!D554</f>
        <v>Invoiced</v>
      </c>
      <c r="I554" t="str">
        <f>Raw_Data!F554</f>
        <v>Tele-in</v>
      </c>
      <c r="J554" t="str">
        <f>Raw_Data!G554</f>
        <v>Referral-CAM</v>
      </c>
      <c r="K554" t="str">
        <f>IFERROR(VLOOKUP(J554,Source_Assumptions!$A:$C,2,0),"Unmapped")</f>
        <v>Referral</v>
      </c>
      <c r="L554" t="str">
        <f>Raw_Data!H554</f>
        <v>5TH GEN CITY PE</v>
      </c>
      <c r="M554" t="str">
        <f>IFERROR(VLOOKUP(L554,Model_Assumptions!$A:$D,2,0),"Unmapped")</f>
        <v>Mid-size Sedan</v>
      </c>
      <c r="N554" t="str">
        <f>IFERROR(VLOOKUP(L554,Model_Assumptions!$A:$D,3,0),"Unmapped")</f>
        <v>Petrol</v>
      </c>
      <c r="O554">
        <f>IFERROR(VLOOKUP(L554,Model_Assumptions!$A:$D,4,0),0)</f>
        <v>1250000</v>
      </c>
      <c r="P554">
        <f>IFERROR(VLOOKUP(J554,Source_Assumptions!$A:$C,3,0),0)</f>
        <v>150</v>
      </c>
    </row>
    <row r="555" spans="1:16" x14ac:dyDescent="0.3">
      <c r="A555">
        <f>Raw_Data!A555</f>
        <v>554</v>
      </c>
      <c r="B555" s="2">
        <f>Raw_Data!B555</f>
        <v>44967</v>
      </c>
      <c r="C555">
        <f>YEAR(Raw_Data!B555)</f>
        <v>2023</v>
      </c>
      <c r="D555" t="str">
        <f>IF(MONTH(Raw_Data!B555)&gt;=4,YEAR(Raw_Data!B555)&amp;"-"&amp;RIGHT(YEAR(Raw_Data!B555)+1,2),YEAR(Raw_Data!B555)-1&amp;"-"&amp;RIGHT(YEAR(Raw_Data!B555),2))</f>
        <v>2022-23</v>
      </c>
      <c r="E555" t="str">
        <f>"Q"&amp;ROUNDUP(MONTH(Raw_Data!B555)/3,0)</f>
        <v>Q1</v>
      </c>
      <c r="F555" t="str">
        <f>TEXT(Raw_Data!B555,"mmm")</f>
        <v>Feb</v>
      </c>
      <c r="G555" t="str">
        <f>TEXT(Raw_Data!B555,"ddd")</f>
        <v>Fri</v>
      </c>
      <c r="H555" t="str">
        <f>Raw_Data!D555</f>
        <v>Invoiced</v>
      </c>
      <c r="I555" t="str">
        <f>Raw_Data!F555</f>
        <v>Web Lead</v>
      </c>
      <c r="J555" t="str">
        <f>Raw_Data!G555</f>
        <v>Web</v>
      </c>
      <c r="K555" t="str">
        <f>IFERROR(VLOOKUP(J555,Source_Assumptions!$A:$C,2,0),"Unmapped")</f>
        <v>Digital - Owned</v>
      </c>
      <c r="L555" t="str">
        <f>Raw_Data!H555</f>
        <v>CITY PE</v>
      </c>
      <c r="M555" t="str">
        <f>IFERROR(VLOOKUP(L555,Model_Assumptions!$A:$D,2,0),"Unmapped")</f>
        <v>Mid-size Sedan</v>
      </c>
      <c r="N555" t="str">
        <f>IFERROR(VLOOKUP(L555,Model_Assumptions!$A:$D,3,0),"Unmapped")</f>
        <v>Petrol</v>
      </c>
      <c r="O555">
        <f>IFERROR(VLOOKUP(L555,Model_Assumptions!$A:$D,4,0),0)</f>
        <v>1100000</v>
      </c>
      <c r="P555">
        <f>IFERROR(VLOOKUP(J555,Source_Assumptions!$A:$C,3,0),0)</f>
        <v>300</v>
      </c>
    </row>
    <row r="556" spans="1:16" x14ac:dyDescent="0.3">
      <c r="A556">
        <f>Raw_Data!A556</f>
        <v>555</v>
      </c>
      <c r="B556" s="2">
        <f>Raw_Data!B556</f>
        <v>44970</v>
      </c>
      <c r="C556">
        <f>YEAR(Raw_Data!B556)</f>
        <v>2023</v>
      </c>
      <c r="D556" t="str">
        <f>IF(MONTH(Raw_Data!B556)&gt;=4,YEAR(Raw_Data!B556)&amp;"-"&amp;RIGHT(YEAR(Raw_Data!B556)+1,2),YEAR(Raw_Data!B556)-1&amp;"-"&amp;RIGHT(YEAR(Raw_Data!B556),2))</f>
        <v>2022-23</v>
      </c>
      <c r="E556" t="str">
        <f>"Q"&amp;ROUNDUP(MONTH(Raw_Data!B556)/3,0)</f>
        <v>Q1</v>
      </c>
      <c r="F556" t="str">
        <f>TEXT(Raw_Data!B556,"mmm")</f>
        <v>Feb</v>
      </c>
      <c r="G556" t="str">
        <f>TEXT(Raw_Data!B556,"ddd")</f>
        <v>Mon</v>
      </c>
      <c r="H556" t="str">
        <f>Raw_Data!D556</f>
        <v>Invoiced</v>
      </c>
      <c r="I556" t="str">
        <f>Raw_Data!F556</f>
        <v>SMS/ Tele-Out</v>
      </c>
      <c r="J556" t="str">
        <f>Raw_Data!G556</f>
        <v>Database Activity(Teleout/SMS)</v>
      </c>
      <c r="K556" t="str">
        <f>IFERROR(VLOOKUP(J556,Source_Assumptions!$A:$C,2,0),"Unmapped")</f>
        <v>Outbound/Database</v>
      </c>
      <c r="L556" t="str">
        <f>Raw_Data!H556</f>
        <v>AMAZE-PE</v>
      </c>
      <c r="M556" t="str">
        <f>IFERROR(VLOOKUP(L556,Model_Assumptions!$A:$D,2,0),"Unmapped")</f>
        <v>Sub-4m Sedan</v>
      </c>
      <c r="N556" t="str">
        <f>IFERROR(VLOOKUP(L556,Model_Assumptions!$A:$D,3,0),"Unmapped")</f>
        <v>Petrol</v>
      </c>
      <c r="O556">
        <f>IFERROR(VLOOKUP(L556,Model_Assumptions!$A:$D,4,0),0)</f>
        <v>850000</v>
      </c>
      <c r="P556">
        <f>IFERROR(VLOOKUP(J556,Source_Assumptions!$A:$C,3,0),0)</f>
        <v>250</v>
      </c>
    </row>
    <row r="557" spans="1:16" x14ac:dyDescent="0.3">
      <c r="A557">
        <f>Raw_Data!A557</f>
        <v>556</v>
      </c>
      <c r="B557" s="2">
        <f>Raw_Data!B557</f>
        <v>44970</v>
      </c>
      <c r="C557">
        <f>YEAR(Raw_Data!B557)</f>
        <v>2023</v>
      </c>
      <c r="D557" t="str">
        <f>IF(MONTH(Raw_Data!B557)&gt;=4,YEAR(Raw_Data!B557)&amp;"-"&amp;RIGHT(YEAR(Raw_Data!B557)+1,2),YEAR(Raw_Data!B557)-1&amp;"-"&amp;RIGHT(YEAR(Raw_Data!B557),2))</f>
        <v>2022-23</v>
      </c>
      <c r="E557" t="str">
        <f>"Q"&amp;ROUNDUP(MONTH(Raw_Data!B557)/3,0)</f>
        <v>Q1</v>
      </c>
      <c r="F557" t="str">
        <f>TEXT(Raw_Data!B557,"mmm")</f>
        <v>Feb</v>
      </c>
      <c r="G557" t="str">
        <f>TEXT(Raw_Data!B557,"ddd")</f>
        <v>Mon</v>
      </c>
      <c r="H557" t="str">
        <f>Raw_Data!D557</f>
        <v>Invoiced</v>
      </c>
      <c r="I557" t="str">
        <f>Raw_Data!F557</f>
        <v>Web Lead</v>
      </c>
      <c r="J557" t="str">
        <f>Raw_Data!G557</f>
        <v>Web</v>
      </c>
      <c r="K557" t="str">
        <f>IFERROR(VLOOKUP(J557,Source_Assumptions!$A:$C,2,0),"Unmapped")</f>
        <v>Digital - Owned</v>
      </c>
      <c r="L557" t="str">
        <f>Raw_Data!H557</f>
        <v>AMAZE-PE</v>
      </c>
      <c r="M557" t="str">
        <f>IFERROR(VLOOKUP(L557,Model_Assumptions!$A:$D,2,0),"Unmapped")</f>
        <v>Sub-4m Sedan</v>
      </c>
      <c r="N557" t="str">
        <f>IFERROR(VLOOKUP(L557,Model_Assumptions!$A:$D,3,0),"Unmapped")</f>
        <v>Petrol</v>
      </c>
      <c r="O557">
        <f>IFERROR(VLOOKUP(L557,Model_Assumptions!$A:$D,4,0),0)</f>
        <v>850000</v>
      </c>
      <c r="P557">
        <f>IFERROR(VLOOKUP(J557,Source_Assumptions!$A:$C,3,0),0)</f>
        <v>300</v>
      </c>
    </row>
    <row r="558" spans="1:16" x14ac:dyDescent="0.3">
      <c r="A558">
        <f>Raw_Data!A558</f>
        <v>557</v>
      </c>
      <c r="B558" s="2">
        <f>Raw_Data!B558</f>
        <v>44970</v>
      </c>
      <c r="C558">
        <f>YEAR(Raw_Data!B558)</f>
        <v>2023</v>
      </c>
      <c r="D558" t="str">
        <f>IF(MONTH(Raw_Data!B558)&gt;=4,YEAR(Raw_Data!B558)&amp;"-"&amp;RIGHT(YEAR(Raw_Data!B558)+1,2),YEAR(Raw_Data!B558)-1&amp;"-"&amp;RIGHT(YEAR(Raw_Data!B558),2))</f>
        <v>2022-23</v>
      </c>
      <c r="E558" t="str">
        <f>"Q"&amp;ROUNDUP(MONTH(Raw_Data!B558)/3,0)</f>
        <v>Q1</v>
      </c>
      <c r="F558" t="str">
        <f>TEXT(Raw_Data!B558,"mmm")</f>
        <v>Feb</v>
      </c>
      <c r="G558" t="str">
        <f>TEXT(Raw_Data!B558,"ddd")</f>
        <v>Mon</v>
      </c>
      <c r="H558" t="str">
        <f>Raw_Data!D558</f>
        <v>Invoiced</v>
      </c>
      <c r="I558" t="str">
        <f>Raw_Data!F558</f>
        <v>Tele-in</v>
      </c>
      <c r="J558" t="str">
        <f>Raw_Data!G558</f>
        <v>Dealer Webpage Tele-In</v>
      </c>
      <c r="K558" t="str">
        <f>IFERROR(VLOOKUP(J558,Source_Assumptions!$A:$C,2,0),"Unmapped")</f>
        <v>Digital - Owned</v>
      </c>
      <c r="L558" t="str">
        <f>Raw_Data!H558</f>
        <v>5TH GEN CITY PE</v>
      </c>
      <c r="M558" t="str">
        <f>IFERROR(VLOOKUP(L558,Model_Assumptions!$A:$D,2,0),"Unmapped")</f>
        <v>Mid-size Sedan</v>
      </c>
      <c r="N558" t="str">
        <f>IFERROR(VLOOKUP(L558,Model_Assumptions!$A:$D,3,0),"Unmapped")</f>
        <v>Petrol</v>
      </c>
      <c r="O558">
        <f>IFERROR(VLOOKUP(L558,Model_Assumptions!$A:$D,4,0),0)</f>
        <v>1250000</v>
      </c>
      <c r="P558">
        <f>IFERROR(VLOOKUP(J558,Source_Assumptions!$A:$C,3,0),0)</f>
        <v>300</v>
      </c>
    </row>
    <row r="559" spans="1:16" x14ac:dyDescent="0.3">
      <c r="A559">
        <f>Raw_Data!A559</f>
        <v>558</v>
      </c>
      <c r="B559" s="2">
        <f>Raw_Data!B559</f>
        <v>44971</v>
      </c>
      <c r="C559">
        <f>YEAR(Raw_Data!B559)</f>
        <v>2023</v>
      </c>
      <c r="D559" t="str">
        <f>IF(MONTH(Raw_Data!B559)&gt;=4,YEAR(Raw_Data!B559)&amp;"-"&amp;RIGHT(YEAR(Raw_Data!B559)+1,2),YEAR(Raw_Data!B559)-1&amp;"-"&amp;RIGHT(YEAR(Raw_Data!B559),2))</f>
        <v>2022-23</v>
      </c>
      <c r="E559" t="str">
        <f>"Q"&amp;ROUNDUP(MONTH(Raw_Data!B559)/3,0)</f>
        <v>Q1</v>
      </c>
      <c r="F559" t="str">
        <f>TEXT(Raw_Data!B559,"mmm")</f>
        <v>Feb</v>
      </c>
      <c r="G559" t="str">
        <f>TEXT(Raw_Data!B559,"ddd")</f>
        <v>Tue</v>
      </c>
      <c r="H559" t="str">
        <f>Raw_Data!D559</f>
        <v>Invoiced</v>
      </c>
      <c r="I559" t="str">
        <f>Raw_Data!F559</f>
        <v>Tele-in</v>
      </c>
      <c r="J559" t="str">
        <f>Raw_Data!G559</f>
        <v>Referral-CAM</v>
      </c>
      <c r="K559" t="str">
        <f>IFERROR(VLOOKUP(J559,Source_Assumptions!$A:$C,2,0),"Unmapped")</f>
        <v>Referral</v>
      </c>
      <c r="L559" t="str">
        <f>Raw_Data!H559</f>
        <v>AMAZE-PE</v>
      </c>
      <c r="M559" t="str">
        <f>IFERROR(VLOOKUP(L559,Model_Assumptions!$A:$D,2,0),"Unmapped")</f>
        <v>Sub-4m Sedan</v>
      </c>
      <c r="N559" t="str">
        <f>IFERROR(VLOOKUP(L559,Model_Assumptions!$A:$D,3,0),"Unmapped")</f>
        <v>Petrol</v>
      </c>
      <c r="O559">
        <f>IFERROR(VLOOKUP(L559,Model_Assumptions!$A:$D,4,0),0)</f>
        <v>850000</v>
      </c>
      <c r="P559">
        <f>IFERROR(VLOOKUP(J559,Source_Assumptions!$A:$C,3,0),0)</f>
        <v>150</v>
      </c>
    </row>
    <row r="560" spans="1:16" x14ac:dyDescent="0.3">
      <c r="A560">
        <f>Raw_Data!A560</f>
        <v>559</v>
      </c>
      <c r="B560" s="2">
        <f>Raw_Data!B560</f>
        <v>44971</v>
      </c>
      <c r="C560">
        <f>YEAR(Raw_Data!B560)</f>
        <v>2023</v>
      </c>
      <c r="D560" t="str">
        <f>IF(MONTH(Raw_Data!B560)&gt;=4,YEAR(Raw_Data!B560)&amp;"-"&amp;RIGHT(YEAR(Raw_Data!B560)+1,2),YEAR(Raw_Data!B560)-1&amp;"-"&amp;RIGHT(YEAR(Raw_Data!B560),2))</f>
        <v>2022-23</v>
      </c>
      <c r="E560" t="str">
        <f>"Q"&amp;ROUNDUP(MONTH(Raw_Data!B560)/3,0)</f>
        <v>Q1</v>
      </c>
      <c r="F560" t="str">
        <f>TEXT(Raw_Data!B560,"mmm")</f>
        <v>Feb</v>
      </c>
      <c r="G560" t="str">
        <f>TEXT(Raw_Data!B560,"ddd")</f>
        <v>Tue</v>
      </c>
      <c r="H560" t="str">
        <f>Raw_Data!D560</f>
        <v>Invoiced</v>
      </c>
      <c r="I560" t="str">
        <f>Raw_Data!F560</f>
        <v>Tele-in</v>
      </c>
      <c r="J560" t="str">
        <f>Raw_Data!G560</f>
        <v>Referral-CAM</v>
      </c>
      <c r="K560" t="str">
        <f>IFERROR(VLOOKUP(J560,Source_Assumptions!$A:$C,2,0),"Unmapped")</f>
        <v>Referral</v>
      </c>
      <c r="L560" t="str">
        <f>Raw_Data!H560</f>
        <v>AMAZE-PE</v>
      </c>
      <c r="M560" t="str">
        <f>IFERROR(VLOOKUP(L560,Model_Assumptions!$A:$D,2,0),"Unmapped")</f>
        <v>Sub-4m Sedan</v>
      </c>
      <c r="N560" t="str">
        <f>IFERROR(VLOOKUP(L560,Model_Assumptions!$A:$D,3,0),"Unmapped")</f>
        <v>Petrol</v>
      </c>
      <c r="O560">
        <f>IFERROR(VLOOKUP(L560,Model_Assumptions!$A:$D,4,0),0)</f>
        <v>850000</v>
      </c>
      <c r="P560">
        <f>IFERROR(VLOOKUP(J560,Source_Assumptions!$A:$C,3,0),0)</f>
        <v>150</v>
      </c>
    </row>
    <row r="561" spans="1:16" x14ac:dyDescent="0.3">
      <c r="A561">
        <f>Raw_Data!A561</f>
        <v>560</v>
      </c>
      <c r="B561" s="2">
        <f>Raw_Data!B561</f>
        <v>44972</v>
      </c>
      <c r="C561">
        <f>YEAR(Raw_Data!B561)</f>
        <v>2023</v>
      </c>
      <c r="D561" t="str">
        <f>IF(MONTH(Raw_Data!B561)&gt;=4,YEAR(Raw_Data!B561)&amp;"-"&amp;RIGHT(YEAR(Raw_Data!B561)+1,2),YEAR(Raw_Data!B561)-1&amp;"-"&amp;RIGHT(YEAR(Raw_Data!B561),2))</f>
        <v>2022-23</v>
      </c>
      <c r="E561" t="str">
        <f>"Q"&amp;ROUNDUP(MONTH(Raw_Data!B561)/3,0)</f>
        <v>Q1</v>
      </c>
      <c r="F561" t="str">
        <f>TEXT(Raw_Data!B561,"mmm")</f>
        <v>Feb</v>
      </c>
      <c r="G561" t="str">
        <f>TEXT(Raw_Data!B561,"ddd")</f>
        <v>Wed</v>
      </c>
      <c r="H561" t="str">
        <f>Raw_Data!D561</f>
        <v>Invoiced</v>
      </c>
      <c r="I561" t="str">
        <f>Raw_Data!F561</f>
        <v>Tele-in</v>
      </c>
      <c r="J561" t="str">
        <f>Raw_Data!G561</f>
        <v>Dealer Webpage Tele-In</v>
      </c>
      <c r="K561" t="str">
        <f>IFERROR(VLOOKUP(J561,Source_Assumptions!$A:$C,2,0),"Unmapped")</f>
        <v>Digital - Owned</v>
      </c>
      <c r="L561" t="str">
        <f>Raw_Data!H561</f>
        <v>AMAZE-PE</v>
      </c>
      <c r="M561" t="str">
        <f>IFERROR(VLOOKUP(L561,Model_Assumptions!$A:$D,2,0),"Unmapped")</f>
        <v>Sub-4m Sedan</v>
      </c>
      <c r="N561" t="str">
        <f>IFERROR(VLOOKUP(L561,Model_Assumptions!$A:$D,3,0),"Unmapped")</f>
        <v>Petrol</v>
      </c>
      <c r="O561">
        <f>IFERROR(VLOOKUP(L561,Model_Assumptions!$A:$D,4,0),0)</f>
        <v>850000</v>
      </c>
      <c r="P561">
        <f>IFERROR(VLOOKUP(J561,Source_Assumptions!$A:$C,3,0),0)</f>
        <v>300</v>
      </c>
    </row>
    <row r="562" spans="1:16" x14ac:dyDescent="0.3">
      <c r="A562">
        <f>Raw_Data!A562</f>
        <v>561</v>
      </c>
      <c r="B562" s="2">
        <f>Raw_Data!B562</f>
        <v>44974</v>
      </c>
      <c r="C562">
        <f>YEAR(Raw_Data!B562)</f>
        <v>2023</v>
      </c>
      <c r="D562" t="str">
        <f>IF(MONTH(Raw_Data!B562)&gt;=4,YEAR(Raw_Data!B562)&amp;"-"&amp;RIGHT(YEAR(Raw_Data!B562)+1,2),YEAR(Raw_Data!B562)-1&amp;"-"&amp;RIGHT(YEAR(Raw_Data!B562),2))</f>
        <v>2022-23</v>
      </c>
      <c r="E562" t="str">
        <f>"Q"&amp;ROUNDUP(MONTH(Raw_Data!B562)/3,0)</f>
        <v>Q1</v>
      </c>
      <c r="F562" t="str">
        <f>TEXT(Raw_Data!B562,"mmm")</f>
        <v>Feb</v>
      </c>
      <c r="G562" t="str">
        <f>TEXT(Raw_Data!B562,"ddd")</f>
        <v>Fri</v>
      </c>
      <c r="H562" t="str">
        <f>Raw_Data!D562</f>
        <v>Invoiced</v>
      </c>
      <c r="I562" t="str">
        <f>Raw_Data!F562</f>
        <v>Tele-in</v>
      </c>
      <c r="J562" t="str">
        <f>Raw_Data!G562</f>
        <v>Dealer Webpage Tele-In</v>
      </c>
      <c r="K562" t="str">
        <f>IFERROR(VLOOKUP(J562,Source_Assumptions!$A:$C,2,0),"Unmapped")</f>
        <v>Digital - Owned</v>
      </c>
      <c r="L562" t="str">
        <f>Raw_Data!H562</f>
        <v>CITY PE</v>
      </c>
      <c r="M562" t="str">
        <f>IFERROR(VLOOKUP(L562,Model_Assumptions!$A:$D,2,0),"Unmapped")</f>
        <v>Mid-size Sedan</v>
      </c>
      <c r="N562" t="str">
        <f>IFERROR(VLOOKUP(L562,Model_Assumptions!$A:$D,3,0),"Unmapped")</f>
        <v>Petrol</v>
      </c>
      <c r="O562">
        <f>IFERROR(VLOOKUP(L562,Model_Assumptions!$A:$D,4,0),0)</f>
        <v>1100000</v>
      </c>
      <c r="P562">
        <f>IFERROR(VLOOKUP(J562,Source_Assumptions!$A:$C,3,0),0)</f>
        <v>300</v>
      </c>
    </row>
    <row r="563" spans="1:16" x14ac:dyDescent="0.3">
      <c r="A563">
        <f>Raw_Data!A563</f>
        <v>562</v>
      </c>
      <c r="B563" s="2">
        <f>Raw_Data!B563</f>
        <v>44974</v>
      </c>
      <c r="C563">
        <f>YEAR(Raw_Data!B563)</f>
        <v>2023</v>
      </c>
      <c r="D563" t="str">
        <f>IF(MONTH(Raw_Data!B563)&gt;=4,YEAR(Raw_Data!B563)&amp;"-"&amp;RIGHT(YEAR(Raw_Data!B563)+1,2),YEAR(Raw_Data!B563)-1&amp;"-"&amp;RIGHT(YEAR(Raw_Data!B563),2))</f>
        <v>2022-23</v>
      </c>
      <c r="E563" t="str">
        <f>"Q"&amp;ROUNDUP(MONTH(Raw_Data!B563)/3,0)</f>
        <v>Q1</v>
      </c>
      <c r="F563" t="str">
        <f>TEXT(Raw_Data!B563,"mmm")</f>
        <v>Feb</v>
      </c>
      <c r="G563" t="str">
        <f>TEXT(Raw_Data!B563,"ddd")</f>
        <v>Fri</v>
      </c>
      <c r="H563" t="str">
        <f>Raw_Data!D563</f>
        <v>Invoiced</v>
      </c>
      <c r="I563" t="str">
        <f>Raw_Data!F563</f>
        <v>SMS/ Tele-Out</v>
      </c>
      <c r="J563" t="str">
        <f>Raw_Data!G563</f>
        <v>I-BAP Referral</v>
      </c>
      <c r="K563" t="str">
        <f>IFERROR(VLOOKUP(J563,Source_Assumptions!$A:$C,2,0),"Unmapped")</f>
        <v>Referral (Insurance/Banking Partner)</v>
      </c>
      <c r="L563" t="str">
        <f>Raw_Data!H563</f>
        <v>AMAZE-PE</v>
      </c>
      <c r="M563" t="str">
        <f>IFERROR(VLOOKUP(L563,Model_Assumptions!$A:$D,2,0),"Unmapped")</f>
        <v>Sub-4m Sedan</v>
      </c>
      <c r="N563" t="str">
        <f>IFERROR(VLOOKUP(L563,Model_Assumptions!$A:$D,3,0),"Unmapped")</f>
        <v>Petrol</v>
      </c>
      <c r="O563">
        <f>IFERROR(VLOOKUP(L563,Model_Assumptions!$A:$D,4,0),0)</f>
        <v>850000</v>
      </c>
      <c r="P563">
        <f>IFERROR(VLOOKUP(J563,Source_Assumptions!$A:$C,3,0),0)</f>
        <v>150</v>
      </c>
    </row>
    <row r="564" spans="1:16" x14ac:dyDescent="0.3">
      <c r="A564">
        <f>Raw_Data!A564</f>
        <v>563</v>
      </c>
      <c r="B564" s="2">
        <f>Raw_Data!B564</f>
        <v>44974</v>
      </c>
      <c r="C564">
        <f>YEAR(Raw_Data!B564)</f>
        <v>2023</v>
      </c>
      <c r="D564" t="str">
        <f>IF(MONTH(Raw_Data!B564)&gt;=4,YEAR(Raw_Data!B564)&amp;"-"&amp;RIGHT(YEAR(Raw_Data!B564)+1,2),YEAR(Raw_Data!B564)-1&amp;"-"&amp;RIGHT(YEAR(Raw_Data!B564),2))</f>
        <v>2022-23</v>
      </c>
      <c r="E564" t="str">
        <f>"Q"&amp;ROUNDUP(MONTH(Raw_Data!B564)/3,0)</f>
        <v>Q1</v>
      </c>
      <c r="F564" t="str">
        <f>TEXT(Raw_Data!B564,"mmm")</f>
        <v>Feb</v>
      </c>
      <c r="G564" t="str">
        <f>TEXT(Raw_Data!B564,"ddd")</f>
        <v>Fri</v>
      </c>
      <c r="H564" t="str">
        <f>Raw_Data!D564</f>
        <v>Invoiced</v>
      </c>
      <c r="I564" t="str">
        <f>Raw_Data!F564</f>
        <v>SMS/ Tele-Out</v>
      </c>
      <c r="J564" t="str">
        <f>Raw_Data!G564</f>
        <v>Database Activity(Teleout/SMS)</v>
      </c>
      <c r="K564" t="str">
        <f>IFERROR(VLOOKUP(J564,Source_Assumptions!$A:$C,2,0),"Unmapped")</f>
        <v>Outbound/Database</v>
      </c>
      <c r="L564" t="str">
        <f>Raw_Data!H564</f>
        <v>WR-V PE</v>
      </c>
      <c r="M564" t="str">
        <f>IFERROR(VLOOKUP(L564,Model_Assumptions!$A:$D,2,0),"Unmapped")</f>
        <v>Compact SUV</v>
      </c>
      <c r="N564" t="str">
        <f>IFERROR(VLOOKUP(L564,Model_Assumptions!$A:$D,3,0),"Unmapped")</f>
        <v>Petrol</v>
      </c>
      <c r="O564">
        <f>IFERROR(VLOOKUP(L564,Model_Assumptions!$A:$D,4,0),0)</f>
        <v>950000</v>
      </c>
      <c r="P564">
        <f>IFERROR(VLOOKUP(J564,Source_Assumptions!$A:$C,3,0),0)</f>
        <v>250</v>
      </c>
    </row>
    <row r="565" spans="1:16" x14ac:dyDescent="0.3">
      <c r="A565">
        <f>Raw_Data!A565</f>
        <v>564</v>
      </c>
      <c r="B565" s="2">
        <f>Raw_Data!B565</f>
        <v>44977</v>
      </c>
      <c r="C565">
        <f>YEAR(Raw_Data!B565)</f>
        <v>2023</v>
      </c>
      <c r="D565" t="str">
        <f>IF(MONTH(Raw_Data!B565)&gt;=4,YEAR(Raw_Data!B565)&amp;"-"&amp;RIGHT(YEAR(Raw_Data!B565)+1,2),YEAR(Raw_Data!B565)-1&amp;"-"&amp;RIGHT(YEAR(Raw_Data!B565),2))</f>
        <v>2022-23</v>
      </c>
      <c r="E565" t="str">
        <f>"Q"&amp;ROUNDUP(MONTH(Raw_Data!B565)/3,0)</f>
        <v>Q1</v>
      </c>
      <c r="F565" t="str">
        <f>TEXT(Raw_Data!B565,"mmm")</f>
        <v>Feb</v>
      </c>
      <c r="G565" t="str">
        <f>TEXT(Raw_Data!B565,"ddd")</f>
        <v>Mon</v>
      </c>
      <c r="H565" t="str">
        <f>Raw_Data!D565</f>
        <v>Invoiced</v>
      </c>
      <c r="I565" t="str">
        <f>Raw_Data!F565</f>
        <v>Tele-in</v>
      </c>
      <c r="J565" t="str">
        <f>Raw_Data!G565</f>
        <v>Dealer Webpage Tele-In</v>
      </c>
      <c r="K565" t="str">
        <f>IFERROR(VLOOKUP(J565,Source_Assumptions!$A:$C,2,0),"Unmapped")</f>
        <v>Digital - Owned</v>
      </c>
      <c r="L565" t="str">
        <f>Raw_Data!H565</f>
        <v>AMAZE-PE</v>
      </c>
      <c r="M565" t="str">
        <f>IFERROR(VLOOKUP(L565,Model_Assumptions!$A:$D,2,0),"Unmapped")</f>
        <v>Sub-4m Sedan</v>
      </c>
      <c r="N565" t="str">
        <f>IFERROR(VLOOKUP(L565,Model_Assumptions!$A:$D,3,0),"Unmapped")</f>
        <v>Petrol</v>
      </c>
      <c r="O565">
        <f>IFERROR(VLOOKUP(L565,Model_Assumptions!$A:$D,4,0),0)</f>
        <v>850000</v>
      </c>
      <c r="P565">
        <f>IFERROR(VLOOKUP(J565,Source_Assumptions!$A:$C,3,0),0)</f>
        <v>300</v>
      </c>
    </row>
    <row r="566" spans="1:16" x14ac:dyDescent="0.3">
      <c r="A566">
        <f>Raw_Data!A566</f>
        <v>565</v>
      </c>
      <c r="B566" s="2">
        <f>Raw_Data!B566</f>
        <v>44980</v>
      </c>
      <c r="C566">
        <f>YEAR(Raw_Data!B566)</f>
        <v>2023</v>
      </c>
      <c r="D566" t="str">
        <f>IF(MONTH(Raw_Data!B566)&gt;=4,YEAR(Raw_Data!B566)&amp;"-"&amp;RIGHT(YEAR(Raw_Data!B566)+1,2),YEAR(Raw_Data!B566)-1&amp;"-"&amp;RIGHT(YEAR(Raw_Data!B566),2))</f>
        <v>2022-23</v>
      </c>
      <c r="E566" t="str">
        <f>"Q"&amp;ROUNDUP(MONTH(Raw_Data!B566)/3,0)</f>
        <v>Q1</v>
      </c>
      <c r="F566" t="str">
        <f>TEXT(Raw_Data!B566,"mmm")</f>
        <v>Feb</v>
      </c>
      <c r="G566" t="str">
        <f>TEXT(Raw_Data!B566,"ddd")</f>
        <v>Thu</v>
      </c>
      <c r="H566" t="str">
        <f>Raw_Data!D566</f>
        <v>Invoiced</v>
      </c>
      <c r="I566" t="str">
        <f>Raw_Data!F566</f>
        <v>Tele-in</v>
      </c>
      <c r="J566" t="str">
        <f>Raw_Data!G566</f>
        <v>Dealer Webpage Tele-In</v>
      </c>
      <c r="K566" t="str">
        <f>IFERROR(VLOOKUP(J566,Source_Assumptions!$A:$C,2,0),"Unmapped")</f>
        <v>Digital - Owned</v>
      </c>
      <c r="L566" t="str">
        <f>Raw_Data!H566</f>
        <v>AMAZE-PE</v>
      </c>
      <c r="M566" t="str">
        <f>IFERROR(VLOOKUP(L566,Model_Assumptions!$A:$D,2,0),"Unmapped")</f>
        <v>Sub-4m Sedan</v>
      </c>
      <c r="N566" t="str">
        <f>IFERROR(VLOOKUP(L566,Model_Assumptions!$A:$D,3,0),"Unmapped")</f>
        <v>Petrol</v>
      </c>
      <c r="O566">
        <f>IFERROR(VLOOKUP(L566,Model_Assumptions!$A:$D,4,0),0)</f>
        <v>850000</v>
      </c>
      <c r="P566">
        <f>IFERROR(VLOOKUP(J566,Source_Assumptions!$A:$C,3,0),0)</f>
        <v>300</v>
      </c>
    </row>
    <row r="567" spans="1:16" x14ac:dyDescent="0.3">
      <c r="A567">
        <f>Raw_Data!A567</f>
        <v>566</v>
      </c>
      <c r="B567" s="2">
        <f>Raw_Data!B567</f>
        <v>44981</v>
      </c>
      <c r="C567">
        <f>YEAR(Raw_Data!B567)</f>
        <v>2023</v>
      </c>
      <c r="D567" t="str">
        <f>IF(MONTH(Raw_Data!B567)&gt;=4,YEAR(Raw_Data!B567)&amp;"-"&amp;RIGHT(YEAR(Raw_Data!B567)+1,2),YEAR(Raw_Data!B567)-1&amp;"-"&amp;RIGHT(YEAR(Raw_Data!B567),2))</f>
        <v>2022-23</v>
      </c>
      <c r="E567" t="str">
        <f>"Q"&amp;ROUNDUP(MONTH(Raw_Data!B567)/3,0)</f>
        <v>Q1</v>
      </c>
      <c r="F567" t="str">
        <f>TEXT(Raw_Data!B567,"mmm")</f>
        <v>Feb</v>
      </c>
      <c r="G567" t="str">
        <f>TEXT(Raw_Data!B567,"ddd")</f>
        <v>Fri</v>
      </c>
      <c r="H567" t="str">
        <f>Raw_Data!D567</f>
        <v>Invoiced</v>
      </c>
      <c r="I567" t="str">
        <f>Raw_Data!F567</f>
        <v>Web Lead</v>
      </c>
      <c r="J567" t="str">
        <f>Raw_Data!G567</f>
        <v>Web</v>
      </c>
      <c r="K567" t="str">
        <f>IFERROR(VLOOKUP(J567,Source_Assumptions!$A:$C,2,0),"Unmapped")</f>
        <v>Digital - Owned</v>
      </c>
      <c r="L567" t="str">
        <f>Raw_Data!H567</f>
        <v>CITY PE</v>
      </c>
      <c r="M567" t="str">
        <f>IFERROR(VLOOKUP(L567,Model_Assumptions!$A:$D,2,0),"Unmapped")</f>
        <v>Mid-size Sedan</v>
      </c>
      <c r="N567" t="str">
        <f>IFERROR(VLOOKUP(L567,Model_Assumptions!$A:$D,3,0),"Unmapped")</f>
        <v>Petrol</v>
      </c>
      <c r="O567">
        <f>IFERROR(VLOOKUP(L567,Model_Assumptions!$A:$D,4,0),0)</f>
        <v>1100000</v>
      </c>
      <c r="P567">
        <f>IFERROR(VLOOKUP(J567,Source_Assumptions!$A:$C,3,0),0)</f>
        <v>300</v>
      </c>
    </row>
    <row r="568" spans="1:16" x14ac:dyDescent="0.3">
      <c r="A568">
        <f>Raw_Data!A568</f>
        <v>567</v>
      </c>
      <c r="B568" s="2">
        <f>Raw_Data!B568</f>
        <v>44981</v>
      </c>
      <c r="C568">
        <f>YEAR(Raw_Data!B568)</f>
        <v>2023</v>
      </c>
      <c r="D568" t="str">
        <f>IF(MONTH(Raw_Data!B568)&gt;=4,YEAR(Raw_Data!B568)&amp;"-"&amp;RIGHT(YEAR(Raw_Data!B568)+1,2),YEAR(Raw_Data!B568)-1&amp;"-"&amp;RIGHT(YEAR(Raw_Data!B568),2))</f>
        <v>2022-23</v>
      </c>
      <c r="E568" t="str">
        <f>"Q"&amp;ROUNDUP(MONTH(Raw_Data!B568)/3,0)</f>
        <v>Q1</v>
      </c>
      <c r="F568" t="str">
        <f>TEXT(Raw_Data!B568,"mmm")</f>
        <v>Feb</v>
      </c>
      <c r="G568" t="str">
        <f>TEXT(Raw_Data!B568,"ddd")</f>
        <v>Fri</v>
      </c>
      <c r="H568" t="str">
        <f>Raw_Data!D568</f>
        <v>Invoiced</v>
      </c>
      <c r="I568" t="str">
        <f>Raw_Data!F568</f>
        <v>SMS/ Tele-Out</v>
      </c>
      <c r="J568" t="str">
        <f>Raw_Data!G568</f>
        <v>Database Activity(Teleout/SMS)</v>
      </c>
      <c r="K568" t="str">
        <f>IFERROR(VLOOKUP(J568,Source_Assumptions!$A:$C,2,0),"Unmapped")</f>
        <v>Outbound/Database</v>
      </c>
      <c r="L568" t="str">
        <f>Raw_Data!H568</f>
        <v>5TH GEN CITY PE</v>
      </c>
      <c r="M568" t="str">
        <f>IFERROR(VLOOKUP(L568,Model_Assumptions!$A:$D,2,0),"Unmapped")</f>
        <v>Mid-size Sedan</v>
      </c>
      <c r="N568" t="str">
        <f>IFERROR(VLOOKUP(L568,Model_Assumptions!$A:$D,3,0),"Unmapped")</f>
        <v>Petrol</v>
      </c>
      <c r="O568">
        <f>IFERROR(VLOOKUP(L568,Model_Assumptions!$A:$D,4,0),0)</f>
        <v>1250000</v>
      </c>
      <c r="P568">
        <f>IFERROR(VLOOKUP(J568,Source_Assumptions!$A:$C,3,0),0)</f>
        <v>250</v>
      </c>
    </row>
    <row r="569" spans="1:16" x14ac:dyDescent="0.3">
      <c r="A569">
        <f>Raw_Data!A569</f>
        <v>568</v>
      </c>
      <c r="B569" s="2">
        <f>Raw_Data!B569</f>
        <v>44981</v>
      </c>
      <c r="C569">
        <f>YEAR(Raw_Data!B569)</f>
        <v>2023</v>
      </c>
      <c r="D569" t="str">
        <f>IF(MONTH(Raw_Data!B569)&gt;=4,YEAR(Raw_Data!B569)&amp;"-"&amp;RIGHT(YEAR(Raw_Data!B569)+1,2),YEAR(Raw_Data!B569)-1&amp;"-"&amp;RIGHT(YEAR(Raw_Data!B569),2))</f>
        <v>2022-23</v>
      </c>
      <c r="E569" t="str">
        <f>"Q"&amp;ROUNDUP(MONTH(Raw_Data!B569)/3,0)</f>
        <v>Q1</v>
      </c>
      <c r="F569" t="str">
        <f>TEXT(Raw_Data!B569,"mmm")</f>
        <v>Feb</v>
      </c>
      <c r="G569" t="str">
        <f>TEXT(Raw_Data!B569,"ddd")</f>
        <v>Fri</v>
      </c>
      <c r="H569" t="str">
        <f>Raw_Data!D569</f>
        <v>Invoiced</v>
      </c>
      <c r="I569" t="str">
        <f>Raw_Data!F569</f>
        <v>Walk-in Showroom</v>
      </c>
      <c r="J569" t="str">
        <f>Raw_Data!G569</f>
        <v>Adver. (TVC/Print/Hoarding/FM)</v>
      </c>
      <c r="K569" t="str">
        <f>IFERROR(VLOOKUP(J569,Source_Assumptions!$A:$C,2,0),"Unmapped")</f>
        <v>Traditional Advertising</v>
      </c>
      <c r="L569" t="str">
        <f>Raw_Data!H569</f>
        <v>5TH GEN CITY PE</v>
      </c>
      <c r="M569" t="str">
        <f>IFERROR(VLOOKUP(L569,Model_Assumptions!$A:$D,2,0),"Unmapped")</f>
        <v>Mid-size Sedan</v>
      </c>
      <c r="N569" t="str">
        <f>IFERROR(VLOOKUP(L569,Model_Assumptions!$A:$D,3,0),"Unmapped")</f>
        <v>Petrol</v>
      </c>
      <c r="O569">
        <f>IFERROR(VLOOKUP(L569,Model_Assumptions!$A:$D,4,0),0)</f>
        <v>1250000</v>
      </c>
      <c r="P569">
        <f>IFERROR(VLOOKUP(J569,Source_Assumptions!$A:$C,3,0),0)</f>
        <v>1200</v>
      </c>
    </row>
    <row r="570" spans="1:16" x14ac:dyDescent="0.3">
      <c r="A570">
        <f>Raw_Data!A570</f>
        <v>569</v>
      </c>
      <c r="B570" s="2">
        <f>Raw_Data!B570</f>
        <v>44981</v>
      </c>
      <c r="C570">
        <f>YEAR(Raw_Data!B570)</f>
        <v>2023</v>
      </c>
      <c r="D570" t="str">
        <f>IF(MONTH(Raw_Data!B570)&gt;=4,YEAR(Raw_Data!B570)&amp;"-"&amp;RIGHT(YEAR(Raw_Data!B570)+1,2),YEAR(Raw_Data!B570)-1&amp;"-"&amp;RIGHT(YEAR(Raw_Data!B570),2))</f>
        <v>2022-23</v>
      </c>
      <c r="E570" t="str">
        <f>"Q"&amp;ROUNDUP(MONTH(Raw_Data!B570)/3,0)</f>
        <v>Q1</v>
      </c>
      <c r="F570" t="str">
        <f>TEXT(Raw_Data!B570,"mmm")</f>
        <v>Feb</v>
      </c>
      <c r="G570" t="str">
        <f>TEXT(Raw_Data!B570,"ddd")</f>
        <v>Fri</v>
      </c>
      <c r="H570" t="str">
        <f>Raw_Data!D570</f>
        <v>Invoiced</v>
      </c>
      <c r="I570" t="str">
        <f>Raw_Data!F570</f>
        <v>Tele-in</v>
      </c>
      <c r="J570" t="str">
        <f>Raw_Data!G570</f>
        <v>Referral-CAM</v>
      </c>
      <c r="K570" t="str">
        <f>IFERROR(VLOOKUP(J570,Source_Assumptions!$A:$C,2,0),"Unmapped")</f>
        <v>Referral</v>
      </c>
      <c r="L570" t="str">
        <f>Raw_Data!H570</f>
        <v>JAZZ PE</v>
      </c>
      <c r="M570" t="str">
        <f>IFERROR(VLOOKUP(L570,Model_Assumptions!$A:$D,2,0),"Unmapped")</f>
        <v>Hatchback</v>
      </c>
      <c r="N570" t="str">
        <f>IFERROR(VLOOKUP(L570,Model_Assumptions!$A:$D,3,0),"Unmapped")</f>
        <v>Petrol</v>
      </c>
      <c r="O570">
        <f>IFERROR(VLOOKUP(L570,Model_Assumptions!$A:$D,4,0),0)</f>
        <v>800000</v>
      </c>
      <c r="P570">
        <f>IFERROR(VLOOKUP(J570,Source_Assumptions!$A:$C,3,0),0)</f>
        <v>150</v>
      </c>
    </row>
    <row r="571" spans="1:16" x14ac:dyDescent="0.3">
      <c r="A571">
        <f>Raw_Data!A571</f>
        <v>570</v>
      </c>
      <c r="B571" s="2">
        <f>Raw_Data!B571</f>
        <v>44982</v>
      </c>
      <c r="C571">
        <f>YEAR(Raw_Data!B571)</f>
        <v>2023</v>
      </c>
      <c r="D571" t="str">
        <f>IF(MONTH(Raw_Data!B571)&gt;=4,YEAR(Raw_Data!B571)&amp;"-"&amp;RIGHT(YEAR(Raw_Data!B571)+1,2),YEAR(Raw_Data!B571)-1&amp;"-"&amp;RIGHT(YEAR(Raw_Data!B571),2))</f>
        <v>2022-23</v>
      </c>
      <c r="E571" t="str">
        <f>"Q"&amp;ROUNDUP(MONTH(Raw_Data!B571)/3,0)</f>
        <v>Q1</v>
      </c>
      <c r="F571" t="str">
        <f>TEXT(Raw_Data!B571,"mmm")</f>
        <v>Feb</v>
      </c>
      <c r="G571" t="str">
        <f>TEXT(Raw_Data!B571,"ddd")</f>
        <v>Sat</v>
      </c>
      <c r="H571" t="str">
        <f>Raw_Data!D571</f>
        <v>Invoiced</v>
      </c>
      <c r="I571" t="str">
        <f>Raw_Data!F571</f>
        <v>Tele-in</v>
      </c>
      <c r="J571" t="str">
        <f>Raw_Data!G571</f>
        <v>Referral-CAM</v>
      </c>
      <c r="K571" t="str">
        <f>IFERROR(VLOOKUP(J571,Source_Assumptions!$A:$C,2,0),"Unmapped")</f>
        <v>Referral</v>
      </c>
      <c r="L571" t="str">
        <f>Raw_Data!H571</f>
        <v>5TH GEN CITY PE</v>
      </c>
      <c r="M571" t="str">
        <f>IFERROR(VLOOKUP(L571,Model_Assumptions!$A:$D,2,0),"Unmapped")</f>
        <v>Mid-size Sedan</v>
      </c>
      <c r="N571" t="str">
        <f>IFERROR(VLOOKUP(L571,Model_Assumptions!$A:$D,3,0),"Unmapped")</f>
        <v>Petrol</v>
      </c>
      <c r="O571">
        <f>IFERROR(VLOOKUP(L571,Model_Assumptions!$A:$D,4,0),0)</f>
        <v>1250000</v>
      </c>
      <c r="P571">
        <f>IFERROR(VLOOKUP(J571,Source_Assumptions!$A:$C,3,0),0)</f>
        <v>150</v>
      </c>
    </row>
    <row r="572" spans="1:16" x14ac:dyDescent="0.3">
      <c r="A572">
        <f>Raw_Data!A572</f>
        <v>571</v>
      </c>
      <c r="B572" s="2">
        <f>Raw_Data!B572</f>
        <v>44982</v>
      </c>
      <c r="C572">
        <f>YEAR(Raw_Data!B572)</f>
        <v>2023</v>
      </c>
      <c r="D572" t="str">
        <f>IF(MONTH(Raw_Data!B572)&gt;=4,YEAR(Raw_Data!B572)&amp;"-"&amp;RIGHT(YEAR(Raw_Data!B572)+1,2),YEAR(Raw_Data!B572)-1&amp;"-"&amp;RIGHT(YEAR(Raw_Data!B572),2))</f>
        <v>2022-23</v>
      </c>
      <c r="E572" t="str">
        <f>"Q"&amp;ROUNDUP(MONTH(Raw_Data!B572)/3,0)</f>
        <v>Q1</v>
      </c>
      <c r="F572" t="str">
        <f>TEXT(Raw_Data!B572,"mmm")</f>
        <v>Feb</v>
      </c>
      <c r="G572" t="str">
        <f>TEXT(Raw_Data!B572,"ddd")</f>
        <v>Sat</v>
      </c>
      <c r="H572" t="str">
        <f>Raw_Data!D572</f>
        <v>Invoiced</v>
      </c>
      <c r="I572" t="str">
        <f>Raw_Data!F572</f>
        <v>Tele-in</v>
      </c>
      <c r="J572" t="str">
        <f>Raw_Data!G572</f>
        <v>Dealer Webpage Tele-In</v>
      </c>
      <c r="K572" t="str">
        <f>IFERROR(VLOOKUP(J572,Source_Assumptions!$A:$C,2,0),"Unmapped")</f>
        <v>Digital - Owned</v>
      </c>
      <c r="L572" t="str">
        <f>Raw_Data!H572</f>
        <v>5TH GEN CITY PE</v>
      </c>
      <c r="M572" t="str">
        <f>IFERROR(VLOOKUP(L572,Model_Assumptions!$A:$D,2,0),"Unmapped")</f>
        <v>Mid-size Sedan</v>
      </c>
      <c r="N572" t="str">
        <f>IFERROR(VLOOKUP(L572,Model_Assumptions!$A:$D,3,0),"Unmapped")</f>
        <v>Petrol</v>
      </c>
      <c r="O572">
        <f>IFERROR(VLOOKUP(L572,Model_Assumptions!$A:$D,4,0),0)</f>
        <v>1250000</v>
      </c>
      <c r="P572">
        <f>IFERROR(VLOOKUP(J572,Source_Assumptions!$A:$C,3,0),0)</f>
        <v>300</v>
      </c>
    </row>
    <row r="573" spans="1:16" x14ac:dyDescent="0.3">
      <c r="A573">
        <f>Raw_Data!A573</f>
        <v>572</v>
      </c>
      <c r="B573" s="2">
        <f>Raw_Data!B573</f>
        <v>44984</v>
      </c>
      <c r="C573">
        <f>YEAR(Raw_Data!B573)</f>
        <v>2023</v>
      </c>
      <c r="D573" t="str">
        <f>IF(MONTH(Raw_Data!B573)&gt;=4,YEAR(Raw_Data!B573)&amp;"-"&amp;RIGHT(YEAR(Raw_Data!B573)+1,2),YEAR(Raw_Data!B573)-1&amp;"-"&amp;RIGHT(YEAR(Raw_Data!B573),2))</f>
        <v>2022-23</v>
      </c>
      <c r="E573" t="str">
        <f>"Q"&amp;ROUNDUP(MONTH(Raw_Data!B573)/3,0)</f>
        <v>Q1</v>
      </c>
      <c r="F573" t="str">
        <f>TEXT(Raw_Data!B573,"mmm")</f>
        <v>Feb</v>
      </c>
      <c r="G573" t="str">
        <f>TEXT(Raw_Data!B573,"ddd")</f>
        <v>Mon</v>
      </c>
      <c r="H573" t="str">
        <f>Raw_Data!D573</f>
        <v>Invoiced</v>
      </c>
      <c r="I573" t="str">
        <f>Raw_Data!F573</f>
        <v>SMS/ Tele-Out</v>
      </c>
      <c r="J573" t="str">
        <f>Raw_Data!G573</f>
        <v>Database Activity(Teleout/SMS)</v>
      </c>
      <c r="K573" t="str">
        <f>IFERROR(VLOOKUP(J573,Source_Assumptions!$A:$C,2,0),"Unmapped")</f>
        <v>Outbound/Database</v>
      </c>
      <c r="L573" t="str">
        <f>Raw_Data!H573</f>
        <v>AMAZE-PE</v>
      </c>
      <c r="M573" t="str">
        <f>IFERROR(VLOOKUP(L573,Model_Assumptions!$A:$D,2,0),"Unmapped")</f>
        <v>Sub-4m Sedan</v>
      </c>
      <c r="N573" t="str">
        <f>IFERROR(VLOOKUP(L573,Model_Assumptions!$A:$D,3,0),"Unmapped")</f>
        <v>Petrol</v>
      </c>
      <c r="O573">
        <f>IFERROR(VLOOKUP(L573,Model_Assumptions!$A:$D,4,0),0)</f>
        <v>850000</v>
      </c>
      <c r="P573">
        <f>IFERROR(VLOOKUP(J573,Source_Assumptions!$A:$C,3,0),0)</f>
        <v>250</v>
      </c>
    </row>
    <row r="574" spans="1:16" x14ac:dyDescent="0.3">
      <c r="A574">
        <f>Raw_Data!A574</f>
        <v>573</v>
      </c>
      <c r="B574" s="2">
        <f>Raw_Data!B574</f>
        <v>44985</v>
      </c>
      <c r="C574">
        <f>YEAR(Raw_Data!B574)</f>
        <v>2023</v>
      </c>
      <c r="D574" t="str">
        <f>IF(MONTH(Raw_Data!B574)&gt;=4,YEAR(Raw_Data!B574)&amp;"-"&amp;RIGHT(YEAR(Raw_Data!B574)+1,2),YEAR(Raw_Data!B574)-1&amp;"-"&amp;RIGHT(YEAR(Raw_Data!B574),2))</f>
        <v>2022-23</v>
      </c>
      <c r="E574" t="str">
        <f>"Q"&amp;ROUNDUP(MONTH(Raw_Data!B574)/3,0)</f>
        <v>Q1</v>
      </c>
      <c r="F574" t="str">
        <f>TEXT(Raw_Data!B574,"mmm")</f>
        <v>Feb</v>
      </c>
      <c r="G574" t="str">
        <f>TEXT(Raw_Data!B574,"ddd")</f>
        <v>Tue</v>
      </c>
      <c r="H574" t="str">
        <f>Raw_Data!D574</f>
        <v>Invoiced</v>
      </c>
      <c r="I574" t="str">
        <f>Raw_Data!F574</f>
        <v>Tele-in</v>
      </c>
      <c r="J574" t="str">
        <f>Raw_Data!G574</f>
        <v>Referral (HC/HBLP)</v>
      </c>
      <c r="K574" t="str">
        <f>IFERROR(VLOOKUP(J574,Source_Assumptions!$A:$C,2,0),"Unmapped")</f>
        <v>Referral (Happy Customer)</v>
      </c>
      <c r="L574" t="str">
        <f>Raw_Data!H574</f>
        <v>WR-V PE</v>
      </c>
      <c r="M574" t="str">
        <f>IFERROR(VLOOKUP(L574,Model_Assumptions!$A:$D,2,0),"Unmapped")</f>
        <v>Compact SUV</v>
      </c>
      <c r="N574" t="str">
        <f>IFERROR(VLOOKUP(L574,Model_Assumptions!$A:$D,3,0),"Unmapped")</f>
        <v>Petrol</v>
      </c>
      <c r="O574">
        <f>IFERROR(VLOOKUP(L574,Model_Assumptions!$A:$D,4,0),0)</f>
        <v>950000</v>
      </c>
      <c r="P574">
        <f>IFERROR(VLOOKUP(J574,Source_Assumptions!$A:$C,3,0),0)</f>
        <v>100</v>
      </c>
    </row>
    <row r="575" spans="1:16" x14ac:dyDescent="0.3">
      <c r="A575">
        <f>Raw_Data!A575</f>
        <v>574</v>
      </c>
      <c r="B575" s="2">
        <f>Raw_Data!B575</f>
        <v>44985</v>
      </c>
      <c r="C575">
        <f>YEAR(Raw_Data!B575)</f>
        <v>2023</v>
      </c>
      <c r="D575" t="str">
        <f>IF(MONTH(Raw_Data!B575)&gt;=4,YEAR(Raw_Data!B575)&amp;"-"&amp;RIGHT(YEAR(Raw_Data!B575)+1,2),YEAR(Raw_Data!B575)-1&amp;"-"&amp;RIGHT(YEAR(Raw_Data!B575),2))</f>
        <v>2022-23</v>
      </c>
      <c r="E575" t="str">
        <f>"Q"&amp;ROUNDUP(MONTH(Raw_Data!B575)/3,0)</f>
        <v>Q1</v>
      </c>
      <c r="F575" t="str">
        <f>TEXT(Raw_Data!B575,"mmm")</f>
        <v>Feb</v>
      </c>
      <c r="G575" t="str">
        <f>TEXT(Raw_Data!B575,"ddd")</f>
        <v>Tue</v>
      </c>
      <c r="H575" t="str">
        <f>Raw_Data!D575</f>
        <v>Invoiced</v>
      </c>
      <c r="I575" t="str">
        <f>Raw_Data!F575</f>
        <v>Tele-in</v>
      </c>
      <c r="J575" t="str">
        <f>Raw_Data!G575</f>
        <v>Referral-CAM</v>
      </c>
      <c r="K575" t="str">
        <f>IFERROR(VLOOKUP(J575,Source_Assumptions!$A:$C,2,0),"Unmapped")</f>
        <v>Referral</v>
      </c>
      <c r="L575" t="str">
        <f>Raw_Data!H575</f>
        <v>AMAZE-PE</v>
      </c>
      <c r="M575" t="str">
        <f>IFERROR(VLOOKUP(L575,Model_Assumptions!$A:$D,2,0),"Unmapped")</f>
        <v>Sub-4m Sedan</v>
      </c>
      <c r="N575" t="str">
        <f>IFERROR(VLOOKUP(L575,Model_Assumptions!$A:$D,3,0),"Unmapped")</f>
        <v>Petrol</v>
      </c>
      <c r="O575">
        <f>IFERROR(VLOOKUP(L575,Model_Assumptions!$A:$D,4,0),0)</f>
        <v>850000</v>
      </c>
      <c r="P575">
        <f>IFERROR(VLOOKUP(J575,Source_Assumptions!$A:$C,3,0),0)</f>
        <v>150</v>
      </c>
    </row>
    <row r="576" spans="1:16" x14ac:dyDescent="0.3">
      <c r="A576">
        <f>Raw_Data!A576</f>
        <v>575</v>
      </c>
      <c r="B576" s="2">
        <f>Raw_Data!B576</f>
        <v>44988</v>
      </c>
      <c r="C576">
        <f>YEAR(Raw_Data!B576)</f>
        <v>2023</v>
      </c>
      <c r="D576" t="str">
        <f>IF(MONTH(Raw_Data!B576)&gt;=4,YEAR(Raw_Data!B576)&amp;"-"&amp;RIGHT(YEAR(Raw_Data!B576)+1,2),YEAR(Raw_Data!B576)-1&amp;"-"&amp;RIGHT(YEAR(Raw_Data!B576),2))</f>
        <v>2022-23</v>
      </c>
      <c r="E576" t="str">
        <f>"Q"&amp;ROUNDUP(MONTH(Raw_Data!B576)/3,0)</f>
        <v>Q1</v>
      </c>
      <c r="F576" t="str">
        <f>TEXT(Raw_Data!B576,"mmm")</f>
        <v>Mar</v>
      </c>
      <c r="G576" t="str">
        <f>TEXT(Raw_Data!B576,"ddd")</f>
        <v>Fri</v>
      </c>
      <c r="H576" t="str">
        <f>Raw_Data!D576</f>
        <v>Invoiced</v>
      </c>
      <c r="I576" t="str">
        <f>Raw_Data!F576</f>
        <v>Walk-in Showroom</v>
      </c>
      <c r="J576" t="str">
        <f>Raw_Data!G576</f>
        <v>UIO Re-purchase</v>
      </c>
      <c r="K576" t="str">
        <f>IFERROR(VLOOKUP(J576,Source_Assumptions!$A:$C,2,0),"Unmapped")</f>
        <v>Existing Customer</v>
      </c>
      <c r="L576" t="str">
        <f>Raw_Data!H576</f>
        <v>5TH GEN CITY PE</v>
      </c>
      <c r="M576" t="str">
        <f>IFERROR(VLOOKUP(L576,Model_Assumptions!$A:$D,2,0),"Unmapped")</f>
        <v>Mid-size Sedan</v>
      </c>
      <c r="N576" t="str">
        <f>IFERROR(VLOOKUP(L576,Model_Assumptions!$A:$D,3,0),"Unmapped")</f>
        <v>Petrol</v>
      </c>
      <c r="O576">
        <f>IFERROR(VLOOKUP(L576,Model_Assumptions!$A:$D,4,0),0)</f>
        <v>1250000</v>
      </c>
      <c r="P576">
        <f>IFERROR(VLOOKUP(J576,Source_Assumptions!$A:$C,3,0),0)</f>
        <v>50</v>
      </c>
    </row>
    <row r="577" spans="1:16" x14ac:dyDescent="0.3">
      <c r="A577">
        <f>Raw_Data!A577</f>
        <v>576</v>
      </c>
      <c r="B577" s="2">
        <f>Raw_Data!B577</f>
        <v>44989</v>
      </c>
      <c r="C577">
        <f>YEAR(Raw_Data!B577)</f>
        <v>2023</v>
      </c>
      <c r="D577" t="str">
        <f>IF(MONTH(Raw_Data!B577)&gt;=4,YEAR(Raw_Data!B577)&amp;"-"&amp;RIGHT(YEAR(Raw_Data!B577)+1,2),YEAR(Raw_Data!B577)-1&amp;"-"&amp;RIGHT(YEAR(Raw_Data!B577),2))</f>
        <v>2022-23</v>
      </c>
      <c r="E577" t="str">
        <f>"Q"&amp;ROUNDUP(MONTH(Raw_Data!B577)/3,0)</f>
        <v>Q1</v>
      </c>
      <c r="F577" t="str">
        <f>TEXT(Raw_Data!B577,"mmm")</f>
        <v>Mar</v>
      </c>
      <c r="G577" t="str">
        <f>TEXT(Raw_Data!B577,"ddd")</f>
        <v>Sat</v>
      </c>
      <c r="H577" t="str">
        <f>Raw_Data!D577</f>
        <v>Invoiced</v>
      </c>
      <c r="I577" t="str">
        <f>Raw_Data!F577</f>
        <v>Web Lead</v>
      </c>
      <c r="J577" t="str">
        <f>Raw_Data!G577</f>
        <v>Web</v>
      </c>
      <c r="K577" t="str">
        <f>IFERROR(VLOOKUP(J577,Source_Assumptions!$A:$C,2,0),"Unmapped")</f>
        <v>Digital - Owned</v>
      </c>
      <c r="L577" t="str">
        <f>Raw_Data!H577</f>
        <v>AMAZE-PE</v>
      </c>
      <c r="M577" t="str">
        <f>IFERROR(VLOOKUP(L577,Model_Assumptions!$A:$D,2,0),"Unmapped")</f>
        <v>Sub-4m Sedan</v>
      </c>
      <c r="N577" t="str">
        <f>IFERROR(VLOOKUP(L577,Model_Assumptions!$A:$D,3,0),"Unmapped")</f>
        <v>Petrol</v>
      </c>
      <c r="O577">
        <f>IFERROR(VLOOKUP(L577,Model_Assumptions!$A:$D,4,0),0)</f>
        <v>850000</v>
      </c>
      <c r="P577">
        <f>IFERROR(VLOOKUP(J577,Source_Assumptions!$A:$C,3,0),0)</f>
        <v>300</v>
      </c>
    </row>
    <row r="578" spans="1:16" x14ac:dyDescent="0.3">
      <c r="A578">
        <f>Raw_Data!A578</f>
        <v>577</v>
      </c>
      <c r="B578" s="2">
        <f>Raw_Data!B578</f>
        <v>44994</v>
      </c>
      <c r="C578">
        <f>YEAR(Raw_Data!B578)</f>
        <v>2023</v>
      </c>
      <c r="D578" t="str">
        <f>IF(MONTH(Raw_Data!B578)&gt;=4,YEAR(Raw_Data!B578)&amp;"-"&amp;RIGHT(YEAR(Raw_Data!B578)+1,2),YEAR(Raw_Data!B578)-1&amp;"-"&amp;RIGHT(YEAR(Raw_Data!B578),2))</f>
        <v>2022-23</v>
      </c>
      <c r="E578" t="str">
        <f>"Q"&amp;ROUNDUP(MONTH(Raw_Data!B578)/3,0)</f>
        <v>Q1</v>
      </c>
      <c r="F578" t="str">
        <f>TEXT(Raw_Data!B578,"mmm")</f>
        <v>Mar</v>
      </c>
      <c r="G578" t="str">
        <f>TEXT(Raw_Data!B578,"ddd")</f>
        <v>Thu</v>
      </c>
      <c r="H578" t="str">
        <f>Raw_Data!D578</f>
        <v>Invoiced</v>
      </c>
      <c r="I578" t="str">
        <f>Raw_Data!F578</f>
        <v>Tele-in</v>
      </c>
      <c r="J578" t="str">
        <f>Raw_Data!G578</f>
        <v>Dealer Webpage Tele-In</v>
      </c>
      <c r="K578" t="str">
        <f>IFERROR(VLOOKUP(J578,Source_Assumptions!$A:$C,2,0),"Unmapped")</f>
        <v>Digital - Owned</v>
      </c>
      <c r="L578" t="str">
        <f>Raw_Data!H578</f>
        <v>5TH GEN CITY PE</v>
      </c>
      <c r="M578" t="str">
        <f>IFERROR(VLOOKUP(L578,Model_Assumptions!$A:$D,2,0),"Unmapped")</f>
        <v>Mid-size Sedan</v>
      </c>
      <c r="N578" t="str">
        <f>IFERROR(VLOOKUP(L578,Model_Assumptions!$A:$D,3,0),"Unmapped")</f>
        <v>Petrol</v>
      </c>
      <c r="O578">
        <f>IFERROR(VLOOKUP(L578,Model_Assumptions!$A:$D,4,0),0)</f>
        <v>1250000</v>
      </c>
      <c r="P578">
        <f>IFERROR(VLOOKUP(J578,Source_Assumptions!$A:$C,3,0),0)</f>
        <v>300</v>
      </c>
    </row>
    <row r="579" spans="1:16" x14ac:dyDescent="0.3">
      <c r="A579">
        <f>Raw_Data!A579</f>
        <v>578</v>
      </c>
      <c r="B579" s="2">
        <f>Raw_Data!B579</f>
        <v>44995</v>
      </c>
      <c r="C579">
        <f>YEAR(Raw_Data!B579)</f>
        <v>2023</v>
      </c>
      <c r="D579" t="str">
        <f>IF(MONTH(Raw_Data!B579)&gt;=4,YEAR(Raw_Data!B579)&amp;"-"&amp;RIGHT(YEAR(Raw_Data!B579)+1,2),YEAR(Raw_Data!B579)-1&amp;"-"&amp;RIGHT(YEAR(Raw_Data!B579),2))</f>
        <v>2022-23</v>
      </c>
      <c r="E579" t="str">
        <f>"Q"&amp;ROUNDUP(MONTH(Raw_Data!B579)/3,0)</f>
        <v>Q1</v>
      </c>
      <c r="F579" t="str">
        <f>TEXT(Raw_Data!B579,"mmm")</f>
        <v>Mar</v>
      </c>
      <c r="G579" t="str">
        <f>TEXT(Raw_Data!B579,"ddd")</f>
        <v>Fri</v>
      </c>
      <c r="H579" t="str">
        <f>Raw_Data!D579</f>
        <v>Invoiced</v>
      </c>
      <c r="I579" t="str">
        <f>Raw_Data!F579</f>
        <v>Walk-in Showroom</v>
      </c>
      <c r="J579" t="str">
        <f>Raw_Data!G579</f>
        <v>Adver. (TVC/Print/Hoarding/FM)</v>
      </c>
      <c r="K579" t="str">
        <f>IFERROR(VLOOKUP(J579,Source_Assumptions!$A:$C,2,0),"Unmapped")</f>
        <v>Traditional Advertising</v>
      </c>
      <c r="L579" t="str">
        <f>Raw_Data!H579</f>
        <v>AMAZE-PE</v>
      </c>
      <c r="M579" t="str">
        <f>IFERROR(VLOOKUP(L579,Model_Assumptions!$A:$D,2,0),"Unmapped")</f>
        <v>Sub-4m Sedan</v>
      </c>
      <c r="N579" t="str">
        <f>IFERROR(VLOOKUP(L579,Model_Assumptions!$A:$D,3,0),"Unmapped")</f>
        <v>Petrol</v>
      </c>
      <c r="O579">
        <f>IFERROR(VLOOKUP(L579,Model_Assumptions!$A:$D,4,0),0)</f>
        <v>850000</v>
      </c>
      <c r="P579">
        <f>IFERROR(VLOOKUP(J579,Source_Assumptions!$A:$C,3,0),0)</f>
        <v>1200</v>
      </c>
    </row>
    <row r="580" spans="1:16" x14ac:dyDescent="0.3">
      <c r="A580">
        <f>Raw_Data!A580</f>
        <v>579</v>
      </c>
      <c r="B580" s="2">
        <f>Raw_Data!B580</f>
        <v>44995</v>
      </c>
      <c r="C580">
        <f>YEAR(Raw_Data!B580)</f>
        <v>2023</v>
      </c>
      <c r="D580" t="str">
        <f>IF(MONTH(Raw_Data!B580)&gt;=4,YEAR(Raw_Data!B580)&amp;"-"&amp;RIGHT(YEAR(Raw_Data!B580)+1,2),YEAR(Raw_Data!B580)-1&amp;"-"&amp;RIGHT(YEAR(Raw_Data!B580),2))</f>
        <v>2022-23</v>
      </c>
      <c r="E580" t="str">
        <f>"Q"&amp;ROUNDUP(MONTH(Raw_Data!B580)/3,0)</f>
        <v>Q1</v>
      </c>
      <c r="F580" t="str">
        <f>TEXT(Raw_Data!B580,"mmm")</f>
        <v>Mar</v>
      </c>
      <c r="G580" t="str">
        <f>TEXT(Raw_Data!B580,"ddd")</f>
        <v>Fri</v>
      </c>
      <c r="H580" t="str">
        <f>Raw_Data!D580</f>
        <v>Invoiced</v>
      </c>
      <c r="I580" t="str">
        <f>Raw_Data!F580</f>
        <v>Tele-in</v>
      </c>
      <c r="J580" t="str">
        <f>Raw_Data!G580</f>
        <v>Dealer Webpage Tele-In</v>
      </c>
      <c r="K580" t="str">
        <f>IFERROR(VLOOKUP(J580,Source_Assumptions!$A:$C,2,0),"Unmapped")</f>
        <v>Digital - Owned</v>
      </c>
      <c r="L580" t="str">
        <f>Raw_Data!H580</f>
        <v>5TH GEN CITY PE</v>
      </c>
      <c r="M580" t="str">
        <f>IFERROR(VLOOKUP(L580,Model_Assumptions!$A:$D,2,0),"Unmapped")</f>
        <v>Mid-size Sedan</v>
      </c>
      <c r="N580" t="str">
        <f>IFERROR(VLOOKUP(L580,Model_Assumptions!$A:$D,3,0),"Unmapped")</f>
        <v>Petrol</v>
      </c>
      <c r="O580">
        <f>IFERROR(VLOOKUP(L580,Model_Assumptions!$A:$D,4,0),0)</f>
        <v>1250000</v>
      </c>
      <c r="P580">
        <f>IFERROR(VLOOKUP(J580,Source_Assumptions!$A:$C,3,0),0)</f>
        <v>300</v>
      </c>
    </row>
    <row r="581" spans="1:16" x14ac:dyDescent="0.3">
      <c r="A581">
        <f>Raw_Data!A581</f>
        <v>580</v>
      </c>
      <c r="B581" s="2">
        <f>Raw_Data!B581</f>
        <v>44998</v>
      </c>
      <c r="C581">
        <f>YEAR(Raw_Data!B581)</f>
        <v>2023</v>
      </c>
      <c r="D581" t="str">
        <f>IF(MONTH(Raw_Data!B581)&gt;=4,YEAR(Raw_Data!B581)&amp;"-"&amp;RIGHT(YEAR(Raw_Data!B581)+1,2),YEAR(Raw_Data!B581)-1&amp;"-"&amp;RIGHT(YEAR(Raw_Data!B581),2))</f>
        <v>2022-23</v>
      </c>
      <c r="E581" t="str">
        <f>"Q"&amp;ROUNDUP(MONTH(Raw_Data!B581)/3,0)</f>
        <v>Q1</v>
      </c>
      <c r="F581" t="str">
        <f>TEXT(Raw_Data!B581,"mmm")</f>
        <v>Mar</v>
      </c>
      <c r="G581" t="str">
        <f>TEXT(Raw_Data!B581,"ddd")</f>
        <v>Mon</v>
      </c>
      <c r="H581" t="str">
        <f>Raw_Data!D581</f>
        <v>Invoiced</v>
      </c>
      <c r="I581" t="str">
        <f>Raw_Data!F581</f>
        <v>Tele-in</v>
      </c>
      <c r="J581" t="str">
        <f>Raw_Data!G581</f>
        <v>Dealer Webpage Tele-In</v>
      </c>
      <c r="K581" t="str">
        <f>IFERROR(VLOOKUP(J581,Source_Assumptions!$A:$C,2,0),"Unmapped")</f>
        <v>Digital - Owned</v>
      </c>
      <c r="L581" t="str">
        <f>Raw_Data!H581</f>
        <v>5TH GEN CITY PE</v>
      </c>
      <c r="M581" t="str">
        <f>IFERROR(VLOOKUP(L581,Model_Assumptions!$A:$D,2,0),"Unmapped")</f>
        <v>Mid-size Sedan</v>
      </c>
      <c r="N581" t="str">
        <f>IFERROR(VLOOKUP(L581,Model_Assumptions!$A:$D,3,0),"Unmapped")</f>
        <v>Petrol</v>
      </c>
      <c r="O581">
        <f>IFERROR(VLOOKUP(L581,Model_Assumptions!$A:$D,4,0),0)</f>
        <v>1250000</v>
      </c>
      <c r="P581">
        <f>IFERROR(VLOOKUP(J581,Source_Assumptions!$A:$C,3,0),0)</f>
        <v>300</v>
      </c>
    </row>
    <row r="582" spans="1:16" x14ac:dyDescent="0.3">
      <c r="A582">
        <f>Raw_Data!A582</f>
        <v>581</v>
      </c>
      <c r="B582" s="2">
        <f>Raw_Data!B582</f>
        <v>44998</v>
      </c>
      <c r="C582">
        <f>YEAR(Raw_Data!B582)</f>
        <v>2023</v>
      </c>
      <c r="D582" t="str">
        <f>IF(MONTH(Raw_Data!B582)&gt;=4,YEAR(Raw_Data!B582)&amp;"-"&amp;RIGHT(YEAR(Raw_Data!B582)+1,2),YEAR(Raw_Data!B582)-1&amp;"-"&amp;RIGHT(YEAR(Raw_Data!B582),2))</f>
        <v>2022-23</v>
      </c>
      <c r="E582" t="str">
        <f>"Q"&amp;ROUNDUP(MONTH(Raw_Data!B582)/3,0)</f>
        <v>Q1</v>
      </c>
      <c r="F582" t="str">
        <f>TEXT(Raw_Data!B582,"mmm")</f>
        <v>Mar</v>
      </c>
      <c r="G582" t="str">
        <f>TEXT(Raw_Data!B582,"ddd")</f>
        <v>Mon</v>
      </c>
      <c r="H582" t="str">
        <f>Raw_Data!D582</f>
        <v>Invoiced</v>
      </c>
      <c r="I582" t="str">
        <f>Raw_Data!F582</f>
        <v>Walk-in Showroom</v>
      </c>
      <c r="J582" t="str">
        <f>Raw_Data!G582</f>
        <v>Adver. (TVC/Print/Hoarding/FM)</v>
      </c>
      <c r="K582" t="str">
        <f>IFERROR(VLOOKUP(J582,Source_Assumptions!$A:$C,2,0),"Unmapped")</f>
        <v>Traditional Advertising</v>
      </c>
      <c r="L582" t="str">
        <f>Raw_Data!H582</f>
        <v>5TH GEN CITY PE</v>
      </c>
      <c r="M582" t="str">
        <f>IFERROR(VLOOKUP(L582,Model_Assumptions!$A:$D,2,0),"Unmapped")</f>
        <v>Mid-size Sedan</v>
      </c>
      <c r="N582" t="str">
        <f>IFERROR(VLOOKUP(L582,Model_Assumptions!$A:$D,3,0),"Unmapped")</f>
        <v>Petrol</v>
      </c>
      <c r="O582">
        <f>IFERROR(VLOOKUP(L582,Model_Assumptions!$A:$D,4,0),0)</f>
        <v>1250000</v>
      </c>
      <c r="P582">
        <f>IFERROR(VLOOKUP(J582,Source_Assumptions!$A:$C,3,0),0)</f>
        <v>1200</v>
      </c>
    </row>
    <row r="583" spans="1:16" x14ac:dyDescent="0.3">
      <c r="A583">
        <f>Raw_Data!A583</f>
        <v>582</v>
      </c>
      <c r="B583" s="2">
        <f>Raw_Data!B583</f>
        <v>45002</v>
      </c>
      <c r="C583">
        <f>YEAR(Raw_Data!B583)</f>
        <v>2023</v>
      </c>
      <c r="D583" t="str">
        <f>IF(MONTH(Raw_Data!B583)&gt;=4,YEAR(Raw_Data!B583)&amp;"-"&amp;RIGHT(YEAR(Raw_Data!B583)+1,2),YEAR(Raw_Data!B583)-1&amp;"-"&amp;RIGHT(YEAR(Raw_Data!B583),2))</f>
        <v>2022-23</v>
      </c>
      <c r="E583" t="str">
        <f>"Q"&amp;ROUNDUP(MONTH(Raw_Data!B583)/3,0)</f>
        <v>Q1</v>
      </c>
      <c r="F583" t="str">
        <f>TEXT(Raw_Data!B583,"mmm")</f>
        <v>Mar</v>
      </c>
      <c r="G583" t="str">
        <f>TEXT(Raw_Data!B583,"ddd")</f>
        <v>Fri</v>
      </c>
      <c r="H583" t="str">
        <f>Raw_Data!D583</f>
        <v>Invoiced</v>
      </c>
      <c r="I583" t="str">
        <f>Raw_Data!F583</f>
        <v>SMS/ Tele-Out</v>
      </c>
      <c r="J583" t="str">
        <f>Raw_Data!G583</f>
        <v>Database Activity(Teleout/SMS)</v>
      </c>
      <c r="K583" t="str">
        <f>IFERROR(VLOOKUP(J583,Source_Assumptions!$A:$C,2,0),"Unmapped")</f>
        <v>Outbound/Database</v>
      </c>
      <c r="L583" t="str">
        <f>Raw_Data!H583</f>
        <v>5TH GEN CITY PE</v>
      </c>
      <c r="M583" t="str">
        <f>IFERROR(VLOOKUP(L583,Model_Assumptions!$A:$D,2,0),"Unmapped")</f>
        <v>Mid-size Sedan</v>
      </c>
      <c r="N583" t="str">
        <f>IFERROR(VLOOKUP(L583,Model_Assumptions!$A:$D,3,0),"Unmapped")</f>
        <v>Petrol</v>
      </c>
      <c r="O583">
        <f>IFERROR(VLOOKUP(L583,Model_Assumptions!$A:$D,4,0),0)</f>
        <v>1250000</v>
      </c>
      <c r="P583">
        <f>IFERROR(VLOOKUP(J583,Source_Assumptions!$A:$C,3,0),0)</f>
        <v>250</v>
      </c>
    </row>
    <row r="584" spans="1:16" x14ac:dyDescent="0.3">
      <c r="A584">
        <f>Raw_Data!A584</f>
        <v>583</v>
      </c>
      <c r="B584" s="2">
        <f>Raw_Data!B584</f>
        <v>45005</v>
      </c>
      <c r="C584">
        <f>YEAR(Raw_Data!B584)</f>
        <v>2023</v>
      </c>
      <c r="D584" t="str">
        <f>IF(MONTH(Raw_Data!B584)&gt;=4,YEAR(Raw_Data!B584)&amp;"-"&amp;RIGHT(YEAR(Raw_Data!B584)+1,2),YEAR(Raw_Data!B584)-1&amp;"-"&amp;RIGHT(YEAR(Raw_Data!B584),2))</f>
        <v>2022-23</v>
      </c>
      <c r="E584" t="str">
        <f>"Q"&amp;ROUNDUP(MONTH(Raw_Data!B584)/3,0)</f>
        <v>Q1</v>
      </c>
      <c r="F584" t="str">
        <f>TEXT(Raw_Data!B584,"mmm")</f>
        <v>Mar</v>
      </c>
      <c r="G584" t="str">
        <f>TEXT(Raw_Data!B584,"ddd")</f>
        <v>Mon</v>
      </c>
      <c r="H584" t="str">
        <f>Raw_Data!D584</f>
        <v>Invoiced</v>
      </c>
      <c r="I584" t="str">
        <f>Raw_Data!F584</f>
        <v>Walk-in Showroom</v>
      </c>
      <c r="J584" t="str">
        <f>Raw_Data!G584</f>
        <v>Adver. (TVC/Print/Hoarding/FM)</v>
      </c>
      <c r="K584" t="str">
        <f>IFERROR(VLOOKUP(J584,Source_Assumptions!$A:$C,2,0),"Unmapped")</f>
        <v>Traditional Advertising</v>
      </c>
      <c r="L584" t="str">
        <f>Raw_Data!H584</f>
        <v>AMAZE-PE</v>
      </c>
      <c r="M584" t="str">
        <f>IFERROR(VLOOKUP(L584,Model_Assumptions!$A:$D,2,0),"Unmapped")</f>
        <v>Sub-4m Sedan</v>
      </c>
      <c r="N584" t="str">
        <f>IFERROR(VLOOKUP(L584,Model_Assumptions!$A:$D,3,0),"Unmapped")</f>
        <v>Petrol</v>
      </c>
      <c r="O584">
        <f>IFERROR(VLOOKUP(L584,Model_Assumptions!$A:$D,4,0),0)</f>
        <v>850000</v>
      </c>
      <c r="P584">
        <f>IFERROR(VLOOKUP(J584,Source_Assumptions!$A:$C,3,0),0)</f>
        <v>1200</v>
      </c>
    </row>
    <row r="585" spans="1:16" x14ac:dyDescent="0.3">
      <c r="A585">
        <f>Raw_Data!A585</f>
        <v>584</v>
      </c>
      <c r="B585" s="2">
        <f>Raw_Data!B585</f>
        <v>45005</v>
      </c>
      <c r="C585">
        <f>YEAR(Raw_Data!B585)</f>
        <v>2023</v>
      </c>
      <c r="D585" t="str">
        <f>IF(MONTH(Raw_Data!B585)&gt;=4,YEAR(Raw_Data!B585)&amp;"-"&amp;RIGHT(YEAR(Raw_Data!B585)+1,2),YEAR(Raw_Data!B585)-1&amp;"-"&amp;RIGHT(YEAR(Raw_Data!B585),2))</f>
        <v>2022-23</v>
      </c>
      <c r="E585" t="str">
        <f>"Q"&amp;ROUNDUP(MONTH(Raw_Data!B585)/3,0)</f>
        <v>Q1</v>
      </c>
      <c r="F585" t="str">
        <f>TEXT(Raw_Data!B585,"mmm")</f>
        <v>Mar</v>
      </c>
      <c r="G585" t="str">
        <f>TEXT(Raw_Data!B585,"ddd")</f>
        <v>Mon</v>
      </c>
      <c r="H585" t="str">
        <f>Raw_Data!D585</f>
        <v>Invoiced</v>
      </c>
      <c r="I585" t="str">
        <f>Raw_Data!F585</f>
        <v>Walk-in Showroom</v>
      </c>
      <c r="J585" t="str">
        <f>Raw_Data!G585</f>
        <v>Adver. (TVC/Print/Hoarding/FM)</v>
      </c>
      <c r="K585" t="str">
        <f>IFERROR(VLOOKUP(J585,Source_Assumptions!$A:$C,2,0),"Unmapped")</f>
        <v>Traditional Advertising</v>
      </c>
      <c r="L585" t="str">
        <f>Raw_Data!H585</f>
        <v>AMAZE-PE</v>
      </c>
      <c r="M585" t="str">
        <f>IFERROR(VLOOKUP(L585,Model_Assumptions!$A:$D,2,0),"Unmapped")</f>
        <v>Sub-4m Sedan</v>
      </c>
      <c r="N585" t="str">
        <f>IFERROR(VLOOKUP(L585,Model_Assumptions!$A:$D,3,0),"Unmapped")</f>
        <v>Petrol</v>
      </c>
      <c r="O585">
        <f>IFERROR(VLOOKUP(L585,Model_Assumptions!$A:$D,4,0),0)</f>
        <v>850000</v>
      </c>
      <c r="P585">
        <f>IFERROR(VLOOKUP(J585,Source_Assumptions!$A:$C,3,0),0)</f>
        <v>1200</v>
      </c>
    </row>
    <row r="586" spans="1:16" x14ac:dyDescent="0.3">
      <c r="A586">
        <f>Raw_Data!A586</f>
        <v>585</v>
      </c>
      <c r="B586" s="2">
        <f>Raw_Data!B586</f>
        <v>45005</v>
      </c>
      <c r="C586">
        <f>YEAR(Raw_Data!B586)</f>
        <v>2023</v>
      </c>
      <c r="D586" t="str">
        <f>IF(MONTH(Raw_Data!B586)&gt;=4,YEAR(Raw_Data!B586)&amp;"-"&amp;RIGHT(YEAR(Raw_Data!B586)+1,2),YEAR(Raw_Data!B586)-1&amp;"-"&amp;RIGHT(YEAR(Raw_Data!B586),2))</f>
        <v>2022-23</v>
      </c>
      <c r="E586" t="str">
        <f>"Q"&amp;ROUNDUP(MONTH(Raw_Data!B586)/3,0)</f>
        <v>Q1</v>
      </c>
      <c r="F586" t="str">
        <f>TEXT(Raw_Data!B586,"mmm")</f>
        <v>Mar</v>
      </c>
      <c r="G586" t="str">
        <f>TEXT(Raw_Data!B586,"ddd")</f>
        <v>Mon</v>
      </c>
      <c r="H586" t="str">
        <f>Raw_Data!D586</f>
        <v>Invoiced</v>
      </c>
      <c r="I586" t="str">
        <f>Raw_Data!F586</f>
        <v>SMS/ Tele-Out</v>
      </c>
      <c r="J586" t="str">
        <f>Raw_Data!G586</f>
        <v>Database Activity(Teleout/SMS)</v>
      </c>
      <c r="K586" t="str">
        <f>IFERROR(VLOOKUP(J586,Source_Assumptions!$A:$C,2,0),"Unmapped")</f>
        <v>Outbound/Database</v>
      </c>
      <c r="L586" t="str">
        <f>Raw_Data!H586</f>
        <v>5TH GEN CITY PE</v>
      </c>
      <c r="M586" t="str">
        <f>IFERROR(VLOOKUP(L586,Model_Assumptions!$A:$D,2,0),"Unmapped")</f>
        <v>Mid-size Sedan</v>
      </c>
      <c r="N586" t="str">
        <f>IFERROR(VLOOKUP(L586,Model_Assumptions!$A:$D,3,0),"Unmapped")</f>
        <v>Petrol</v>
      </c>
      <c r="O586">
        <f>IFERROR(VLOOKUP(L586,Model_Assumptions!$A:$D,4,0),0)</f>
        <v>1250000</v>
      </c>
      <c r="P586">
        <f>IFERROR(VLOOKUP(J586,Source_Assumptions!$A:$C,3,0),0)</f>
        <v>250</v>
      </c>
    </row>
    <row r="587" spans="1:16" x14ac:dyDescent="0.3">
      <c r="A587">
        <f>Raw_Data!A587</f>
        <v>586</v>
      </c>
      <c r="B587" s="2">
        <f>Raw_Data!B587</f>
        <v>45007</v>
      </c>
      <c r="C587">
        <f>YEAR(Raw_Data!B587)</f>
        <v>2023</v>
      </c>
      <c r="D587" t="str">
        <f>IF(MONTH(Raw_Data!B587)&gt;=4,YEAR(Raw_Data!B587)&amp;"-"&amp;RIGHT(YEAR(Raw_Data!B587)+1,2),YEAR(Raw_Data!B587)-1&amp;"-"&amp;RIGHT(YEAR(Raw_Data!B587),2))</f>
        <v>2022-23</v>
      </c>
      <c r="E587" t="str">
        <f>"Q"&amp;ROUNDUP(MONTH(Raw_Data!B587)/3,0)</f>
        <v>Q1</v>
      </c>
      <c r="F587" t="str">
        <f>TEXT(Raw_Data!B587,"mmm")</f>
        <v>Mar</v>
      </c>
      <c r="G587" t="str">
        <f>TEXT(Raw_Data!B587,"ddd")</f>
        <v>Wed</v>
      </c>
      <c r="H587" t="str">
        <f>Raw_Data!D587</f>
        <v>Invoiced</v>
      </c>
      <c r="I587" t="str">
        <f>Raw_Data!F587</f>
        <v>SMS/ Tele-Out</v>
      </c>
      <c r="J587" t="str">
        <f>Raw_Data!G587</f>
        <v>Database Activity(Teleout/SMS)</v>
      </c>
      <c r="K587" t="str">
        <f>IFERROR(VLOOKUP(J587,Source_Assumptions!$A:$C,2,0),"Unmapped")</f>
        <v>Outbound/Database</v>
      </c>
      <c r="L587" t="str">
        <f>Raw_Data!H587</f>
        <v>5TH GEN CITY PE</v>
      </c>
      <c r="M587" t="str">
        <f>IFERROR(VLOOKUP(L587,Model_Assumptions!$A:$D,2,0),"Unmapped")</f>
        <v>Mid-size Sedan</v>
      </c>
      <c r="N587" t="str">
        <f>IFERROR(VLOOKUP(L587,Model_Assumptions!$A:$D,3,0),"Unmapped")</f>
        <v>Petrol</v>
      </c>
      <c r="O587">
        <f>IFERROR(VLOOKUP(L587,Model_Assumptions!$A:$D,4,0),0)</f>
        <v>1250000</v>
      </c>
      <c r="P587">
        <f>IFERROR(VLOOKUP(J587,Source_Assumptions!$A:$C,3,0),0)</f>
        <v>250</v>
      </c>
    </row>
    <row r="588" spans="1:16" x14ac:dyDescent="0.3">
      <c r="A588">
        <f>Raw_Data!A588</f>
        <v>587</v>
      </c>
      <c r="B588" s="2">
        <f>Raw_Data!B588</f>
        <v>45007</v>
      </c>
      <c r="C588">
        <f>YEAR(Raw_Data!B588)</f>
        <v>2023</v>
      </c>
      <c r="D588" t="str">
        <f>IF(MONTH(Raw_Data!B588)&gt;=4,YEAR(Raw_Data!B588)&amp;"-"&amp;RIGHT(YEAR(Raw_Data!B588)+1,2),YEAR(Raw_Data!B588)-1&amp;"-"&amp;RIGHT(YEAR(Raw_Data!B588),2))</f>
        <v>2022-23</v>
      </c>
      <c r="E588" t="str">
        <f>"Q"&amp;ROUNDUP(MONTH(Raw_Data!B588)/3,0)</f>
        <v>Q1</v>
      </c>
      <c r="F588" t="str">
        <f>TEXT(Raw_Data!B588,"mmm")</f>
        <v>Mar</v>
      </c>
      <c r="G588" t="str">
        <f>TEXT(Raw_Data!B588,"ddd")</f>
        <v>Wed</v>
      </c>
      <c r="H588" t="str">
        <f>Raw_Data!D588</f>
        <v>Invoiced</v>
      </c>
      <c r="I588" t="str">
        <f>Raw_Data!F588</f>
        <v>Walk-in Showroom</v>
      </c>
      <c r="J588" t="str">
        <f>Raw_Data!G588</f>
        <v>Adver. (TVC/Print/Hoarding/FM)</v>
      </c>
      <c r="K588" t="str">
        <f>IFERROR(VLOOKUP(J588,Source_Assumptions!$A:$C,2,0),"Unmapped")</f>
        <v>Traditional Advertising</v>
      </c>
      <c r="L588" t="str">
        <f>Raw_Data!H588</f>
        <v>AMAZE-PE</v>
      </c>
      <c r="M588" t="str">
        <f>IFERROR(VLOOKUP(L588,Model_Assumptions!$A:$D,2,0),"Unmapped")</f>
        <v>Sub-4m Sedan</v>
      </c>
      <c r="N588" t="str">
        <f>IFERROR(VLOOKUP(L588,Model_Assumptions!$A:$D,3,0),"Unmapped")</f>
        <v>Petrol</v>
      </c>
      <c r="O588">
        <f>IFERROR(VLOOKUP(L588,Model_Assumptions!$A:$D,4,0),0)</f>
        <v>850000</v>
      </c>
      <c r="P588">
        <f>IFERROR(VLOOKUP(J588,Source_Assumptions!$A:$C,3,0),0)</f>
        <v>1200</v>
      </c>
    </row>
    <row r="589" spans="1:16" x14ac:dyDescent="0.3">
      <c r="A589">
        <f>Raw_Data!A589</f>
        <v>588</v>
      </c>
      <c r="B589" s="2">
        <f>Raw_Data!B589</f>
        <v>45008</v>
      </c>
      <c r="C589">
        <f>YEAR(Raw_Data!B589)</f>
        <v>2023</v>
      </c>
      <c r="D589" t="str">
        <f>IF(MONTH(Raw_Data!B589)&gt;=4,YEAR(Raw_Data!B589)&amp;"-"&amp;RIGHT(YEAR(Raw_Data!B589)+1,2),YEAR(Raw_Data!B589)-1&amp;"-"&amp;RIGHT(YEAR(Raw_Data!B589),2))</f>
        <v>2022-23</v>
      </c>
      <c r="E589" t="str">
        <f>"Q"&amp;ROUNDUP(MONTH(Raw_Data!B589)/3,0)</f>
        <v>Q1</v>
      </c>
      <c r="F589" t="str">
        <f>TEXT(Raw_Data!B589,"mmm")</f>
        <v>Mar</v>
      </c>
      <c r="G589" t="str">
        <f>TEXT(Raw_Data!B589,"ddd")</f>
        <v>Thu</v>
      </c>
      <c r="H589" t="str">
        <f>Raw_Data!D589</f>
        <v>Invoiced</v>
      </c>
      <c r="I589" t="str">
        <f>Raw_Data!F589</f>
        <v>Walk-in Showroom</v>
      </c>
      <c r="J589" t="str">
        <f>Raw_Data!G589</f>
        <v>Adver. (TVC/Print/Hoarding/FM)</v>
      </c>
      <c r="K589" t="str">
        <f>IFERROR(VLOOKUP(J589,Source_Assumptions!$A:$C,2,0),"Unmapped")</f>
        <v>Traditional Advertising</v>
      </c>
      <c r="L589" t="str">
        <f>Raw_Data!H589</f>
        <v>5TH GEN CITY PE</v>
      </c>
      <c r="M589" t="str">
        <f>IFERROR(VLOOKUP(L589,Model_Assumptions!$A:$D,2,0),"Unmapped")</f>
        <v>Mid-size Sedan</v>
      </c>
      <c r="N589" t="str">
        <f>IFERROR(VLOOKUP(L589,Model_Assumptions!$A:$D,3,0),"Unmapped")</f>
        <v>Petrol</v>
      </c>
      <c r="O589">
        <f>IFERROR(VLOOKUP(L589,Model_Assumptions!$A:$D,4,0),0)</f>
        <v>1250000</v>
      </c>
      <c r="P589">
        <f>IFERROR(VLOOKUP(J589,Source_Assumptions!$A:$C,3,0),0)</f>
        <v>1200</v>
      </c>
    </row>
    <row r="590" spans="1:16" x14ac:dyDescent="0.3">
      <c r="A590">
        <f>Raw_Data!A590</f>
        <v>589</v>
      </c>
      <c r="B590" s="2">
        <f>Raw_Data!B590</f>
        <v>45008</v>
      </c>
      <c r="C590">
        <f>YEAR(Raw_Data!B590)</f>
        <v>2023</v>
      </c>
      <c r="D590" t="str">
        <f>IF(MONTH(Raw_Data!B590)&gt;=4,YEAR(Raw_Data!B590)&amp;"-"&amp;RIGHT(YEAR(Raw_Data!B590)+1,2),YEAR(Raw_Data!B590)-1&amp;"-"&amp;RIGHT(YEAR(Raw_Data!B590),2))</f>
        <v>2022-23</v>
      </c>
      <c r="E590" t="str">
        <f>"Q"&amp;ROUNDUP(MONTH(Raw_Data!B590)/3,0)</f>
        <v>Q1</v>
      </c>
      <c r="F590" t="str">
        <f>TEXT(Raw_Data!B590,"mmm")</f>
        <v>Mar</v>
      </c>
      <c r="G590" t="str">
        <f>TEXT(Raw_Data!B590,"ddd")</f>
        <v>Thu</v>
      </c>
      <c r="H590" t="str">
        <f>Raw_Data!D590</f>
        <v>Invoiced</v>
      </c>
      <c r="I590" t="str">
        <f>Raw_Data!F590</f>
        <v>Tele-in</v>
      </c>
      <c r="J590" t="str">
        <f>Raw_Data!G590</f>
        <v>Dealer Webpage Tele-In</v>
      </c>
      <c r="K590" t="str">
        <f>IFERROR(VLOOKUP(J590,Source_Assumptions!$A:$C,2,0),"Unmapped")</f>
        <v>Digital - Owned</v>
      </c>
      <c r="L590" t="str">
        <f>Raw_Data!H590</f>
        <v>AMAZE-PE</v>
      </c>
      <c r="M590" t="str">
        <f>IFERROR(VLOOKUP(L590,Model_Assumptions!$A:$D,2,0),"Unmapped")</f>
        <v>Sub-4m Sedan</v>
      </c>
      <c r="N590" t="str">
        <f>IFERROR(VLOOKUP(L590,Model_Assumptions!$A:$D,3,0),"Unmapped")</f>
        <v>Petrol</v>
      </c>
      <c r="O590">
        <f>IFERROR(VLOOKUP(L590,Model_Assumptions!$A:$D,4,0),0)</f>
        <v>850000</v>
      </c>
      <c r="P590">
        <f>IFERROR(VLOOKUP(J590,Source_Assumptions!$A:$C,3,0),0)</f>
        <v>300</v>
      </c>
    </row>
    <row r="591" spans="1:16" x14ac:dyDescent="0.3">
      <c r="A591">
        <f>Raw_Data!A591</f>
        <v>590</v>
      </c>
      <c r="B591" s="2">
        <f>Raw_Data!B591</f>
        <v>45009</v>
      </c>
      <c r="C591">
        <f>YEAR(Raw_Data!B591)</f>
        <v>2023</v>
      </c>
      <c r="D591" t="str">
        <f>IF(MONTH(Raw_Data!B591)&gt;=4,YEAR(Raw_Data!B591)&amp;"-"&amp;RIGHT(YEAR(Raw_Data!B591)+1,2),YEAR(Raw_Data!B591)-1&amp;"-"&amp;RIGHT(YEAR(Raw_Data!B591),2))</f>
        <v>2022-23</v>
      </c>
      <c r="E591" t="str">
        <f>"Q"&amp;ROUNDUP(MONTH(Raw_Data!B591)/3,0)</f>
        <v>Q1</v>
      </c>
      <c r="F591" t="str">
        <f>TEXT(Raw_Data!B591,"mmm")</f>
        <v>Mar</v>
      </c>
      <c r="G591" t="str">
        <f>TEXT(Raw_Data!B591,"ddd")</f>
        <v>Fri</v>
      </c>
      <c r="H591" t="str">
        <f>Raw_Data!D591</f>
        <v>Invoiced</v>
      </c>
      <c r="I591" t="str">
        <f>Raw_Data!F591</f>
        <v>Walk-in Showroom</v>
      </c>
      <c r="J591" t="str">
        <f>Raw_Data!G591</f>
        <v>Adver. (TVC/Print/Hoarding/FM)</v>
      </c>
      <c r="K591" t="str">
        <f>IFERROR(VLOOKUP(J591,Source_Assumptions!$A:$C,2,0),"Unmapped")</f>
        <v>Traditional Advertising</v>
      </c>
      <c r="L591" t="str">
        <f>Raw_Data!H591</f>
        <v>AMAZE-PE</v>
      </c>
      <c r="M591" t="str">
        <f>IFERROR(VLOOKUP(L591,Model_Assumptions!$A:$D,2,0),"Unmapped")</f>
        <v>Sub-4m Sedan</v>
      </c>
      <c r="N591" t="str">
        <f>IFERROR(VLOOKUP(L591,Model_Assumptions!$A:$D,3,0),"Unmapped")</f>
        <v>Petrol</v>
      </c>
      <c r="O591">
        <f>IFERROR(VLOOKUP(L591,Model_Assumptions!$A:$D,4,0),0)</f>
        <v>850000</v>
      </c>
      <c r="P591">
        <f>IFERROR(VLOOKUP(J591,Source_Assumptions!$A:$C,3,0),0)</f>
        <v>1200</v>
      </c>
    </row>
    <row r="592" spans="1:16" x14ac:dyDescent="0.3">
      <c r="A592">
        <f>Raw_Data!A592</f>
        <v>591</v>
      </c>
      <c r="B592" s="2">
        <f>Raw_Data!B592</f>
        <v>45010</v>
      </c>
      <c r="C592">
        <f>YEAR(Raw_Data!B592)</f>
        <v>2023</v>
      </c>
      <c r="D592" t="str">
        <f>IF(MONTH(Raw_Data!B592)&gt;=4,YEAR(Raw_Data!B592)&amp;"-"&amp;RIGHT(YEAR(Raw_Data!B592)+1,2),YEAR(Raw_Data!B592)-1&amp;"-"&amp;RIGHT(YEAR(Raw_Data!B592),2))</f>
        <v>2022-23</v>
      </c>
      <c r="E592" t="str">
        <f>"Q"&amp;ROUNDUP(MONTH(Raw_Data!B592)/3,0)</f>
        <v>Q1</v>
      </c>
      <c r="F592" t="str">
        <f>TEXT(Raw_Data!B592,"mmm")</f>
        <v>Mar</v>
      </c>
      <c r="G592" t="str">
        <f>TEXT(Raw_Data!B592,"ddd")</f>
        <v>Sat</v>
      </c>
      <c r="H592" t="str">
        <f>Raw_Data!D592</f>
        <v>Invoiced</v>
      </c>
      <c r="I592" t="str">
        <f>Raw_Data!F592</f>
        <v>Tele-in</v>
      </c>
      <c r="J592" t="str">
        <f>Raw_Data!G592</f>
        <v>Referral-CAM</v>
      </c>
      <c r="K592" t="str">
        <f>IFERROR(VLOOKUP(J592,Source_Assumptions!$A:$C,2,0),"Unmapped")</f>
        <v>Referral</v>
      </c>
      <c r="L592" t="str">
        <f>Raw_Data!H592</f>
        <v>AMAZE-PE</v>
      </c>
      <c r="M592" t="str">
        <f>IFERROR(VLOOKUP(L592,Model_Assumptions!$A:$D,2,0),"Unmapped")</f>
        <v>Sub-4m Sedan</v>
      </c>
      <c r="N592" t="str">
        <f>IFERROR(VLOOKUP(L592,Model_Assumptions!$A:$D,3,0),"Unmapped")</f>
        <v>Petrol</v>
      </c>
      <c r="O592">
        <f>IFERROR(VLOOKUP(L592,Model_Assumptions!$A:$D,4,0),0)</f>
        <v>850000</v>
      </c>
      <c r="P592">
        <f>IFERROR(VLOOKUP(J592,Source_Assumptions!$A:$C,3,0),0)</f>
        <v>150</v>
      </c>
    </row>
    <row r="593" spans="1:16" x14ac:dyDescent="0.3">
      <c r="A593">
        <f>Raw_Data!A593</f>
        <v>592</v>
      </c>
      <c r="B593" s="2">
        <f>Raw_Data!B593</f>
        <v>45012</v>
      </c>
      <c r="C593">
        <f>YEAR(Raw_Data!B593)</f>
        <v>2023</v>
      </c>
      <c r="D593" t="str">
        <f>IF(MONTH(Raw_Data!B593)&gt;=4,YEAR(Raw_Data!B593)&amp;"-"&amp;RIGHT(YEAR(Raw_Data!B593)+1,2),YEAR(Raw_Data!B593)-1&amp;"-"&amp;RIGHT(YEAR(Raw_Data!B593),2))</f>
        <v>2022-23</v>
      </c>
      <c r="E593" t="str">
        <f>"Q"&amp;ROUNDUP(MONTH(Raw_Data!B593)/3,0)</f>
        <v>Q1</v>
      </c>
      <c r="F593" t="str">
        <f>TEXT(Raw_Data!B593,"mmm")</f>
        <v>Mar</v>
      </c>
      <c r="G593" t="str">
        <f>TEXT(Raw_Data!B593,"ddd")</f>
        <v>Mon</v>
      </c>
      <c r="H593" t="str">
        <f>Raw_Data!D593</f>
        <v>Invoiced</v>
      </c>
      <c r="I593" t="str">
        <f>Raw_Data!F593</f>
        <v>Walk-in Showroom</v>
      </c>
      <c r="J593" t="str">
        <f>Raw_Data!G593</f>
        <v>Adver. (TVC/Print/Hoarding/FM)</v>
      </c>
      <c r="K593" t="str">
        <f>IFERROR(VLOOKUP(J593,Source_Assumptions!$A:$C,2,0),"Unmapped")</f>
        <v>Traditional Advertising</v>
      </c>
      <c r="L593" t="str">
        <f>Raw_Data!H593</f>
        <v>AMAZE-PE</v>
      </c>
      <c r="M593" t="str">
        <f>IFERROR(VLOOKUP(L593,Model_Assumptions!$A:$D,2,0),"Unmapped")</f>
        <v>Sub-4m Sedan</v>
      </c>
      <c r="N593" t="str">
        <f>IFERROR(VLOOKUP(L593,Model_Assumptions!$A:$D,3,0),"Unmapped")</f>
        <v>Petrol</v>
      </c>
      <c r="O593">
        <f>IFERROR(VLOOKUP(L593,Model_Assumptions!$A:$D,4,0),0)</f>
        <v>850000</v>
      </c>
      <c r="P593">
        <f>IFERROR(VLOOKUP(J593,Source_Assumptions!$A:$C,3,0),0)</f>
        <v>1200</v>
      </c>
    </row>
    <row r="594" spans="1:16" x14ac:dyDescent="0.3">
      <c r="A594">
        <f>Raw_Data!A594</f>
        <v>593</v>
      </c>
      <c r="B594" s="2">
        <f>Raw_Data!B594</f>
        <v>45013</v>
      </c>
      <c r="C594">
        <f>YEAR(Raw_Data!B594)</f>
        <v>2023</v>
      </c>
      <c r="D594" t="str">
        <f>IF(MONTH(Raw_Data!B594)&gt;=4,YEAR(Raw_Data!B594)&amp;"-"&amp;RIGHT(YEAR(Raw_Data!B594)+1,2),YEAR(Raw_Data!B594)-1&amp;"-"&amp;RIGHT(YEAR(Raw_Data!B594),2))</f>
        <v>2022-23</v>
      </c>
      <c r="E594" t="str">
        <f>"Q"&amp;ROUNDUP(MONTH(Raw_Data!B594)/3,0)</f>
        <v>Q1</v>
      </c>
      <c r="F594" t="str">
        <f>TEXT(Raw_Data!B594,"mmm")</f>
        <v>Mar</v>
      </c>
      <c r="G594" t="str">
        <f>TEXT(Raw_Data!B594,"ddd")</f>
        <v>Tue</v>
      </c>
      <c r="H594" t="str">
        <f>Raw_Data!D594</f>
        <v>Invoiced</v>
      </c>
      <c r="I594" t="str">
        <f>Raw_Data!F594</f>
        <v>SMS/ Tele-Out</v>
      </c>
      <c r="J594" t="str">
        <f>Raw_Data!G594</f>
        <v>Database Activity(Teleout/SMS)</v>
      </c>
      <c r="K594" t="str">
        <f>IFERROR(VLOOKUP(J594,Source_Assumptions!$A:$C,2,0),"Unmapped")</f>
        <v>Outbound/Database</v>
      </c>
      <c r="L594" t="str">
        <f>Raw_Data!H594</f>
        <v>AMAZE-PE</v>
      </c>
      <c r="M594" t="str">
        <f>IFERROR(VLOOKUP(L594,Model_Assumptions!$A:$D,2,0),"Unmapped")</f>
        <v>Sub-4m Sedan</v>
      </c>
      <c r="N594" t="str">
        <f>IFERROR(VLOOKUP(L594,Model_Assumptions!$A:$D,3,0),"Unmapped")</f>
        <v>Petrol</v>
      </c>
      <c r="O594">
        <f>IFERROR(VLOOKUP(L594,Model_Assumptions!$A:$D,4,0),0)</f>
        <v>850000</v>
      </c>
      <c r="P594">
        <f>IFERROR(VLOOKUP(J594,Source_Assumptions!$A:$C,3,0),0)</f>
        <v>250</v>
      </c>
    </row>
    <row r="595" spans="1:16" x14ac:dyDescent="0.3">
      <c r="A595">
        <f>Raw_Data!A595</f>
        <v>594</v>
      </c>
      <c r="B595" s="2">
        <f>Raw_Data!B595</f>
        <v>45014</v>
      </c>
      <c r="C595">
        <f>YEAR(Raw_Data!B595)</f>
        <v>2023</v>
      </c>
      <c r="D595" t="str">
        <f>IF(MONTH(Raw_Data!B595)&gt;=4,YEAR(Raw_Data!B595)&amp;"-"&amp;RIGHT(YEAR(Raw_Data!B595)+1,2),YEAR(Raw_Data!B595)-1&amp;"-"&amp;RIGHT(YEAR(Raw_Data!B595),2))</f>
        <v>2022-23</v>
      </c>
      <c r="E595" t="str">
        <f>"Q"&amp;ROUNDUP(MONTH(Raw_Data!B595)/3,0)</f>
        <v>Q1</v>
      </c>
      <c r="F595" t="str">
        <f>TEXT(Raw_Data!B595,"mmm")</f>
        <v>Mar</v>
      </c>
      <c r="G595" t="str">
        <f>TEXT(Raw_Data!B595,"ddd")</f>
        <v>Wed</v>
      </c>
      <c r="H595" t="str">
        <f>Raw_Data!D595</f>
        <v>Invoiced</v>
      </c>
      <c r="I595" t="str">
        <f>Raw_Data!F595</f>
        <v>Web Lead</v>
      </c>
      <c r="J595" t="str">
        <f>Raw_Data!G595</f>
        <v>Web</v>
      </c>
      <c r="K595" t="str">
        <f>IFERROR(VLOOKUP(J595,Source_Assumptions!$A:$C,2,0),"Unmapped")</f>
        <v>Digital - Owned</v>
      </c>
      <c r="L595" t="str">
        <f>Raw_Data!H595</f>
        <v>5TH GEN CITY PE</v>
      </c>
      <c r="M595" t="str">
        <f>IFERROR(VLOOKUP(L595,Model_Assumptions!$A:$D,2,0),"Unmapped")</f>
        <v>Mid-size Sedan</v>
      </c>
      <c r="N595" t="str">
        <f>IFERROR(VLOOKUP(L595,Model_Assumptions!$A:$D,3,0),"Unmapped")</f>
        <v>Petrol</v>
      </c>
      <c r="O595">
        <f>IFERROR(VLOOKUP(L595,Model_Assumptions!$A:$D,4,0),0)</f>
        <v>1250000</v>
      </c>
      <c r="P595">
        <f>IFERROR(VLOOKUP(J595,Source_Assumptions!$A:$C,3,0),0)</f>
        <v>300</v>
      </c>
    </row>
    <row r="596" spans="1:16" x14ac:dyDescent="0.3">
      <c r="A596">
        <f>Raw_Data!A596</f>
        <v>595</v>
      </c>
      <c r="B596" s="2">
        <f>Raw_Data!B596</f>
        <v>45016</v>
      </c>
      <c r="C596">
        <f>YEAR(Raw_Data!B596)</f>
        <v>2023</v>
      </c>
      <c r="D596" t="str">
        <f>IF(MONTH(Raw_Data!B596)&gt;=4,YEAR(Raw_Data!B596)&amp;"-"&amp;RIGHT(YEAR(Raw_Data!B596)+1,2),YEAR(Raw_Data!B596)-1&amp;"-"&amp;RIGHT(YEAR(Raw_Data!B596),2))</f>
        <v>2022-23</v>
      </c>
      <c r="E596" t="str">
        <f>"Q"&amp;ROUNDUP(MONTH(Raw_Data!B596)/3,0)</f>
        <v>Q1</v>
      </c>
      <c r="F596" t="str">
        <f>TEXT(Raw_Data!B596,"mmm")</f>
        <v>Mar</v>
      </c>
      <c r="G596" t="str">
        <f>TEXT(Raw_Data!B596,"ddd")</f>
        <v>Fri</v>
      </c>
      <c r="H596" t="str">
        <f>Raw_Data!D596</f>
        <v>Invoiced</v>
      </c>
      <c r="I596" t="str">
        <f>Raw_Data!F596</f>
        <v>SMS/ Tele-Out</v>
      </c>
      <c r="J596" t="str">
        <f>Raw_Data!G596</f>
        <v>Database Activity(Teleout/SMS)</v>
      </c>
      <c r="K596" t="str">
        <f>IFERROR(VLOOKUP(J596,Source_Assumptions!$A:$C,2,0),"Unmapped")</f>
        <v>Outbound/Database</v>
      </c>
      <c r="L596" t="str">
        <f>Raw_Data!H596</f>
        <v>AMAZE-PE</v>
      </c>
      <c r="M596" t="str">
        <f>IFERROR(VLOOKUP(L596,Model_Assumptions!$A:$D,2,0),"Unmapped")</f>
        <v>Sub-4m Sedan</v>
      </c>
      <c r="N596" t="str">
        <f>IFERROR(VLOOKUP(L596,Model_Assumptions!$A:$D,3,0),"Unmapped")</f>
        <v>Petrol</v>
      </c>
      <c r="O596">
        <f>IFERROR(VLOOKUP(L596,Model_Assumptions!$A:$D,4,0),0)</f>
        <v>850000</v>
      </c>
      <c r="P596">
        <f>IFERROR(VLOOKUP(J596,Source_Assumptions!$A:$C,3,0),0)</f>
        <v>250</v>
      </c>
    </row>
    <row r="597" spans="1:16" x14ac:dyDescent="0.3">
      <c r="A597">
        <f>Raw_Data!A597</f>
        <v>596</v>
      </c>
      <c r="B597" s="2">
        <f>Raw_Data!B597</f>
        <v>45016</v>
      </c>
      <c r="C597">
        <f>YEAR(Raw_Data!B597)</f>
        <v>2023</v>
      </c>
      <c r="D597" t="str">
        <f>IF(MONTH(Raw_Data!B597)&gt;=4,YEAR(Raw_Data!B597)&amp;"-"&amp;RIGHT(YEAR(Raw_Data!B597)+1,2),YEAR(Raw_Data!B597)-1&amp;"-"&amp;RIGHT(YEAR(Raw_Data!B597),2))</f>
        <v>2022-23</v>
      </c>
      <c r="E597" t="str">
        <f>"Q"&amp;ROUNDUP(MONTH(Raw_Data!B597)/3,0)</f>
        <v>Q1</v>
      </c>
      <c r="F597" t="str">
        <f>TEXT(Raw_Data!B597,"mmm")</f>
        <v>Mar</v>
      </c>
      <c r="G597" t="str">
        <f>TEXT(Raw_Data!B597,"ddd")</f>
        <v>Fri</v>
      </c>
      <c r="H597" t="str">
        <f>Raw_Data!D597</f>
        <v>Invoiced</v>
      </c>
      <c r="I597" t="str">
        <f>Raw_Data!F597</f>
        <v>Tele-in</v>
      </c>
      <c r="J597" t="str">
        <f>Raw_Data!G597</f>
        <v>Dealer Webpage Tele-In</v>
      </c>
      <c r="K597" t="str">
        <f>IFERROR(VLOOKUP(J597,Source_Assumptions!$A:$C,2,0),"Unmapped")</f>
        <v>Digital - Owned</v>
      </c>
      <c r="L597" t="str">
        <f>Raw_Data!H597</f>
        <v>5TH GEN CITY PE</v>
      </c>
      <c r="M597" t="str">
        <f>IFERROR(VLOOKUP(L597,Model_Assumptions!$A:$D,2,0),"Unmapped")</f>
        <v>Mid-size Sedan</v>
      </c>
      <c r="N597" t="str">
        <f>IFERROR(VLOOKUP(L597,Model_Assumptions!$A:$D,3,0),"Unmapped")</f>
        <v>Petrol</v>
      </c>
      <c r="O597">
        <f>IFERROR(VLOOKUP(L597,Model_Assumptions!$A:$D,4,0),0)</f>
        <v>1250000</v>
      </c>
      <c r="P597">
        <f>IFERROR(VLOOKUP(J597,Source_Assumptions!$A:$C,3,0),0)</f>
        <v>300</v>
      </c>
    </row>
    <row r="598" spans="1:16" x14ac:dyDescent="0.3">
      <c r="A598">
        <f>Raw_Data!A598</f>
        <v>597</v>
      </c>
      <c r="B598" s="2">
        <f>Raw_Data!B598</f>
        <v>45016</v>
      </c>
      <c r="C598">
        <f>YEAR(Raw_Data!B598)</f>
        <v>2023</v>
      </c>
      <c r="D598" t="str">
        <f>IF(MONTH(Raw_Data!B598)&gt;=4,YEAR(Raw_Data!B598)&amp;"-"&amp;RIGHT(YEAR(Raw_Data!B598)+1,2),YEAR(Raw_Data!B598)-1&amp;"-"&amp;RIGHT(YEAR(Raw_Data!B598),2))</f>
        <v>2022-23</v>
      </c>
      <c r="E598" t="str">
        <f>"Q"&amp;ROUNDUP(MONTH(Raw_Data!B598)/3,0)</f>
        <v>Q1</v>
      </c>
      <c r="F598" t="str">
        <f>TEXT(Raw_Data!B598,"mmm")</f>
        <v>Mar</v>
      </c>
      <c r="G598" t="str">
        <f>TEXT(Raw_Data!B598,"ddd")</f>
        <v>Fri</v>
      </c>
      <c r="H598" t="str">
        <f>Raw_Data!D598</f>
        <v>Invoiced</v>
      </c>
      <c r="I598" t="str">
        <f>Raw_Data!F598</f>
        <v>Web Lead</v>
      </c>
      <c r="J598" t="str">
        <f>Raw_Data!G598</f>
        <v>Web</v>
      </c>
      <c r="K598" t="str">
        <f>IFERROR(VLOOKUP(J598,Source_Assumptions!$A:$C,2,0),"Unmapped")</f>
        <v>Digital - Owned</v>
      </c>
      <c r="L598" t="str">
        <f>Raw_Data!H598</f>
        <v>AMAZE-PE</v>
      </c>
      <c r="M598" t="str">
        <f>IFERROR(VLOOKUP(L598,Model_Assumptions!$A:$D,2,0),"Unmapped")</f>
        <v>Sub-4m Sedan</v>
      </c>
      <c r="N598" t="str">
        <f>IFERROR(VLOOKUP(L598,Model_Assumptions!$A:$D,3,0),"Unmapped")</f>
        <v>Petrol</v>
      </c>
      <c r="O598">
        <f>IFERROR(VLOOKUP(L598,Model_Assumptions!$A:$D,4,0),0)</f>
        <v>850000</v>
      </c>
      <c r="P598">
        <f>IFERROR(VLOOKUP(J598,Source_Assumptions!$A:$C,3,0),0)</f>
        <v>300</v>
      </c>
    </row>
    <row r="599" spans="1:16" x14ac:dyDescent="0.3">
      <c r="A599">
        <f>Raw_Data!A599</f>
        <v>598</v>
      </c>
      <c r="B599" s="2">
        <f>Raw_Data!B599</f>
        <v>45016</v>
      </c>
      <c r="C599">
        <f>YEAR(Raw_Data!B599)</f>
        <v>2023</v>
      </c>
      <c r="D599" t="str">
        <f>IF(MONTH(Raw_Data!B599)&gt;=4,YEAR(Raw_Data!B599)&amp;"-"&amp;RIGHT(YEAR(Raw_Data!B599)+1,2),YEAR(Raw_Data!B599)-1&amp;"-"&amp;RIGHT(YEAR(Raw_Data!B599),2))</f>
        <v>2022-23</v>
      </c>
      <c r="E599" t="str">
        <f>"Q"&amp;ROUNDUP(MONTH(Raw_Data!B599)/3,0)</f>
        <v>Q1</v>
      </c>
      <c r="F599" t="str">
        <f>TEXT(Raw_Data!B599,"mmm")</f>
        <v>Mar</v>
      </c>
      <c r="G599" t="str">
        <f>TEXT(Raw_Data!B599,"ddd")</f>
        <v>Fri</v>
      </c>
      <c r="H599" t="str">
        <f>Raw_Data!D599</f>
        <v>Invoiced</v>
      </c>
      <c r="I599" t="str">
        <f>Raw_Data!F599</f>
        <v>Walk-in Showroom</v>
      </c>
      <c r="J599" t="str">
        <f>Raw_Data!G599</f>
        <v>Adver. (TVC/Print/Hoarding/FM)</v>
      </c>
      <c r="K599" t="str">
        <f>IFERROR(VLOOKUP(J599,Source_Assumptions!$A:$C,2,0),"Unmapped")</f>
        <v>Traditional Advertising</v>
      </c>
      <c r="L599" t="str">
        <f>Raw_Data!H599</f>
        <v>5TH GEN CITY PE</v>
      </c>
      <c r="M599" t="str">
        <f>IFERROR(VLOOKUP(L599,Model_Assumptions!$A:$D,2,0),"Unmapped")</f>
        <v>Mid-size Sedan</v>
      </c>
      <c r="N599" t="str">
        <f>IFERROR(VLOOKUP(L599,Model_Assumptions!$A:$D,3,0),"Unmapped")</f>
        <v>Petrol</v>
      </c>
      <c r="O599">
        <f>IFERROR(VLOOKUP(L599,Model_Assumptions!$A:$D,4,0),0)</f>
        <v>1250000</v>
      </c>
      <c r="P599">
        <f>IFERROR(VLOOKUP(J599,Source_Assumptions!$A:$C,3,0),0)</f>
        <v>1200</v>
      </c>
    </row>
    <row r="600" spans="1:16" x14ac:dyDescent="0.3">
      <c r="A600">
        <f>Raw_Data!A600</f>
        <v>599</v>
      </c>
      <c r="B600" s="2">
        <f>Raw_Data!B600</f>
        <v>45016</v>
      </c>
      <c r="C600">
        <f>YEAR(Raw_Data!B600)</f>
        <v>2023</v>
      </c>
      <c r="D600" t="str">
        <f>IF(MONTH(Raw_Data!B600)&gt;=4,YEAR(Raw_Data!B600)&amp;"-"&amp;RIGHT(YEAR(Raw_Data!B600)+1,2),YEAR(Raw_Data!B600)-1&amp;"-"&amp;RIGHT(YEAR(Raw_Data!B600),2))</f>
        <v>2022-23</v>
      </c>
      <c r="E600" t="str">
        <f>"Q"&amp;ROUNDUP(MONTH(Raw_Data!B600)/3,0)</f>
        <v>Q1</v>
      </c>
      <c r="F600" t="str">
        <f>TEXT(Raw_Data!B600,"mmm")</f>
        <v>Mar</v>
      </c>
      <c r="G600" t="str">
        <f>TEXT(Raw_Data!B600,"ddd")</f>
        <v>Fri</v>
      </c>
      <c r="H600" t="str">
        <f>Raw_Data!D600</f>
        <v>Invoiced</v>
      </c>
      <c r="I600" t="str">
        <f>Raw_Data!F600</f>
        <v>Tele-in</v>
      </c>
      <c r="J600" t="str">
        <f>Raw_Data!G600</f>
        <v>Dealer Webpage Tele-In</v>
      </c>
      <c r="K600" t="str">
        <f>IFERROR(VLOOKUP(J600,Source_Assumptions!$A:$C,2,0),"Unmapped")</f>
        <v>Digital - Owned</v>
      </c>
      <c r="L600" t="str">
        <f>Raw_Data!H600</f>
        <v>AMAZE-PE</v>
      </c>
      <c r="M600" t="str">
        <f>IFERROR(VLOOKUP(L600,Model_Assumptions!$A:$D,2,0),"Unmapped")</f>
        <v>Sub-4m Sedan</v>
      </c>
      <c r="N600" t="str">
        <f>IFERROR(VLOOKUP(L600,Model_Assumptions!$A:$D,3,0),"Unmapped")</f>
        <v>Petrol</v>
      </c>
      <c r="O600">
        <f>IFERROR(VLOOKUP(L600,Model_Assumptions!$A:$D,4,0),0)</f>
        <v>850000</v>
      </c>
      <c r="P600">
        <f>IFERROR(VLOOKUP(J600,Source_Assumptions!$A:$C,3,0),0)</f>
        <v>300</v>
      </c>
    </row>
    <row r="601" spans="1:16" x14ac:dyDescent="0.3">
      <c r="A601">
        <f>Raw_Data!A601</f>
        <v>600</v>
      </c>
      <c r="B601" s="2">
        <f>Raw_Data!B601</f>
        <v>45016</v>
      </c>
      <c r="C601">
        <f>YEAR(Raw_Data!B601)</f>
        <v>2023</v>
      </c>
      <c r="D601" t="str">
        <f>IF(MONTH(Raw_Data!B601)&gt;=4,YEAR(Raw_Data!B601)&amp;"-"&amp;RIGHT(YEAR(Raw_Data!B601)+1,2),YEAR(Raw_Data!B601)-1&amp;"-"&amp;RIGHT(YEAR(Raw_Data!B601),2))</f>
        <v>2022-23</v>
      </c>
      <c r="E601" t="str">
        <f>"Q"&amp;ROUNDUP(MONTH(Raw_Data!B601)/3,0)</f>
        <v>Q1</v>
      </c>
      <c r="F601" t="str">
        <f>TEXT(Raw_Data!B601,"mmm")</f>
        <v>Mar</v>
      </c>
      <c r="G601" t="str">
        <f>TEXT(Raw_Data!B601,"ddd")</f>
        <v>Fri</v>
      </c>
      <c r="H601" t="str">
        <f>Raw_Data!D601</f>
        <v>Invoiced</v>
      </c>
      <c r="I601" t="str">
        <f>Raw_Data!F601</f>
        <v>Tele-in</v>
      </c>
      <c r="J601" t="str">
        <f>Raw_Data!G601</f>
        <v>Dealer Webpage Tele-In</v>
      </c>
      <c r="K601" t="str">
        <f>IFERROR(VLOOKUP(J601,Source_Assumptions!$A:$C,2,0),"Unmapped")</f>
        <v>Digital - Owned</v>
      </c>
      <c r="L601" t="str">
        <f>Raw_Data!H601</f>
        <v>AMAZE-PE</v>
      </c>
      <c r="M601" t="str">
        <f>IFERROR(VLOOKUP(L601,Model_Assumptions!$A:$D,2,0),"Unmapped")</f>
        <v>Sub-4m Sedan</v>
      </c>
      <c r="N601" t="str">
        <f>IFERROR(VLOOKUP(L601,Model_Assumptions!$A:$D,3,0),"Unmapped")</f>
        <v>Petrol</v>
      </c>
      <c r="O601">
        <f>IFERROR(VLOOKUP(L601,Model_Assumptions!$A:$D,4,0),0)</f>
        <v>850000</v>
      </c>
      <c r="P601">
        <f>IFERROR(VLOOKUP(J601,Source_Assumptions!$A:$C,3,0),0)</f>
        <v>300</v>
      </c>
    </row>
    <row r="602" spans="1:16" x14ac:dyDescent="0.3">
      <c r="A602">
        <f>Raw_Data!A602</f>
        <v>601</v>
      </c>
      <c r="B602" s="2">
        <f>Raw_Data!B602</f>
        <v>45016</v>
      </c>
      <c r="C602">
        <f>YEAR(Raw_Data!B602)</f>
        <v>2023</v>
      </c>
      <c r="D602" t="str">
        <f>IF(MONTH(Raw_Data!B602)&gt;=4,YEAR(Raw_Data!B602)&amp;"-"&amp;RIGHT(YEAR(Raw_Data!B602)+1,2),YEAR(Raw_Data!B602)-1&amp;"-"&amp;RIGHT(YEAR(Raw_Data!B602),2))</f>
        <v>2022-23</v>
      </c>
      <c r="E602" t="str">
        <f>"Q"&amp;ROUNDUP(MONTH(Raw_Data!B602)/3,0)</f>
        <v>Q1</v>
      </c>
      <c r="F602" t="str">
        <f>TEXT(Raw_Data!B602,"mmm")</f>
        <v>Mar</v>
      </c>
      <c r="G602" t="str">
        <f>TEXT(Raw_Data!B602,"ddd")</f>
        <v>Fri</v>
      </c>
      <c r="H602" t="str">
        <f>Raw_Data!D602</f>
        <v>Invoiced</v>
      </c>
      <c r="I602" t="str">
        <f>Raw_Data!F602</f>
        <v>Tele-in</v>
      </c>
      <c r="J602" t="str">
        <f>Raw_Data!G602</f>
        <v>Referral-CAM</v>
      </c>
      <c r="K602" t="str">
        <f>IFERROR(VLOOKUP(J602,Source_Assumptions!$A:$C,2,0),"Unmapped")</f>
        <v>Referral</v>
      </c>
      <c r="L602" t="str">
        <f>Raw_Data!H602</f>
        <v>AMAZE-PE</v>
      </c>
      <c r="M602" t="str">
        <f>IFERROR(VLOOKUP(L602,Model_Assumptions!$A:$D,2,0),"Unmapped")</f>
        <v>Sub-4m Sedan</v>
      </c>
      <c r="N602" t="str">
        <f>IFERROR(VLOOKUP(L602,Model_Assumptions!$A:$D,3,0),"Unmapped")</f>
        <v>Petrol</v>
      </c>
      <c r="O602">
        <f>IFERROR(VLOOKUP(L602,Model_Assumptions!$A:$D,4,0),0)</f>
        <v>850000</v>
      </c>
      <c r="P602">
        <f>IFERROR(VLOOKUP(J602,Source_Assumptions!$A:$C,3,0),0)</f>
        <v>150</v>
      </c>
    </row>
    <row r="603" spans="1:16" x14ac:dyDescent="0.3">
      <c r="A603">
        <f>Raw_Data!A603</f>
        <v>602</v>
      </c>
      <c r="B603" s="2">
        <f>Raw_Data!B603</f>
        <v>45016</v>
      </c>
      <c r="C603">
        <f>YEAR(Raw_Data!B603)</f>
        <v>2023</v>
      </c>
      <c r="D603" t="str">
        <f>IF(MONTH(Raw_Data!B603)&gt;=4,YEAR(Raw_Data!B603)&amp;"-"&amp;RIGHT(YEAR(Raw_Data!B603)+1,2),YEAR(Raw_Data!B603)-1&amp;"-"&amp;RIGHT(YEAR(Raw_Data!B603),2))</f>
        <v>2022-23</v>
      </c>
      <c r="E603" t="str">
        <f>"Q"&amp;ROUNDUP(MONTH(Raw_Data!B603)/3,0)</f>
        <v>Q1</v>
      </c>
      <c r="F603" t="str">
        <f>TEXT(Raw_Data!B603,"mmm")</f>
        <v>Mar</v>
      </c>
      <c r="G603" t="str">
        <f>TEXT(Raw_Data!B603,"ddd")</f>
        <v>Fri</v>
      </c>
      <c r="H603" t="str">
        <f>Raw_Data!D603</f>
        <v>Invoiced</v>
      </c>
      <c r="I603" t="str">
        <f>Raw_Data!F603</f>
        <v>Web Lead</v>
      </c>
      <c r="J603" t="str">
        <f>Raw_Data!G603</f>
        <v>Web</v>
      </c>
      <c r="K603" t="str">
        <f>IFERROR(VLOOKUP(J603,Source_Assumptions!$A:$C,2,0),"Unmapped")</f>
        <v>Digital - Owned</v>
      </c>
      <c r="L603" t="str">
        <f>Raw_Data!H603</f>
        <v>AMAZE-PE</v>
      </c>
      <c r="M603" t="str">
        <f>IFERROR(VLOOKUP(L603,Model_Assumptions!$A:$D,2,0),"Unmapped")</f>
        <v>Sub-4m Sedan</v>
      </c>
      <c r="N603" t="str">
        <f>IFERROR(VLOOKUP(L603,Model_Assumptions!$A:$D,3,0),"Unmapped")</f>
        <v>Petrol</v>
      </c>
      <c r="O603">
        <f>IFERROR(VLOOKUP(L603,Model_Assumptions!$A:$D,4,0),0)</f>
        <v>850000</v>
      </c>
      <c r="P603">
        <f>IFERROR(VLOOKUP(J603,Source_Assumptions!$A:$C,3,0),0)</f>
        <v>300</v>
      </c>
    </row>
    <row r="604" spans="1:16" x14ac:dyDescent="0.3">
      <c r="A604">
        <f>Raw_Data!A604</f>
        <v>603</v>
      </c>
      <c r="B604" s="2">
        <f>Raw_Data!B604</f>
        <v>45016</v>
      </c>
      <c r="C604">
        <f>YEAR(Raw_Data!B604)</f>
        <v>2023</v>
      </c>
      <c r="D604" t="str">
        <f>IF(MONTH(Raw_Data!B604)&gt;=4,YEAR(Raw_Data!B604)&amp;"-"&amp;RIGHT(YEAR(Raw_Data!B604)+1,2),YEAR(Raw_Data!B604)-1&amp;"-"&amp;RIGHT(YEAR(Raw_Data!B604),2))</f>
        <v>2022-23</v>
      </c>
      <c r="E604" t="str">
        <f>"Q"&amp;ROUNDUP(MONTH(Raw_Data!B604)/3,0)</f>
        <v>Q1</v>
      </c>
      <c r="F604" t="str">
        <f>TEXT(Raw_Data!B604,"mmm")</f>
        <v>Mar</v>
      </c>
      <c r="G604" t="str">
        <f>TEXT(Raw_Data!B604,"ddd")</f>
        <v>Fri</v>
      </c>
      <c r="H604" t="str">
        <f>Raw_Data!D604</f>
        <v>Invoiced</v>
      </c>
      <c r="I604" t="str">
        <f>Raw_Data!F604</f>
        <v>Walk-in Showroom</v>
      </c>
      <c r="J604" t="str">
        <f>Raw_Data!G604</f>
        <v>Adver. (TVC/Print/Hoarding/FM)</v>
      </c>
      <c r="K604" t="str">
        <f>IFERROR(VLOOKUP(J604,Source_Assumptions!$A:$C,2,0),"Unmapped")</f>
        <v>Traditional Advertising</v>
      </c>
      <c r="L604" t="str">
        <f>Raw_Data!H604</f>
        <v>AMAZE-PE</v>
      </c>
      <c r="M604" t="str">
        <f>IFERROR(VLOOKUP(L604,Model_Assumptions!$A:$D,2,0),"Unmapped")</f>
        <v>Sub-4m Sedan</v>
      </c>
      <c r="N604" t="str">
        <f>IFERROR(VLOOKUP(L604,Model_Assumptions!$A:$D,3,0),"Unmapped")</f>
        <v>Petrol</v>
      </c>
      <c r="O604">
        <f>IFERROR(VLOOKUP(L604,Model_Assumptions!$A:$D,4,0),0)</f>
        <v>850000</v>
      </c>
      <c r="P604">
        <f>IFERROR(VLOOKUP(J604,Source_Assumptions!$A:$C,3,0),0)</f>
        <v>1200</v>
      </c>
    </row>
    <row r="605" spans="1:16" x14ac:dyDescent="0.3">
      <c r="A605">
        <f>Raw_Data!A605</f>
        <v>604</v>
      </c>
      <c r="B605" s="2">
        <f>Raw_Data!B605</f>
        <v>45027</v>
      </c>
      <c r="C605">
        <f>YEAR(Raw_Data!B605)</f>
        <v>2023</v>
      </c>
      <c r="D605" t="str">
        <f>IF(MONTH(Raw_Data!B605)&gt;=4,YEAR(Raw_Data!B605)&amp;"-"&amp;RIGHT(YEAR(Raw_Data!B605)+1,2),YEAR(Raw_Data!B605)-1&amp;"-"&amp;RIGHT(YEAR(Raw_Data!B605),2))</f>
        <v>2023-24</v>
      </c>
      <c r="E605" t="str">
        <f>"Q"&amp;ROUNDUP(MONTH(Raw_Data!B605)/3,0)</f>
        <v>Q2</v>
      </c>
      <c r="F605" t="str">
        <f>TEXT(Raw_Data!B605,"mmm")</f>
        <v>Apr</v>
      </c>
      <c r="G605" t="str">
        <f>TEXT(Raw_Data!B605,"ddd")</f>
        <v>Tue</v>
      </c>
      <c r="H605" t="str">
        <f>Raw_Data!D605</f>
        <v>Invoiced</v>
      </c>
      <c r="I605" t="str">
        <f>Raw_Data!F605</f>
        <v>Tele-in</v>
      </c>
      <c r="J605" t="str">
        <f>Raw_Data!G605</f>
        <v>Dealer Webpage Tele-In</v>
      </c>
      <c r="K605" t="str">
        <f>IFERROR(VLOOKUP(J605,Source_Assumptions!$A:$C,2,0),"Unmapped")</f>
        <v>Digital - Owned</v>
      </c>
      <c r="L605" t="str">
        <f>Raw_Data!H605</f>
        <v>5TH GEN CITY PE</v>
      </c>
      <c r="M605" t="str">
        <f>IFERROR(VLOOKUP(L605,Model_Assumptions!$A:$D,2,0),"Unmapped")</f>
        <v>Mid-size Sedan</v>
      </c>
      <c r="N605" t="str">
        <f>IFERROR(VLOOKUP(L605,Model_Assumptions!$A:$D,3,0),"Unmapped")</f>
        <v>Petrol</v>
      </c>
      <c r="O605">
        <f>IFERROR(VLOOKUP(L605,Model_Assumptions!$A:$D,4,0),0)</f>
        <v>1250000</v>
      </c>
      <c r="P605">
        <f>IFERROR(VLOOKUP(J605,Source_Assumptions!$A:$C,3,0),0)</f>
        <v>300</v>
      </c>
    </row>
    <row r="606" spans="1:16" x14ac:dyDescent="0.3">
      <c r="A606">
        <f>Raw_Data!A606</f>
        <v>605</v>
      </c>
      <c r="B606" s="2">
        <f>Raw_Data!B606</f>
        <v>45027</v>
      </c>
      <c r="C606">
        <f>YEAR(Raw_Data!B606)</f>
        <v>2023</v>
      </c>
      <c r="D606" t="str">
        <f>IF(MONTH(Raw_Data!B606)&gt;=4,YEAR(Raw_Data!B606)&amp;"-"&amp;RIGHT(YEAR(Raw_Data!B606)+1,2),YEAR(Raw_Data!B606)-1&amp;"-"&amp;RIGHT(YEAR(Raw_Data!B606),2))</f>
        <v>2023-24</v>
      </c>
      <c r="E606" t="str">
        <f>"Q"&amp;ROUNDUP(MONTH(Raw_Data!B606)/3,0)</f>
        <v>Q2</v>
      </c>
      <c r="F606" t="str">
        <f>TEXT(Raw_Data!B606,"mmm")</f>
        <v>Apr</v>
      </c>
      <c r="G606" t="str">
        <f>TEXT(Raw_Data!B606,"ddd")</f>
        <v>Tue</v>
      </c>
      <c r="H606" t="str">
        <f>Raw_Data!D606</f>
        <v>Invoiced</v>
      </c>
      <c r="I606" t="str">
        <f>Raw_Data!F606</f>
        <v>Walk-in Showroom</v>
      </c>
      <c r="J606" t="str">
        <f>Raw_Data!G606</f>
        <v>Adver. (TVC/Print/Hoarding/FM)</v>
      </c>
      <c r="K606" t="str">
        <f>IFERROR(VLOOKUP(J606,Source_Assumptions!$A:$C,2,0),"Unmapped")</f>
        <v>Traditional Advertising</v>
      </c>
      <c r="L606" t="str">
        <f>Raw_Data!H606</f>
        <v>AMAZE-PE</v>
      </c>
      <c r="M606" t="str">
        <f>IFERROR(VLOOKUP(L606,Model_Assumptions!$A:$D,2,0),"Unmapped")</f>
        <v>Sub-4m Sedan</v>
      </c>
      <c r="N606" t="str">
        <f>IFERROR(VLOOKUP(L606,Model_Assumptions!$A:$D,3,0),"Unmapped")</f>
        <v>Petrol</v>
      </c>
      <c r="O606">
        <f>IFERROR(VLOOKUP(L606,Model_Assumptions!$A:$D,4,0),0)</f>
        <v>850000</v>
      </c>
      <c r="P606">
        <f>IFERROR(VLOOKUP(J606,Source_Assumptions!$A:$C,3,0),0)</f>
        <v>1200</v>
      </c>
    </row>
    <row r="607" spans="1:16" x14ac:dyDescent="0.3">
      <c r="A607">
        <f>Raw_Data!A607</f>
        <v>606</v>
      </c>
      <c r="B607" s="2">
        <f>Raw_Data!B607</f>
        <v>45028</v>
      </c>
      <c r="C607">
        <f>YEAR(Raw_Data!B607)</f>
        <v>2023</v>
      </c>
      <c r="D607" t="str">
        <f>IF(MONTH(Raw_Data!B607)&gt;=4,YEAR(Raw_Data!B607)&amp;"-"&amp;RIGHT(YEAR(Raw_Data!B607)+1,2),YEAR(Raw_Data!B607)-1&amp;"-"&amp;RIGHT(YEAR(Raw_Data!B607),2))</f>
        <v>2023-24</v>
      </c>
      <c r="E607" t="str">
        <f>"Q"&amp;ROUNDUP(MONTH(Raw_Data!B607)/3,0)</f>
        <v>Q2</v>
      </c>
      <c r="F607" t="str">
        <f>TEXT(Raw_Data!B607,"mmm")</f>
        <v>Apr</v>
      </c>
      <c r="G607" t="str">
        <f>TEXT(Raw_Data!B607,"ddd")</f>
        <v>Wed</v>
      </c>
      <c r="H607" t="str">
        <f>Raw_Data!D607</f>
        <v>Invoiced</v>
      </c>
      <c r="I607" t="str">
        <f>Raw_Data!F607</f>
        <v>Web Lead</v>
      </c>
      <c r="J607" t="str">
        <f>Raw_Data!G607</f>
        <v>Web</v>
      </c>
      <c r="K607" t="str">
        <f>IFERROR(VLOOKUP(J607,Source_Assumptions!$A:$C,2,0),"Unmapped")</f>
        <v>Digital - Owned</v>
      </c>
      <c r="L607" t="str">
        <f>Raw_Data!H607</f>
        <v>AMAZE-PE</v>
      </c>
      <c r="M607" t="str">
        <f>IFERROR(VLOOKUP(L607,Model_Assumptions!$A:$D,2,0),"Unmapped")</f>
        <v>Sub-4m Sedan</v>
      </c>
      <c r="N607" t="str">
        <f>IFERROR(VLOOKUP(L607,Model_Assumptions!$A:$D,3,0),"Unmapped")</f>
        <v>Petrol</v>
      </c>
      <c r="O607">
        <f>IFERROR(VLOOKUP(L607,Model_Assumptions!$A:$D,4,0),0)</f>
        <v>850000</v>
      </c>
      <c r="P607">
        <f>IFERROR(VLOOKUP(J607,Source_Assumptions!$A:$C,3,0),0)</f>
        <v>300</v>
      </c>
    </row>
    <row r="608" spans="1:16" x14ac:dyDescent="0.3">
      <c r="A608">
        <f>Raw_Data!A608</f>
        <v>607</v>
      </c>
      <c r="B608" s="2">
        <f>Raw_Data!B608</f>
        <v>45033</v>
      </c>
      <c r="C608">
        <f>YEAR(Raw_Data!B608)</f>
        <v>2023</v>
      </c>
      <c r="D608" t="str">
        <f>IF(MONTH(Raw_Data!B608)&gt;=4,YEAR(Raw_Data!B608)&amp;"-"&amp;RIGHT(YEAR(Raw_Data!B608)+1,2),YEAR(Raw_Data!B608)-1&amp;"-"&amp;RIGHT(YEAR(Raw_Data!B608),2))</f>
        <v>2023-24</v>
      </c>
      <c r="E608" t="str">
        <f>"Q"&amp;ROUNDUP(MONTH(Raw_Data!B608)/3,0)</f>
        <v>Q2</v>
      </c>
      <c r="F608" t="str">
        <f>TEXT(Raw_Data!B608,"mmm")</f>
        <v>Apr</v>
      </c>
      <c r="G608" t="str">
        <f>TEXT(Raw_Data!B608,"ddd")</f>
        <v>Mon</v>
      </c>
      <c r="H608" t="str">
        <f>Raw_Data!D608</f>
        <v>Invoiced</v>
      </c>
      <c r="I608" t="str">
        <f>Raw_Data!F608</f>
        <v>Web Lead</v>
      </c>
      <c r="J608" t="str">
        <f>Raw_Data!G608</f>
        <v>Web_Carwale</v>
      </c>
      <c r="K608" t="str">
        <f>IFERROR(VLOOKUP(J608,Source_Assumptions!$A:$C,2,0),"Unmapped")</f>
        <v>Digital - Aggregator (Paid)</v>
      </c>
      <c r="L608" t="str">
        <f>Raw_Data!H608</f>
        <v>AMAZE-PE</v>
      </c>
      <c r="M608" t="str">
        <f>IFERROR(VLOOKUP(L608,Model_Assumptions!$A:$D,2,0),"Unmapped")</f>
        <v>Sub-4m Sedan</v>
      </c>
      <c r="N608" t="str">
        <f>IFERROR(VLOOKUP(L608,Model_Assumptions!$A:$D,3,0),"Unmapped")</f>
        <v>Petrol</v>
      </c>
      <c r="O608">
        <f>IFERROR(VLOOKUP(L608,Model_Assumptions!$A:$D,4,0),0)</f>
        <v>850000</v>
      </c>
      <c r="P608">
        <f>IFERROR(VLOOKUP(J608,Source_Assumptions!$A:$C,3,0),0)</f>
        <v>900</v>
      </c>
    </row>
    <row r="609" spans="1:16" x14ac:dyDescent="0.3">
      <c r="A609">
        <f>Raw_Data!A609</f>
        <v>608</v>
      </c>
      <c r="B609" s="2">
        <f>Raw_Data!B609</f>
        <v>45034</v>
      </c>
      <c r="C609">
        <f>YEAR(Raw_Data!B609)</f>
        <v>2023</v>
      </c>
      <c r="D609" t="str">
        <f>IF(MONTH(Raw_Data!B609)&gt;=4,YEAR(Raw_Data!B609)&amp;"-"&amp;RIGHT(YEAR(Raw_Data!B609)+1,2),YEAR(Raw_Data!B609)-1&amp;"-"&amp;RIGHT(YEAR(Raw_Data!B609),2))</f>
        <v>2023-24</v>
      </c>
      <c r="E609" t="str">
        <f>"Q"&amp;ROUNDUP(MONTH(Raw_Data!B609)/3,0)</f>
        <v>Q2</v>
      </c>
      <c r="F609" t="str">
        <f>TEXT(Raw_Data!B609,"mmm")</f>
        <v>Apr</v>
      </c>
      <c r="G609" t="str">
        <f>TEXT(Raw_Data!B609,"ddd")</f>
        <v>Tue</v>
      </c>
      <c r="H609" t="str">
        <f>Raw_Data!D609</f>
        <v>Invoiced</v>
      </c>
      <c r="I609" t="str">
        <f>Raw_Data!F609</f>
        <v>Walk-in Showroom</v>
      </c>
      <c r="J609" t="str">
        <f>Raw_Data!G609</f>
        <v>Adver. (TVC/Print/Hoarding/FM)</v>
      </c>
      <c r="K609" t="str">
        <f>IFERROR(VLOOKUP(J609,Source_Assumptions!$A:$C,2,0),"Unmapped")</f>
        <v>Traditional Advertising</v>
      </c>
      <c r="L609" t="str">
        <f>Raw_Data!H609</f>
        <v>AMAZE-PE</v>
      </c>
      <c r="M609" t="str">
        <f>IFERROR(VLOOKUP(L609,Model_Assumptions!$A:$D,2,0),"Unmapped")</f>
        <v>Sub-4m Sedan</v>
      </c>
      <c r="N609" t="str">
        <f>IFERROR(VLOOKUP(L609,Model_Assumptions!$A:$D,3,0),"Unmapped")</f>
        <v>Petrol</v>
      </c>
      <c r="O609">
        <f>IFERROR(VLOOKUP(L609,Model_Assumptions!$A:$D,4,0),0)</f>
        <v>850000</v>
      </c>
      <c r="P609">
        <f>IFERROR(VLOOKUP(J609,Source_Assumptions!$A:$C,3,0),0)</f>
        <v>1200</v>
      </c>
    </row>
    <row r="610" spans="1:16" x14ac:dyDescent="0.3">
      <c r="A610">
        <f>Raw_Data!A610</f>
        <v>609</v>
      </c>
      <c r="B610" s="2">
        <f>Raw_Data!B610</f>
        <v>45035</v>
      </c>
      <c r="C610">
        <f>YEAR(Raw_Data!B610)</f>
        <v>2023</v>
      </c>
      <c r="D610" t="str">
        <f>IF(MONTH(Raw_Data!B610)&gt;=4,YEAR(Raw_Data!B610)&amp;"-"&amp;RIGHT(YEAR(Raw_Data!B610)+1,2),YEAR(Raw_Data!B610)-1&amp;"-"&amp;RIGHT(YEAR(Raw_Data!B610),2))</f>
        <v>2023-24</v>
      </c>
      <c r="E610" t="str">
        <f>"Q"&amp;ROUNDUP(MONTH(Raw_Data!B610)/3,0)</f>
        <v>Q2</v>
      </c>
      <c r="F610" t="str">
        <f>TEXT(Raw_Data!B610,"mmm")</f>
        <v>Apr</v>
      </c>
      <c r="G610" t="str">
        <f>TEXT(Raw_Data!B610,"ddd")</f>
        <v>Wed</v>
      </c>
      <c r="H610" t="str">
        <f>Raw_Data!D610</f>
        <v>Invoiced</v>
      </c>
      <c r="I610" t="str">
        <f>Raw_Data!F610</f>
        <v>Tele-in</v>
      </c>
      <c r="J610" t="str">
        <f>Raw_Data!G610</f>
        <v>Referral-CAM</v>
      </c>
      <c r="K610" t="str">
        <f>IFERROR(VLOOKUP(J610,Source_Assumptions!$A:$C,2,0),"Unmapped")</f>
        <v>Referral</v>
      </c>
      <c r="L610" t="str">
        <f>Raw_Data!H610</f>
        <v>JAZZ PE</v>
      </c>
      <c r="M610" t="str">
        <f>IFERROR(VLOOKUP(L610,Model_Assumptions!$A:$D,2,0),"Unmapped")</f>
        <v>Hatchback</v>
      </c>
      <c r="N610" t="str">
        <f>IFERROR(VLOOKUP(L610,Model_Assumptions!$A:$D,3,0),"Unmapped")</f>
        <v>Petrol</v>
      </c>
      <c r="O610">
        <f>IFERROR(VLOOKUP(L610,Model_Assumptions!$A:$D,4,0),0)</f>
        <v>800000</v>
      </c>
      <c r="P610">
        <f>IFERROR(VLOOKUP(J610,Source_Assumptions!$A:$C,3,0),0)</f>
        <v>150</v>
      </c>
    </row>
    <row r="611" spans="1:16" x14ac:dyDescent="0.3">
      <c r="A611">
        <f>Raw_Data!A611</f>
        <v>610</v>
      </c>
      <c r="B611" s="2">
        <f>Raw_Data!B611</f>
        <v>45035</v>
      </c>
      <c r="C611">
        <f>YEAR(Raw_Data!B611)</f>
        <v>2023</v>
      </c>
      <c r="D611" t="str">
        <f>IF(MONTH(Raw_Data!B611)&gt;=4,YEAR(Raw_Data!B611)&amp;"-"&amp;RIGHT(YEAR(Raw_Data!B611)+1,2),YEAR(Raw_Data!B611)-1&amp;"-"&amp;RIGHT(YEAR(Raw_Data!B611),2))</f>
        <v>2023-24</v>
      </c>
      <c r="E611" t="str">
        <f>"Q"&amp;ROUNDUP(MONTH(Raw_Data!B611)/3,0)</f>
        <v>Q2</v>
      </c>
      <c r="F611" t="str">
        <f>TEXT(Raw_Data!B611,"mmm")</f>
        <v>Apr</v>
      </c>
      <c r="G611" t="str">
        <f>TEXT(Raw_Data!B611,"ddd")</f>
        <v>Wed</v>
      </c>
      <c r="H611" t="str">
        <f>Raw_Data!D611</f>
        <v>Invoiced</v>
      </c>
      <c r="I611" t="str">
        <f>Raw_Data!F611</f>
        <v>Tele-in</v>
      </c>
      <c r="J611" t="str">
        <f>Raw_Data!G611</f>
        <v>Dealer Webpage Tele-In</v>
      </c>
      <c r="K611" t="str">
        <f>IFERROR(VLOOKUP(J611,Source_Assumptions!$A:$C,2,0),"Unmapped")</f>
        <v>Digital - Owned</v>
      </c>
      <c r="L611" t="str">
        <f>Raw_Data!H611</f>
        <v>AMAZE-PE</v>
      </c>
      <c r="M611" t="str">
        <f>IFERROR(VLOOKUP(L611,Model_Assumptions!$A:$D,2,0),"Unmapped")</f>
        <v>Sub-4m Sedan</v>
      </c>
      <c r="N611" t="str">
        <f>IFERROR(VLOOKUP(L611,Model_Assumptions!$A:$D,3,0),"Unmapped")</f>
        <v>Petrol</v>
      </c>
      <c r="O611">
        <f>IFERROR(VLOOKUP(L611,Model_Assumptions!$A:$D,4,0),0)</f>
        <v>850000</v>
      </c>
      <c r="P611">
        <f>IFERROR(VLOOKUP(J611,Source_Assumptions!$A:$C,3,0),0)</f>
        <v>300</v>
      </c>
    </row>
    <row r="612" spans="1:16" x14ac:dyDescent="0.3">
      <c r="A612">
        <f>Raw_Data!A612</f>
        <v>611</v>
      </c>
      <c r="B612" s="2">
        <f>Raw_Data!B612</f>
        <v>45035</v>
      </c>
      <c r="C612">
        <f>YEAR(Raw_Data!B612)</f>
        <v>2023</v>
      </c>
      <c r="D612" t="str">
        <f>IF(MONTH(Raw_Data!B612)&gt;=4,YEAR(Raw_Data!B612)&amp;"-"&amp;RIGHT(YEAR(Raw_Data!B612)+1,2),YEAR(Raw_Data!B612)-1&amp;"-"&amp;RIGHT(YEAR(Raw_Data!B612),2))</f>
        <v>2023-24</v>
      </c>
      <c r="E612" t="str">
        <f>"Q"&amp;ROUNDUP(MONTH(Raw_Data!B612)/3,0)</f>
        <v>Q2</v>
      </c>
      <c r="F612" t="str">
        <f>TEXT(Raw_Data!B612,"mmm")</f>
        <v>Apr</v>
      </c>
      <c r="G612" t="str">
        <f>TEXT(Raw_Data!B612,"ddd")</f>
        <v>Wed</v>
      </c>
      <c r="H612" t="str">
        <f>Raw_Data!D612</f>
        <v>Invoiced</v>
      </c>
      <c r="I612" t="str">
        <f>Raw_Data!F612</f>
        <v>Web Lead</v>
      </c>
      <c r="J612" t="str">
        <f>Raw_Data!G612</f>
        <v>Web</v>
      </c>
      <c r="K612" t="str">
        <f>IFERROR(VLOOKUP(J612,Source_Assumptions!$A:$C,2,0),"Unmapped")</f>
        <v>Digital - Owned</v>
      </c>
      <c r="L612" t="str">
        <f>Raw_Data!H612</f>
        <v>5TH GEN CITY PE</v>
      </c>
      <c r="M612" t="str">
        <f>IFERROR(VLOOKUP(L612,Model_Assumptions!$A:$D,2,0),"Unmapped")</f>
        <v>Mid-size Sedan</v>
      </c>
      <c r="N612" t="str">
        <f>IFERROR(VLOOKUP(L612,Model_Assumptions!$A:$D,3,0),"Unmapped")</f>
        <v>Petrol</v>
      </c>
      <c r="O612">
        <f>IFERROR(VLOOKUP(L612,Model_Assumptions!$A:$D,4,0),0)</f>
        <v>1250000</v>
      </c>
      <c r="P612">
        <f>IFERROR(VLOOKUP(J612,Source_Assumptions!$A:$C,3,0),0)</f>
        <v>300</v>
      </c>
    </row>
    <row r="613" spans="1:16" x14ac:dyDescent="0.3">
      <c r="A613">
        <f>Raw_Data!A613</f>
        <v>612</v>
      </c>
      <c r="B613" s="2">
        <f>Raw_Data!B613</f>
        <v>45037</v>
      </c>
      <c r="C613">
        <f>YEAR(Raw_Data!B613)</f>
        <v>2023</v>
      </c>
      <c r="D613" t="str">
        <f>IF(MONTH(Raw_Data!B613)&gt;=4,YEAR(Raw_Data!B613)&amp;"-"&amp;RIGHT(YEAR(Raw_Data!B613)+1,2),YEAR(Raw_Data!B613)-1&amp;"-"&amp;RIGHT(YEAR(Raw_Data!B613),2))</f>
        <v>2023-24</v>
      </c>
      <c r="E613" t="str">
        <f>"Q"&amp;ROUNDUP(MONTH(Raw_Data!B613)/3,0)</f>
        <v>Q2</v>
      </c>
      <c r="F613" t="str">
        <f>TEXT(Raw_Data!B613,"mmm")</f>
        <v>Apr</v>
      </c>
      <c r="G613" t="str">
        <f>TEXT(Raw_Data!B613,"ddd")</f>
        <v>Fri</v>
      </c>
      <c r="H613" t="str">
        <f>Raw_Data!D613</f>
        <v>Invoiced</v>
      </c>
      <c r="I613" t="str">
        <f>Raw_Data!F613</f>
        <v>Tele-in</v>
      </c>
      <c r="J613" t="str">
        <f>Raw_Data!G613</f>
        <v>Referral-CAM</v>
      </c>
      <c r="K613" t="str">
        <f>IFERROR(VLOOKUP(J613,Source_Assumptions!$A:$C,2,0),"Unmapped")</f>
        <v>Referral</v>
      </c>
      <c r="L613" t="str">
        <f>Raw_Data!H613</f>
        <v>AMAZE-PE</v>
      </c>
      <c r="M613" t="str">
        <f>IFERROR(VLOOKUP(L613,Model_Assumptions!$A:$D,2,0),"Unmapped")</f>
        <v>Sub-4m Sedan</v>
      </c>
      <c r="N613" t="str">
        <f>IFERROR(VLOOKUP(L613,Model_Assumptions!$A:$D,3,0),"Unmapped")</f>
        <v>Petrol</v>
      </c>
      <c r="O613">
        <f>IFERROR(VLOOKUP(L613,Model_Assumptions!$A:$D,4,0),0)</f>
        <v>850000</v>
      </c>
      <c r="P613">
        <f>IFERROR(VLOOKUP(J613,Source_Assumptions!$A:$C,3,0),0)</f>
        <v>150</v>
      </c>
    </row>
    <row r="614" spans="1:16" x14ac:dyDescent="0.3">
      <c r="A614">
        <f>Raw_Data!A614</f>
        <v>613</v>
      </c>
      <c r="B614" s="2">
        <f>Raw_Data!B614</f>
        <v>45037</v>
      </c>
      <c r="C614">
        <f>YEAR(Raw_Data!B614)</f>
        <v>2023</v>
      </c>
      <c r="D614" t="str">
        <f>IF(MONTH(Raw_Data!B614)&gt;=4,YEAR(Raw_Data!B614)&amp;"-"&amp;RIGHT(YEAR(Raw_Data!B614)+1,2),YEAR(Raw_Data!B614)-1&amp;"-"&amp;RIGHT(YEAR(Raw_Data!B614),2))</f>
        <v>2023-24</v>
      </c>
      <c r="E614" t="str">
        <f>"Q"&amp;ROUNDUP(MONTH(Raw_Data!B614)/3,0)</f>
        <v>Q2</v>
      </c>
      <c r="F614" t="str">
        <f>TEXT(Raw_Data!B614,"mmm")</f>
        <v>Apr</v>
      </c>
      <c r="G614" t="str">
        <f>TEXT(Raw_Data!B614,"ddd")</f>
        <v>Fri</v>
      </c>
      <c r="H614" t="str">
        <f>Raw_Data!D614</f>
        <v>Invoiced</v>
      </c>
      <c r="I614" t="str">
        <f>Raw_Data!F614</f>
        <v>Tele-in</v>
      </c>
      <c r="J614" t="str">
        <f>Raw_Data!G614</f>
        <v>Dealer Webpage Tele-In</v>
      </c>
      <c r="K614" t="str">
        <f>IFERROR(VLOOKUP(J614,Source_Assumptions!$A:$C,2,0),"Unmapped")</f>
        <v>Digital - Owned</v>
      </c>
      <c r="L614" t="str">
        <f>Raw_Data!H614</f>
        <v>AMAZE-PE</v>
      </c>
      <c r="M614" t="str">
        <f>IFERROR(VLOOKUP(L614,Model_Assumptions!$A:$D,2,0),"Unmapped")</f>
        <v>Sub-4m Sedan</v>
      </c>
      <c r="N614" t="str">
        <f>IFERROR(VLOOKUP(L614,Model_Assumptions!$A:$D,3,0),"Unmapped")</f>
        <v>Petrol</v>
      </c>
      <c r="O614">
        <f>IFERROR(VLOOKUP(L614,Model_Assumptions!$A:$D,4,0),0)</f>
        <v>850000</v>
      </c>
      <c r="P614">
        <f>IFERROR(VLOOKUP(J614,Source_Assumptions!$A:$C,3,0),0)</f>
        <v>300</v>
      </c>
    </row>
    <row r="615" spans="1:16" x14ac:dyDescent="0.3">
      <c r="A615">
        <f>Raw_Data!A615</f>
        <v>614</v>
      </c>
      <c r="B615" s="2">
        <f>Raw_Data!B615</f>
        <v>45037</v>
      </c>
      <c r="C615">
        <f>YEAR(Raw_Data!B615)</f>
        <v>2023</v>
      </c>
      <c r="D615" t="str">
        <f>IF(MONTH(Raw_Data!B615)&gt;=4,YEAR(Raw_Data!B615)&amp;"-"&amp;RIGHT(YEAR(Raw_Data!B615)+1,2),YEAR(Raw_Data!B615)-1&amp;"-"&amp;RIGHT(YEAR(Raw_Data!B615),2))</f>
        <v>2023-24</v>
      </c>
      <c r="E615" t="str">
        <f>"Q"&amp;ROUNDUP(MONTH(Raw_Data!B615)/3,0)</f>
        <v>Q2</v>
      </c>
      <c r="F615" t="str">
        <f>TEXT(Raw_Data!B615,"mmm")</f>
        <v>Apr</v>
      </c>
      <c r="G615" t="str">
        <f>TEXT(Raw_Data!B615,"ddd")</f>
        <v>Fri</v>
      </c>
      <c r="H615" t="str">
        <f>Raw_Data!D615</f>
        <v>Invoiced</v>
      </c>
      <c r="I615" t="str">
        <f>Raw_Data!F615</f>
        <v>Tele-in</v>
      </c>
      <c r="J615" t="str">
        <f>Raw_Data!G615</f>
        <v>Dealer Webpage Tele-In</v>
      </c>
      <c r="K615" t="str">
        <f>IFERROR(VLOOKUP(J615,Source_Assumptions!$A:$C,2,0),"Unmapped")</f>
        <v>Digital - Owned</v>
      </c>
      <c r="L615" t="str">
        <f>Raw_Data!H615</f>
        <v>AMAZE-PE</v>
      </c>
      <c r="M615" t="str">
        <f>IFERROR(VLOOKUP(L615,Model_Assumptions!$A:$D,2,0),"Unmapped")</f>
        <v>Sub-4m Sedan</v>
      </c>
      <c r="N615" t="str">
        <f>IFERROR(VLOOKUP(L615,Model_Assumptions!$A:$D,3,0),"Unmapped")</f>
        <v>Petrol</v>
      </c>
      <c r="O615">
        <f>IFERROR(VLOOKUP(L615,Model_Assumptions!$A:$D,4,0),0)</f>
        <v>850000</v>
      </c>
      <c r="P615">
        <f>IFERROR(VLOOKUP(J615,Source_Assumptions!$A:$C,3,0),0)</f>
        <v>300</v>
      </c>
    </row>
    <row r="616" spans="1:16" x14ac:dyDescent="0.3">
      <c r="A616">
        <f>Raw_Data!A616</f>
        <v>615</v>
      </c>
      <c r="B616" s="2">
        <f>Raw_Data!B616</f>
        <v>45037</v>
      </c>
      <c r="C616">
        <f>YEAR(Raw_Data!B616)</f>
        <v>2023</v>
      </c>
      <c r="D616" t="str">
        <f>IF(MONTH(Raw_Data!B616)&gt;=4,YEAR(Raw_Data!B616)&amp;"-"&amp;RIGHT(YEAR(Raw_Data!B616)+1,2),YEAR(Raw_Data!B616)-1&amp;"-"&amp;RIGHT(YEAR(Raw_Data!B616),2))</f>
        <v>2023-24</v>
      </c>
      <c r="E616" t="str">
        <f>"Q"&amp;ROUNDUP(MONTH(Raw_Data!B616)/3,0)</f>
        <v>Q2</v>
      </c>
      <c r="F616" t="str">
        <f>TEXT(Raw_Data!B616,"mmm")</f>
        <v>Apr</v>
      </c>
      <c r="G616" t="str">
        <f>TEXT(Raw_Data!B616,"ddd")</f>
        <v>Fri</v>
      </c>
      <c r="H616" t="str">
        <f>Raw_Data!D616</f>
        <v>Invoiced</v>
      </c>
      <c r="I616" t="str">
        <f>Raw_Data!F616</f>
        <v>Tele-in</v>
      </c>
      <c r="J616" t="str">
        <f>Raw_Data!G616</f>
        <v>Dealer Webpage Tele-In</v>
      </c>
      <c r="K616" t="str">
        <f>IFERROR(VLOOKUP(J616,Source_Assumptions!$A:$C,2,0),"Unmapped")</f>
        <v>Digital - Owned</v>
      </c>
      <c r="L616" t="str">
        <f>Raw_Data!H616</f>
        <v>AMAZE-PE</v>
      </c>
      <c r="M616" t="str">
        <f>IFERROR(VLOOKUP(L616,Model_Assumptions!$A:$D,2,0),"Unmapped")</f>
        <v>Sub-4m Sedan</v>
      </c>
      <c r="N616" t="str">
        <f>IFERROR(VLOOKUP(L616,Model_Assumptions!$A:$D,3,0),"Unmapped")</f>
        <v>Petrol</v>
      </c>
      <c r="O616">
        <f>IFERROR(VLOOKUP(L616,Model_Assumptions!$A:$D,4,0),0)</f>
        <v>850000</v>
      </c>
      <c r="P616">
        <f>IFERROR(VLOOKUP(J616,Source_Assumptions!$A:$C,3,0),0)</f>
        <v>300</v>
      </c>
    </row>
    <row r="617" spans="1:16" x14ac:dyDescent="0.3">
      <c r="A617">
        <f>Raw_Data!A617</f>
        <v>616</v>
      </c>
      <c r="B617" s="2">
        <f>Raw_Data!B617</f>
        <v>45037</v>
      </c>
      <c r="C617">
        <f>YEAR(Raw_Data!B617)</f>
        <v>2023</v>
      </c>
      <c r="D617" t="str">
        <f>IF(MONTH(Raw_Data!B617)&gt;=4,YEAR(Raw_Data!B617)&amp;"-"&amp;RIGHT(YEAR(Raw_Data!B617)+1,2),YEAR(Raw_Data!B617)-1&amp;"-"&amp;RIGHT(YEAR(Raw_Data!B617),2))</f>
        <v>2023-24</v>
      </c>
      <c r="E617" t="str">
        <f>"Q"&amp;ROUNDUP(MONTH(Raw_Data!B617)/3,0)</f>
        <v>Q2</v>
      </c>
      <c r="F617" t="str">
        <f>TEXT(Raw_Data!B617,"mmm")</f>
        <v>Apr</v>
      </c>
      <c r="G617" t="str">
        <f>TEXT(Raw_Data!B617,"ddd")</f>
        <v>Fri</v>
      </c>
      <c r="H617" t="str">
        <f>Raw_Data!D617</f>
        <v>Invoiced</v>
      </c>
      <c r="I617" t="str">
        <f>Raw_Data!F617</f>
        <v>SMS/ Tele-Out</v>
      </c>
      <c r="J617" t="str">
        <f>Raw_Data!G617</f>
        <v>Referral-CAM</v>
      </c>
      <c r="K617" t="str">
        <f>IFERROR(VLOOKUP(J617,Source_Assumptions!$A:$C,2,0),"Unmapped")</f>
        <v>Referral</v>
      </c>
      <c r="L617" t="str">
        <f>Raw_Data!H617</f>
        <v>AMAZE-PE</v>
      </c>
      <c r="M617" t="str">
        <f>IFERROR(VLOOKUP(L617,Model_Assumptions!$A:$D,2,0),"Unmapped")</f>
        <v>Sub-4m Sedan</v>
      </c>
      <c r="N617" t="str">
        <f>IFERROR(VLOOKUP(L617,Model_Assumptions!$A:$D,3,0),"Unmapped")</f>
        <v>Petrol</v>
      </c>
      <c r="O617">
        <f>IFERROR(VLOOKUP(L617,Model_Assumptions!$A:$D,4,0),0)</f>
        <v>850000</v>
      </c>
      <c r="P617">
        <f>IFERROR(VLOOKUP(J617,Source_Assumptions!$A:$C,3,0),0)</f>
        <v>150</v>
      </c>
    </row>
    <row r="618" spans="1:16" x14ac:dyDescent="0.3">
      <c r="A618">
        <f>Raw_Data!A618</f>
        <v>617</v>
      </c>
      <c r="B618" s="2">
        <f>Raw_Data!B618</f>
        <v>45037</v>
      </c>
      <c r="C618">
        <f>YEAR(Raw_Data!B618)</f>
        <v>2023</v>
      </c>
      <c r="D618" t="str">
        <f>IF(MONTH(Raw_Data!B618)&gt;=4,YEAR(Raw_Data!B618)&amp;"-"&amp;RIGHT(YEAR(Raw_Data!B618)+1,2),YEAR(Raw_Data!B618)-1&amp;"-"&amp;RIGHT(YEAR(Raw_Data!B618),2))</f>
        <v>2023-24</v>
      </c>
      <c r="E618" t="str">
        <f>"Q"&amp;ROUNDUP(MONTH(Raw_Data!B618)/3,0)</f>
        <v>Q2</v>
      </c>
      <c r="F618" t="str">
        <f>TEXT(Raw_Data!B618,"mmm")</f>
        <v>Apr</v>
      </c>
      <c r="G618" t="str">
        <f>TEXT(Raw_Data!B618,"ddd")</f>
        <v>Fri</v>
      </c>
      <c r="H618" t="str">
        <f>Raw_Data!D618</f>
        <v>Invoiced</v>
      </c>
      <c r="I618" t="str">
        <f>Raw_Data!F618</f>
        <v>SMS/ Tele-Out</v>
      </c>
      <c r="J618" t="str">
        <f>Raw_Data!G618</f>
        <v>Database Activity(Teleout/SMS)</v>
      </c>
      <c r="K618" t="str">
        <f>IFERROR(VLOOKUP(J618,Source_Assumptions!$A:$C,2,0),"Unmapped")</f>
        <v>Outbound/Database</v>
      </c>
      <c r="L618" t="str">
        <f>Raw_Data!H618</f>
        <v>AMAZE-PE</v>
      </c>
      <c r="M618" t="str">
        <f>IFERROR(VLOOKUP(L618,Model_Assumptions!$A:$D,2,0),"Unmapped")</f>
        <v>Sub-4m Sedan</v>
      </c>
      <c r="N618" t="str">
        <f>IFERROR(VLOOKUP(L618,Model_Assumptions!$A:$D,3,0),"Unmapped")</f>
        <v>Petrol</v>
      </c>
      <c r="O618">
        <f>IFERROR(VLOOKUP(L618,Model_Assumptions!$A:$D,4,0),0)</f>
        <v>850000</v>
      </c>
      <c r="P618">
        <f>IFERROR(VLOOKUP(J618,Source_Assumptions!$A:$C,3,0),0)</f>
        <v>250</v>
      </c>
    </row>
    <row r="619" spans="1:16" x14ac:dyDescent="0.3">
      <c r="A619">
        <f>Raw_Data!A619</f>
        <v>618</v>
      </c>
      <c r="B619" s="2">
        <f>Raw_Data!B619</f>
        <v>45040</v>
      </c>
      <c r="C619">
        <f>YEAR(Raw_Data!B619)</f>
        <v>2023</v>
      </c>
      <c r="D619" t="str">
        <f>IF(MONTH(Raw_Data!B619)&gt;=4,YEAR(Raw_Data!B619)&amp;"-"&amp;RIGHT(YEAR(Raw_Data!B619)+1,2),YEAR(Raw_Data!B619)-1&amp;"-"&amp;RIGHT(YEAR(Raw_Data!B619),2))</f>
        <v>2023-24</v>
      </c>
      <c r="E619" t="str">
        <f>"Q"&amp;ROUNDUP(MONTH(Raw_Data!B619)/3,0)</f>
        <v>Q2</v>
      </c>
      <c r="F619" t="str">
        <f>TEXT(Raw_Data!B619,"mmm")</f>
        <v>Apr</v>
      </c>
      <c r="G619" t="str">
        <f>TEXT(Raw_Data!B619,"ddd")</f>
        <v>Mon</v>
      </c>
      <c r="H619" t="str">
        <f>Raw_Data!D619</f>
        <v>Invoiced</v>
      </c>
      <c r="I619" t="str">
        <f>Raw_Data!F619</f>
        <v>Tele-in</v>
      </c>
      <c r="J619" t="str">
        <f>Raw_Data!G619</f>
        <v>Referral-CAM</v>
      </c>
      <c r="K619" t="str">
        <f>IFERROR(VLOOKUP(J619,Source_Assumptions!$A:$C,2,0),"Unmapped")</f>
        <v>Referral</v>
      </c>
      <c r="L619" t="str">
        <f>Raw_Data!H619</f>
        <v>5TH GEN CITY PE</v>
      </c>
      <c r="M619" t="str">
        <f>IFERROR(VLOOKUP(L619,Model_Assumptions!$A:$D,2,0),"Unmapped")</f>
        <v>Mid-size Sedan</v>
      </c>
      <c r="N619" t="str">
        <f>IFERROR(VLOOKUP(L619,Model_Assumptions!$A:$D,3,0),"Unmapped")</f>
        <v>Petrol</v>
      </c>
      <c r="O619">
        <f>IFERROR(VLOOKUP(L619,Model_Assumptions!$A:$D,4,0),0)</f>
        <v>1250000</v>
      </c>
      <c r="P619">
        <f>IFERROR(VLOOKUP(J619,Source_Assumptions!$A:$C,3,0),0)</f>
        <v>150</v>
      </c>
    </row>
    <row r="620" spans="1:16" x14ac:dyDescent="0.3">
      <c r="A620">
        <f>Raw_Data!A620</f>
        <v>619</v>
      </c>
      <c r="B620" s="2">
        <f>Raw_Data!B620</f>
        <v>45040</v>
      </c>
      <c r="C620">
        <f>YEAR(Raw_Data!B620)</f>
        <v>2023</v>
      </c>
      <c r="D620" t="str">
        <f>IF(MONTH(Raw_Data!B620)&gt;=4,YEAR(Raw_Data!B620)&amp;"-"&amp;RIGHT(YEAR(Raw_Data!B620)+1,2),YEAR(Raw_Data!B620)-1&amp;"-"&amp;RIGHT(YEAR(Raw_Data!B620),2))</f>
        <v>2023-24</v>
      </c>
      <c r="E620" t="str">
        <f>"Q"&amp;ROUNDUP(MONTH(Raw_Data!B620)/3,0)</f>
        <v>Q2</v>
      </c>
      <c r="F620" t="str">
        <f>TEXT(Raw_Data!B620,"mmm")</f>
        <v>Apr</v>
      </c>
      <c r="G620" t="str">
        <f>TEXT(Raw_Data!B620,"ddd")</f>
        <v>Mon</v>
      </c>
      <c r="H620" t="str">
        <f>Raw_Data!D620</f>
        <v>Invoiced</v>
      </c>
      <c r="I620" t="str">
        <f>Raw_Data!F620</f>
        <v>Tele-in</v>
      </c>
      <c r="J620" t="str">
        <f>Raw_Data!G620</f>
        <v>Dealer Webpage Tele-In</v>
      </c>
      <c r="K620" t="str">
        <f>IFERROR(VLOOKUP(J620,Source_Assumptions!$A:$C,2,0),"Unmapped")</f>
        <v>Digital - Owned</v>
      </c>
      <c r="L620" t="str">
        <f>Raw_Data!H620</f>
        <v>AMAZE-PE</v>
      </c>
      <c r="M620" t="str">
        <f>IFERROR(VLOOKUP(L620,Model_Assumptions!$A:$D,2,0),"Unmapped")</f>
        <v>Sub-4m Sedan</v>
      </c>
      <c r="N620" t="str">
        <f>IFERROR(VLOOKUP(L620,Model_Assumptions!$A:$D,3,0),"Unmapped")</f>
        <v>Petrol</v>
      </c>
      <c r="O620">
        <f>IFERROR(VLOOKUP(L620,Model_Assumptions!$A:$D,4,0),0)</f>
        <v>850000</v>
      </c>
      <c r="P620">
        <f>IFERROR(VLOOKUP(J620,Source_Assumptions!$A:$C,3,0),0)</f>
        <v>300</v>
      </c>
    </row>
    <row r="621" spans="1:16" x14ac:dyDescent="0.3">
      <c r="A621">
        <f>Raw_Data!A621</f>
        <v>620</v>
      </c>
      <c r="B621" s="2">
        <f>Raw_Data!B621</f>
        <v>45041</v>
      </c>
      <c r="C621">
        <f>YEAR(Raw_Data!B621)</f>
        <v>2023</v>
      </c>
      <c r="D621" t="str">
        <f>IF(MONTH(Raw_Data!B621)&gt;=4,YEAR(Raw_Data!B621)&amp;"-"&amp;RIGHT(YEAR(Raw_Data!B621)+1,2),YEAR(Raw_Data!B621)-1&amp;"-"&amp;RIGHT(YEAR(Raw_Data!B621),2))</f>
        <v>2023-24</v>
      </c>
      <c r="E621" t="str">
        <f>"Q"&amp;ROUNDUP(MONTH(Raw_Data!B621)/3,0)</f>
        <v>Q2</v>
      </c>
      <c r="F621" t="str">
        <f>TEXT(Raw_Data!B621,"mmm")</f>
        <v>Apr</v>
      </c>
      <c r="G621" t="str">
        <f>TEXT(Raw_Data!B621,"ddd")</f>
        <v>Tue</v>
      </c>
      <c r="H621" t="str">
        <f>Raw_Data!D621</f>
        <v>Invoiced</v>
      </c>
      <c r="I621" t="str">
        <f>Raw_Data!F621</f>
        <v>Tele-in</v>
      </c>
      <c r="J621" t="str">
        <f>Raw_Data!G621</f>
        <v>Referral-CAM</v>
      </c>
      <c r="K621" t="str">
        <f>IFERROR(VLOOKUP(J621,Source_Assumptions!$A:$C,2,0),"Unmapped")</f>
        <v>Referral</v>
      </c>
      <c r="L621" t="str">
        <f>Raw_Data!H621</f>
        <v>AMAZE-PE</v>
      </c>
      <c r="M621" t="str">
        <f>IFERROR(VLOOKUP(L621,Model_Assumptions!$A:$D,2,0),"Unmapped")</f>
        <v>Sub-4m Sedan</v>
      </c>
      <c r="N621" t="str">
        <f>IFERROR(VLOOKUP(L621,Model_Assumptions!$A:$D,3,0),"Unmapped")</f>
        <v>Petrol</v>
      </c>
      <c r="O621">
        <f>IFERROR(VLOOKUP(L621,Model_Assumptions!$A:$D,4,0),0)</f>
        <v>850000</v>
      </c>
      <c r="P621">
        <f>IFERROR(VLOOKUP(J621,Source_Assumptions!$A:$C,3,0),0)</f>
        <v>150</v>
      </c>
    </row>
    <row r="622" spans="1:16" x14ac:dyDescent="0.3">
      <c r="A622">
        <f>Raw_Data!A622</f>
        <v>621</v>
      </c>
      <c r="B622" s="2">
        <f>Raw_Data!B622</f>
        <v>45042</v>
      </c>
      <c r="C622">
        <f>YEAR(Raw_Data!B622)</f>
        <v>2023</v>
      </c>
      <c r="D622" t="str">
        <f>IF(MONTH(Raw_Data!B622)&gt;=4,YEAR(Raw_Data!B622)&amp;"-"&amp;RIGHT(YEAR(Raw_Data!B622)+1,2),YEAR(Raw_Data!B622)-1&amp;"-"&amp;RIGHT(YEAR(Raw_Data!B622),2))</f>
        <v>2023-24</v>
      </c>
      <c r="E622" t="str">
        <f>"Q"&amp;ROUNDUP(MONTH(Raw_Data!B622)/3,0)</f>
        <v>Q2</v>
      </c>
      <c r="F622" t="str">
        <f>TEXT(Raw_Data!B622,"mmm")</f>
        <v>Apr</v>
      </c>
      <c r="G622" t="str">
        <f>TEXT(Raw_Data!B622,"ddd")</f>
        <v>Wed</v>
      </c>
      <c r="H622" t="str">
        <f>Raw_Data!D622</f>
        <v>Invoiced</v>
      </c>
      <c r="I622" t="str">
        <f>Raw_Data!F622</f>
        <v>Web Lead</v>
      </c>
      <c r="J622" t="str">
        <f>Raw_Data!G622</f>
        <v>Web</v>
      </c>
      <c r="K622" t="str">
        <f>IFERROR(VLOOKUP(J622,Source_Assumptions!$A:$C,2,0),"Unmapped")</f>
        <v>Digital - Owned</v>
      </c>
      <c r="L622" t="str">
        <f>Raw_Data!H622</f>
        <v>5TH GEN CITY e:HEV</v>
      </c>
      <c r="M622" t="str">
        <f>IFERROR(VLOOKUP(L622,Model_Assumptions!$A:$D,2,0),"Unmapped")</f>
        <v>Mid-size Sedan</v>
      </c>
      <c r="N622" t="str">
        <f>IFERROR(VLOOKUP(L622,Model_Assumptions!$A:$D,3,0),"Unmapped")</f>
        <v>Hybrid</v>
      </c>
      <c r="O622">
        <f>IFERROR(VLOOKUP(L622,Model_Assumptions!$A:$D,4,0),0)</f>
        <v>1950000</v>
      </c>
      <c r="P622">
        <f>IFERROR(VLOOKUP(J622,Source_Assumptions!$A:$C,3,0),0)</f>
        <v>300</v>
      </c>
    </row>
    <row r="623" spans="1:16" x14ac:dyDescent="0.3">
      <c r="A623">
        <f>Raw_Data!A623</f>
        <v>622</v>
      </c>
      <c r="B623" s="2">
        <f>Raw_Data!B623</f>
        <v>45043</v>
      </c>
      <c r="C623">
        <f>YEAR(Raw_Data!B623)</f>
        <v>2023</v>
      </c>
      <c r="D623" t="str">
        <f>IF(MONTH(Raw_Data!B623)&gt;=4,YEAR(Raw_Data!B623)&amp;"-"&amp;RIGHT(YEAR(Raw_Data!B623)+1,2),YEAR(Raw_Data!B623)-1&amp;"-"&amp;RIGHT(YEAR(Raw_Data!B623),2))</f>
        <v>2023-24</v>
      </c>
      <c r="E623" t="str">
        <f>"Q"&amp;ROUNDUP(MONTH(Raw_Data!B623)/3,0)</f>
        <v>Q2</v>
      </c>
      <c r="F623" t="str">
        <f>TEXT(Raw_Data!B623,"mmm")</f>
        <v>Apr</v>
      </c>
      <c r="G623" t="str">
        <f>TEXT(Raw_Data!B623,"ddd")</f>
        <v>Thu</v>
      </c>
      <c r="H623" t="str">
        <f>Raw_Data!D623</f>
        <v>Invoiced</v>
      </c>
      <c r="I623" t="str">
        <f>Raw_Data!F623</f>
        <v>Walk-in Showroom</v>
      </c>
      <c r="J623" t="str">
        <f>Raw_Data!G623</f>
        <v>Adver. (TVC/Print/Hoarding/FM)</v>
      </c>
      <c r="K623" t="str">
        <f>IFERROR(VLOOKUP(J623,Source_Assumptions!$A:$C,2,0),"Unmapped")</f>
        <v>Traditional Advertising</v>
      </c>
      <c r="L623" t="str">
        <f>Raw_Data!H623</f>
        <v>5TH GEN CITY PE</v>
      </c>
      <c r="M623" t="str">
        <f>IFERROR(VLOOKUP(L623,Model_Assumptions!$A:$D,2,0),"Unmapped")</f>
        <v>Mid-size Sedan</v>
      </c>
      <c r="N623" t="str">
        <f>IFERROR(VLOOKUP(L623,Model_Assumptions!$A:$D,3,0),"Unmapped")</f>
        <v>Petrol</v>
      </c>
      <c r="O623">
        <f>IFERROR(VLOOKUP(L623,Model_Assumptions!$A:$D,4,0),0)</f>
        <v>1250000</v>
      </c>
      <c r="P623">
        <f>IFERROR(VLOOKUP(J623,Source_Assumptions!$A:$C,3,0),0)</f>
        <v>1200</v>
      </c>
    </row>
    <row r="624" spans="1:16" x14ac:dyDescent="0.3">
      <c r="A624">
        <f>Raw_Data!A624</f>
        <v>623</v>
      </c>
      <c r="B624" s="2">
        <f>Raw_Data!B624</f>
        <v>45043</v>
      </c>
      <c r="C624">
        <f>YEAR(Raw_Data!B624)</f>
        <v>2023</v>
      </c>
      <c r="D624" t="str">
        <f>IF(MONTH(Raw_Data!B624)&gt;=4,YEAR(Raw_Data!B624)&amp;"-"&amp;RIGHT(YEAR(Raw_Data!B624)+1,2),YEAR(Raw_Data!B624)-1&amp;"-"&amp;RIGHT(YEAR(Raw_Data!B624),2))</f>
        <v>2023-24</v>
      </c>
      <c r="E624" t="str">
        <f>"Q"&amp;ROUNDUP(MONTH(Raw_Data!B624)/3,0)</f>
        <v>Q2</v>
      </c>
      <c r="F624" t="str">
        <f>TEXT(Raw_Data!B624,"mmm")</f>
        <v>Apr</v>
      </c>
      <c r="G624" t="str">
        <f>TEXT(Raw_Data!B624,"ddd")</f>
        <v>Thu</v>
      </c>
      <c r="H624" t="str">
        <f>Raw_Data!D624</f>
        <v>Invoiced</v>
      </c>
      <c r="I624" t="str">
        <f>Raw_Data!F624</f>
        <v>SMS/ Tele-Out</v>
      </c>
      <c r="J624" t="str">
        <f>Raw_Data!G624</f>
        <v>Database Activity(Teleout/SMS)</v>
      </c>
      <c r="K624" t="str">
        <f>IFERROR(VLOOKUP(J624,Source_Assumptions!$A:$C,2,0),"Unmapped")</f>
        <v>Outbound/Database</v>
      </c>
      <c r="L624" t="str">
        <f>Raw_Data!H624</f>
        <v>AMAZE-PE</v>
      </c>
      <c r="M624" t="str">
        <f>IFERROR(VLOOKUP(L624,Model_Assumptions!$A:$D,2,0),"Unmapped")</f>
        <v>Sub-4m Sedan</v>
      </c>
      <c r="N624" t="str">
        <f>IFERROR(VLOOKUP(L624,Model_Assumptions!$A:$D,3,0),"Unmapped")</f>
        <v>Petrol</v>
      </c>
      <c r="O624">
        <f>IFERROR(VLOOKUP(L624,Model_Assumptions!$A:$D,4,0),0)</f>
        <v>850000</v>
      </c>
      <c r="P624">
        <f>IFERROR(VLOOKUP(J624,Source_Assumptions!$A:$C,3,0),0)</f>
        <v>250</v>
      </c>
    </row>
    <row r="625" spans="1:16" x14ac:dyDescent="0.3">
      <c r="A625">
        <f>Raw_Data!A625</f>
        <v>624</v>
      </c>
      <c r="B625" s="2">
        <f>Raw_Data!B625</f>
        <v>45044</v>
      </c>
      <c r="C625">
        <f>YEAR(Raw_Data!B625)</f>
        <v>2023</v>
      </c>
      <c r="D625" t="str">
        <f>IF(MONTH(Raw_Data!B625)&gt;=4,YEAR(Raw_Data!B625)&amp;"-"&amp;RIGHT(YEAR(Raw_Data!B625)+1,2),YEAR(Raw_Data!B625)-1&amp;"-"&amp;RIGHT(YEAR(Raw_Data!B625),2))</f>
        <v>2023-24</v>
      </c>
      <c r="E625" t="str">
        <f>"Q"&amp;ROUNDUP(MONTH(Raw_Data!B625)/3,0)</f>
        <v>Q2</v>
      </c>
      <c r="F625" t="str">
        <f>TEXT(Raw_Data!B625,"mmm")</f>
        <v>Apr</v>
      </c>
      <c r="G625" t="str">
        <f>TEXT(Raw_Data!B625,"ddd")</f>
        <v>Fri</v>
      </c>
      <c r="H625" t="str">
        <f>Raw_Data!D625</f>
        <v>Invoiced</v>
      </c>
      <c r="I625" t="str">
        <f>Raw_Data!F625</f>
        <v>SMS/ Tele-Out</v>
      </c>
      <c r="J625" t="str">
        <f>Raw_Data!G625</f>
        <v>Database Activity(Teleout/SMS)</v>
      </c>
      <c r="K625" t="str">
        <f>IFERROR(VLOOKUP(J625,Source_Assumptions!$A:$C,2,0),"Unmapped")</f>
        <v>Outbound/Database</v>
      </c>
      <c r="L625" t="str">
        <f>Raw_Data!H625</f>
        <v>AMAZE-PE</v>
      </c>
      <c r="M625" t="str">
        <f>IFERROR(VLOOKUP(L625,Model_Assumptions!$A:$D,2,0),"Unmapped")</f>
        <v>Sub-4m Sedan</v>
      </c>
      <c r="N625" t="str">
        <f>IFERROR(VLOOKUP(L625,Model_Assumptions!$A:$D,3,0),"Unmapped")</f>
        <v>Petrol</v>
      </c>
      <c r="O625">
        <f>IFERROR(VLOOKUP(L625,Model_Assumptions!$A:$D,4,0),0)</f>
        <v>850000</v>
      </c>
      <c r="P625">
        <f>IFERROR(VLOOKUP(J625,Source_Assumptions!$A:$C,3,0),0)</f>
        <v>250</v>
      </c>
    </row>
    <row r="626" spans="1:16" x14ac:dyDescent="0.3">
      <c r="A626">
        <f>Raw_Data!A626</f>
        <v>625</v>
      </c>
      <c r="B626" s="2">
        <f>Raw_Data!B626</f>
        <v>45044</v>
      </c>
      <c r="C626">
        <f>YEAR(Raw_Data!B626)</f>
        <v>2023</v>
      </c>
      <c r="D626" t="str">
        <f>IF(MONTH(Raw_Data!B626)&gt;=4,YEAR(Raw_Data!B626)&amp;"-"&amp;RIGHT(YEAR(Raw_Data!B626)+1,2),YEAR(Raw_Data!B626)-1&amp;"-"&amp;RIGHT(YEAR(Raw_Data!B626),2))</f>
        <v>2023-24</v>
      </c>
      <c r="E626" t="str">
        <f>"Q"&amp;ROUNDUP(MONTH(Raw_Data!B626)/3,0)</f>
        <v>Q2</v>
      </c>
      <c r="F626" t="str">
        <f>TEXT(Raw_Data!B626,"mmm")</f>
        <v>Apr</v>
      </c>
      <c r="G626" t="str">
        <f>TEXT(Raw_Data!B626,"ddd")</f>
        <v>Fri</v>
      </c>
      <c r="H626" t="str">
        <f>Raw_Data!D626</f>
        <v>Invoiced</v>
      </c>
      <c r="I626" t="str">
        <f>Raw_Data!F626</f>
        <v>Web Lead</v>
      </c>
      <c r="J626" t="str">
        <f>Raw_Data!G626</f>
        <v>Web</v>
      </c>
      <c r="K626" t="str">
        <f>IFERROR(VLOOKUP(J626,Source_Assumptions!$A:$C,2,0),"Unmapped")</f>
        <v>Digital - Owned</v>
      </c>
      <c r="L626" t="str">
        <f>Raw_Data!H626</f>
        <v>AMAZE-PE</v>
      </c>
      <c r="M626" t="str">
        <f>IFERROR(VLOOKUP(L626,Model_Assumptions!$A:$D,2,0),"Unmapped")</f>
        <v>Sub-4m Sedan</v>
      </c>
      <c r="N626" t="str">
        <f>IFERROR(VLOOKUP(L626,Model_Assumptions!$A:$D,3,0),"Unmapped")</f>
        <v>Petrol</v>
      </c>
      <c r="O626">
        <f>IFERROR(VLOOKUP(L626,Model_Assumptions!$A:$D,4,0),0)</f>
        <v>850000</v>
      </c>
      <c r="P626">
        <f>IFERROR(VLOOKUP(J626,Source_Assumptions!$A:$C,3,0),0)</f>
        <v>300</v>
      </c>
    </row>
    <row r="627" spans="1:16" x14ac:dyDescent="0.3">
      <c r="A627">
        <f>Raw_Data!A627</f>
        <v>626</v>
      </c>
      <c r="B627" s="2">
        <f>Raw_Data!B627</f>
        <v>45045</v>
      </c>
      <c r="C627">
        <f>YEAR(Raw_Data!B627)</f>
        <v>2023</v>
      </c>
      <c r="D627" t="str">
        <f>IF(MONTH(Raw_Data!B627)&gt;=4,YEAR(Raw_Data!B627)&amp;"-"&amp;RIGHT(YEAR(Raw_Data!B627)+1,2),YEAR(Raw_Data!B627)-1&amp;"-"&amp;RIGHT(YEAR(Raw_Data!B627),2))</f>
        <v>2023-24</v>
      </c>
      <c r="E627" t="str">
        <f>"Q"&amp;ROUNDUP(MONTH(Raw_Data!B627)/3,0)</f>
        <v>Q2</v>
      </c>
      <c r="F627" t="str">
        <f>TEXT(Raw_Data!B627,"mmm")</f>
        <v>Apr</v>
      </c>
      <c r="G627" t="str">
        <f>TEXT(Raw_Data!B627,"ddd")</f>
        <v>Sat</v>
      </c>
      <c r="H627" t="str">
        <f>Raw_Data!D627</f>
        <v>Invoiced</v>
      </c>
      <c r="I627" t="str">
        <f>Raw_Data!F627</f>
        <v>SMS/ Tele-Out</v>
      </c>
      <c r="J627" t="str">
        <f>Raw_Data!G627</f>
        <v>Database Activity(Teleout/SMS)</v>
      </c>
      <c r="K627" t="str">
        <f>IFERROR(VLOOKUP(J627,Source_Assumptions!$A:$C,2,0),"Unmapped")</f>
        <v>Outbound/Database</v>
      </c>
      <c r="L627" t="str">
        <f>Raw_Data!H627</f>
        <v>AMAZE-PE</v>
      </c>
      <c r="M627" t="str">
        <f>IFERROR(VLOOKUP(L627,Model_Assumptions!$A:$D,2,0),"Unmapped")</f>
        <v>Sub-4m Sedan</v>
      </c>
      <c r="N627" t="str">
        <f>IFERROR(VLOOKUP(L627,Model_Assumptions!$A:$D,3,0),"Unmapped")</f>
        <v>Petrol</v>
      </c>
      <c r="O627">
        <f>IFERROR(VLOOKUP(L627,Model_Assumptions!$A:$D,4,0),0)</f>
        <v>850000</v>
      </c>
      <c r="P627">
        <f>IFERROR(VLOOKUP(J627,Source_Assumptions!$A:$C,3,0),0)</f>
        <v>250</v>
      </c>
    </row>
    <row r="628" spans="1:16" x14ac:dyDescent="0.3">
      <c r="A628">
        <f>Raw_Data!A628</f>
        <v>627</v>
      </c>
      <c r="B628" s="2">
        <f>Raw_Data!B628</f>
        <v>45046</v>
      </c>
      <c r="C628">
        <f>YEAR(Raw_Data!B628)</f>
        <v>2023</v>
      </c>
      <c r="D628" t="str">
        <f>IF(MONTH(Raw_Data!B628)&gt;=4,YEAR(Raw_Data!B628)&amp;"-"&amp;RIGHT(YEAR(Raw_Data!B628)+1,2),YEAR(Raw_Data!B628)-1&amp;"-"&amp;RIGHT(YEAR(Raw_Data!B628),2))</f>
        <v>2023-24</v>
      </c>
      <c r="E628" t="str">
        <f>"Q"&amp;ROUNDUP(MONTH(Raw_Data!B628)/3,0)</f>
        <v>Q2</v>
      </c>
      <c r="F628" t="str">
        <f>TEXT(Raw_Data!B628,"mmm")</f>
        <v>Apr</v>
      </c>
      <c r="G628" t="str">
        <f>TEXT(Raw_Data!B628,"ddd")</f>
        <v>Sun</v>
      </c>
      <c r="H628" t="str">
        <f>Raw_Data!D628</f>
        <v>Invoiced</v>
      </c>
      <c r="I628" t="str">
        <f>Raw_Data!F628</f>
        <v>Web Lead</v>
      </c>
      <c r="J628" t="str">
        <f>Raw_Data!G628</f>
        <v>Web_CarDekho</v>
      </c>
      <c r="K628" t="str">
        <f>IFERROR(VLOOKUP(J628,Source_Assumptions!$A:$C,2,0),"Unmapped")</f>
        <v>Digital - Aggregator (Paid)</v>
      </c>
      <c r="L628" t="str">
        <f>Raw_Data!H628</f>
        <v>5TH GEN CITY PE</v>
      </c>
      <c r="M628" t="str">
        <f>IFERROR(VLOOKUP(L628,Model_Assumptions!$A:$D,2,0),"Unmapped")</f>
        <v>Mid-size Sedan</v>
      </c>
      <c r="N628" t="str">
        <f>IFERROR(VLOOKUP(L628,Model_Assumptions!$A:$D,3,0),"Unmapped")</f>
        <v>Petrol</v>
      </c>
      <c r="O628">
        <f>IFERROR(VLOOKUP(L628,Model_Assumptions!$A:$D,4,0),0)</f>
        <v>1250000</v>
      </c>
      <c r="P628">
        <f>IFERROR(VLOOKUP(J628,Source_Assumptions!$A:$C,3,0),0)</f>
        <v>900</v>
      </c>
    </row>
    <row r="629" spans="1:16" x14ac:dyDescent="0.3">
      <c r="A629">
        <f>Raw_Data!A629</f>
        <v>628</v>
      </c>
      <c r="B629" s="2">
        <f>Raw_Data!B629</f>
        <v>45050</v>
      </c>
      <c r="C629">
        <f>YEAR(Raw_Data!B629)</f>
        <v>2023</v>
      </c>
      <c r="D629" t="str">
        <f>IF(MONTH(Raw_Data!B629)&gt;=4,YEAR(Raw_Data!B629)&amp;"-"&amp;RIGHT(YEAR(Raw_Data!B629)+1,2),YEAR(Raw_Data!B629)-1&amp;"-"&amp;RIGHT(YEAR(Raw_Data!B629),2))</f>
        <v>2023-24</v>
      </c>
      <c r="E629" t="str">
        <f>"Q"&amp;ROUNDUP(MONTH(Raw_Data!B629)/3,0)</f>
        <v>Q2</v>
      </c>
      <c r="F629" t="str">
        <f>TEXT(Raw_Data!B629,"mmm")</f>
        <v>May</v>
      </c>
      <c r="G629" t="str">
        <f>TEXT(Raw_Data!B629,"ddd")</f>
        <v>Thu</v>
      </c>
      <c r="H629" t="str">
        <f>Raw_Data!D629</f>
        <v>Invoiced</v>
      </c>
      <c r="I629" t="str">
        <f>Raw_Data!F629</f>
        <v>Walk-in Showroom</v>
      </c>
      <c r="J629" t="str">
        <f>Raw_Data!G629</f>
        <v>Adver. (TVC/Print/Hoarding/FM)</v>
      </c>
      <c r="K629" t="str">
        <f>IFERROR(VLOOKUP(J629,Source_Assumptions!$A:$C,2,0),"Unmapped")</f>
        <v>Traditional Advertising</v>
      </c>
      <c r="L629" t="str">
        <f>Raw_Data!H629</f>
        <v>AMAZE-PE</v>
      </c>
      <c r="M629" t="str">
        <f>IFERROR(VLOOKUP(L629,Model_Assumptions!$A:$D,2,0),"Unmapped")</f>
        <v>Sub-4m Sedan</v>
      </c>
      <c r="N629" t="str">
        <f>IFERROR(VLOOKUP(L629,Model_Assumptions!$A:$D,3,0),"Unmapped")</f>
        <v>Petrol</v>
      </c>
      <c r="O629">
        <f>IFERROR(VLOOKUP(L629,Model_Assumptions!$A:$D,4,0),0)</f>
        <v>850000</v>
      </c>
      <c r="P629">
        <f>IFERROR(VLOOKUP(J629,Source_Assumptions!$A:$C,3,0),0)</f>
        <v>1200</v>
      </c>
    </row>
    <row r="630" spans="1:16" x14ac:dyDescent="0.3">
      <c r="A630">
        <f>Raw_Data!A630</f>
        <v>629</v>
      </c>
      <c r="B630" s="2">
        <f>Raw_Data!B630</f>
        <v>45055</v>
      </c>
      <c r="C630">
        <f>YEAR(Raw_Data!B630)</f>
        <v>2023</v>
      </c>
      <c r="D630" t="str">
        <f>IF(MONTH(Raw_Data!B630)&gt;=4,YEAR(Raw_Data!B630)&amp;"-"&amp;RIGHT(YEAR(Raw_Data!B630)+1,2),YEAR(Raw_Data!B630)-1&amp;"-"&amp;RIGHT(YEAR(Raw_Data!B630),2))</f>
        <v>2023-24</v>
      </c>
      <c r="E630" t="str">
        <f>"Q"&amp;ROUNDUP(MONTH(Raw_Data!B630)/3,0)</f>
        <v>Q2</v>
      </c>
      <c r="F630" t="str">
        <f>TEXT(Raw_Data!B630,"mmm")</f>
        <v>May</v>
      </c>
      <c r="G630" t="str">
        <f>TEXT(Raw_Data!B630,"ddd")</f>
        <v>Tue</v>
      </c>
      <c r="H630" t="str">
        <f>Raw_Data!D630</f>
        <v>Invoiced</v>
      </c>
      <c r="I630" t="str">
        <f>Raw_Data!F630</f>
        <v>Walk-in Showroom</v>
      </c>
      <c r="J630" t="str">
        <f>Raw_Data!G630</f>
        <v>Adver. (TVC/Print/Hoarding/FM)</v>
      </c>
      <c r="K630" t="str">
        <f>IFERROR(VLOOKUP(J630,Source_Assumptions!$A:$C,2,0),"Unmapped")</f>
        <v>Traditional Advertising</v>
      </c>
      <c r="L630" t="str">
        <f>Raw_Data!H630</f>
        <v>5TH GEN CITY e:HEV</v>
      </c>
      <c r="M630" t="str">
        <f>IFERROR(VLOOKUP(L630,Model_Assumptions!$A:$D,2,0),"Unmapped")</f>
        <v>Mid-size Sedan</v>
      </c>
      <c r="N630" t="str">
        <f>IFERROR(VLOOKUP(L630,Model_Assumptions!$A:$D,3,0),"Unmapped")</f>
        <v>Hybrid</v>
      </c>
      <c r="O630">
        <f>IFERROR(VLOOKUP(L630,Model_Assumptions!$A:$D,4,0),0)</f>
        <v>1950000</v>
      </c>
      <c r="P630">
        <f>IFERROR(VLOOKUP(J630,Source_Assumptions!$A:$C,3,0),0)</f>
        <v>1200</v>
      </c>
    </row>
    <row r="631" spans="1:16" x14ac:dyDescent="0.3">
      <c r="A631">
        <f>Raw_Data!A631</f>
        <v>630</v>
      </c>
      <c r="B631" s="2">
        <f>Raw_Data!B631</f>
        <v>45058</v>
      </c>
      <c r="C631">
        <f>YEAR(Raw_Data!B631)</f>
        <v>2023</v>
      </c>
      <c r="D631" t="str">
        <f>IF(MONTH(Raw_Data!B631)&gt;=4,YEAR(Raw_Data!B631)&amp;"-"&amp;RIGHT(YEAR(Raw_Data!B631)+1,2),YEAR(Raw_Data!B631)-1&amp;"-"&amp;RIGHT(YEAR(Raw_Data!B631),2))</f>
        <v>2023-24</v>
      </c>
      <c r="E631" t="str">
        <f>"Q"&amp;ROUNDUP(MONTH(Raw_Data!B631)/3,0)</f>
        <v>Q2</v>
      </c>
      <c r="F631" t="str">
        <f>TEXT(Raw_Data!B631,"mmm")</f>
        <v>May</v>
      </c>
      <c r="G631" t="str">
        <f>TEXT(Raw_Data!B631,"ddd")</f>
        <v>Fri</v>
      </c>
      <c r="H631" t="str">
        <f>Raw_Data!D631</f>
        <v>Invoiced</v>
      </c>
      <c r="I631" t="str">
        <f>Raw_Data!F631</f>
        <v>Walk-in Showroom</v>
      </c>
      <c r="J631" t="str">
        <f>Raw_Data!G631</f>
        <v>Adver. (TVC/Print/Hoarding/FM)</v>
      </c>
      <c r="K631" t="str">
        <f>IFERROR(VLOOKUP(J631,Source_Assumptions!$A:$C,2,0),"Unmapped")</f>
        <v>Traditional Advertising</v>
      </c>
      <c r="L631" t="str">
        <f>Raw_Data!H631</f>
        <v>AMAZE-PE</v>
      </c>
      <c r="M631" t="str">
        <f>IFERROR(VLOOKUP(L631,Model_Assumptions!$A:$D,2,0),"Unmapped")</f>
        <v>Sub-4m Sedan</v>
      </c>
      <c r="N631" t="str">
        <f>IFERROR(VLOOKUP(L631,Model_Assumptions!$A:$D,3,0),"Unmapped")</f>
        <v>Petrol</v>
      </c>
      <c r="O631">
        <f>IFERROR(VLOOKUP(L631,Model_Assumptions!$A:$D,4,0),0)</f>
        <v>850000</v>
      </c>
      <c r="P631">
        <f>IFERROR(VLOOKUP(J631,Source_Assumptions!$A:$C,3,0),0)</f>
        <v>1200</v>
      </c>
    </row>
    <row r="632" spans="1:16" x14ac:dyDescent="0.3">
      <c r="A632">
        <f>Raw_Data!A632</f>
        <v>631</v>
      </c>
      <c r="B632" s="2">
        <f>Raw_Data!B632</f>
        <v>45059</v>
      </c>
      <c r="C632">
        <f>YEAR(Raw_Data!B632)</f>
        <v>2023</v>
      </c>
      <c r="D632" t="str">
        <f>IF(MONTH(Raw_Data!B632)&gt;=4,YEAR(Raw_Data!B632)&amp;"-"&amp;RIGHT(YEAR(Raw_Data!B632)+1,2),YEAR(Raw_Data!B632)-1&amp;"-"&amp;RIGHT(YEAR(Raw_Data!B632),2))</f>
        <v>2023-24</v>
      </c>
      <c r="E632" t="str">
        <f>"Q"&amp;ROUNDUP(MONTH(Raw_Data!B632)/3,0)</f>
        <v>Q2</v>
      </c>
      <c r="F632" t="str">
        <f>TEXT(Raw_Data!B632,"mmm")</f>
        <v>May</v>
      </c>
      <c r="G632" t="str">
        <f>TEXT(Raw_Data!B632,"ddd")</f>
        <v>Sat</v>
      </c>
      <c r="H632" t="str">
        <f>Raw_Data!D632</f>
        <v>Invoiced</v>
      </c>
      <c r="I632" t="str">
        <f>Raw_Data!F632</f>
        <v>Tele-in</v>
      </c>
      <c r="J632" t="str">
        <f>Raw_Data!G632</f>
        <v>Dealer Webpage Tele-In</v>
      </c>
      <c r="K632" t="str">
        <f>IFERROR(VLOOKUP(J632,Source_Assumptions!$A:$C,2,0),"Unmapped")</f>
        <v>Digital - Owned</v>
      </c>
      <c r="L632" t="str">
        <f>Raw_Data!H632</f>
        <v>AMAZE Petrol</v>
      </c>
      <c r="M632" t="str">
        <f>IFERROR(VLOOKUP(L632,Model_Assumptions!$A:$D,2,0),"Unmapped")</f>
        <v>Sub-4m Sedan</v>
      </c>
      <c r="N632" t="str">
        <f>IFERROR(VLOOKUP(L632,Model_Assumptions!$A:$D,3,0),"Unmapped")</f>
        <v>Petrol</v>
      </c>
      <c r="O632">
        <f>IFERROR(VLOOKUP(L632,Model_Assumptions!$A:$D,4,0),0)</f>
        <v>850000</v>
      </c>
      <c r="P632">
        <f>IFERROR(VLOOKUP(J632,Source_Assumptions!$A:$C,3,0),0)</f>
        <v>300</v>
      </c>
    </row>
    <row r="633" spans="1:16" x14ac:dyDescent="0.3">
      <c r="A633">
        <f>Raw_Data!A633</f>
        <v>632</v>
      </c>
      <c r="B633" s="2">
        <f>Raw_Data!B633</f>
        <v>45058</v>
      </c>
      <c r="C633">
        <f>YEAR(Raw_Data!B633)</f>
        <v>2023</v>
      </c>
      <c r="D633" t="str">
        <f>IF(MONTH(Raw_Data!B633)&gt;=4,YEAR(Raw_Data!B633)&amp;"-"&amp;RIGHT(YEAR(Raw_Data!B633)+1,2),YEAR(Raw_Data!B633)-1&amp;"-"&amp;RIGHT(YEAR(Raw_Data!B633),2))</f>
        <v>2023-24</v>
      </c>
      <c r="E633" t="str">
        <f>"Q"&amp;ROUNDUP(MONTH(Raw_Data!B633)/3,0)</f>
        <v>Q2</v>
      </c>
      <c r="F633" t="str">
        <f>TEXT(Raw_Data!B633,"mmm")</f>
        <v>May</v>
      </c>
      <c r="G633" t="str">
        <f>TEXT(Raw_Data!B633,"ddd")</f>
        <v>Fri</v>
      </c>
      <c r="H633" t="str">
        <f>Raw_Data!D633</f>
        <v>Invoiced</v>
      </c>
      <c r="I633" t="str">
        <f>Raw_Data!F633</f>
        <v>Walk-in Showroom</v>
      </c>
      <c r="J633" t="str">
        <f>Raw_Data!G633</f>
        <v>Adver. (TVC/Print/Hoarding/FM)</v>
      </c>
      <c r="K633" t="str">
        <f>IFERROR(VLOOKUP(J633,Source_Assumptions!$A:$C,2,0),"Unmapped")</f>
        <v>Traditional Advertising</v>
      </c>
      <c r="L633" t="str">
        <f>Raw_Data!H633</f>
        <v>AMAZE-PE</v>
      </c>
      <c r="M633" t="str">
        <f>IFERROR(VLOOKUP(L633,Model_Assumptions!$A:$D,2,0),"Unmapped")</f>
        <v>Sub-4m Sedan</v>
      </c>
      <c r="N633" t="str">
        <f>IFERROR(VLOOKUP(L633,Model_Assumptions!$A:$D,3,0),"Unmapped")</f>
        <v>Petrol</v>
      </c>
      <c r="O633">
        <f>IFERROR(VLOOKUP(L633,Model_Assumptions!$A:$D,4,0),0)</f>
        <v>850000</v>
      </c>
      <c r="P633">
        <f>IFERROR(VLOOKUP(J633,Source_Assumptions!$A:$C,3,0),0)</f>
        <v>1200</v>
      </c>
    </row>
    <row r="634" spans="1:16" x14ac:dyDescent="0.3">
      <c r="A634">
        <f>Raw_Data!A634</f>
        <v>633</v>
      </c>
      <c r="B634" s="2">
        <f>Raw_Data!B634</f>
        <v>45062</v>
      </c>
      <c r="C634">
        <f>YEAR(Raw_Data!B634)</f>
        <v>2023</v>
      </c>
      <c r="D634" t="str">
        <f>IF(MONTH(Raw_Data!B634)&gt;=4,YEAR(Raw_Data!B634)&amp;"-"&amp;RIGHT(YEAR(Raw_Data!B634)+1,2),YEAR(Raw_Data!B634)-1&amp;"-"&amp;RIGHT(YEAR(Raw_Data!B634),2))</f>
        <v>2023-24</v>
      </c>
      <c r="E634" t="str">
        <f>"Q"&amp;ROUNDUP(MONTH(Raw_Data!B634)/3,0)</f>
        <v>Q2</v>
      </c>
      <c r="F634" t="str">
        <f>TEXT(Raw_Data!B634,"mmm")</f>
        <v>May</v>
      </c>
      <c r="G634" t="str">
        <f>TEXT(Raw_Data!B634,"ddd")</f>
        <v>Tue</v>
      </c>
      <c r="H634" t="str">
        <f>Raw_Data!D634</f>
        <v>Invoiced</v>
      </c>
      <c r="I634" t="str">
        <f>Raw_Data!F634</f>
        <v>SMS/ Tele-Out</v>
      </c>
      <c r="J634" t="str">
        <f>Raw_Data!G634</f>
        <v>Database Activity(Teleout/SMS)</v>
      </c>
      <c r="K634" t="str">
        <f>IFERROR(VLOOKUP(J634,Source_Assumptions!$A:$C,2,0),"Unmapped")</f>
        <v>Outbound/Database</v>
      </c>
      <c r="L634" t="str">
        <f>Raw_Data!H634</f>
        <v>AMAZE Petrol</v>
      </c>
      <c r="M634" t="str">
        <f>IFERROR(VLOOKUP(L634,Model_Assumptions!$A:$D,2,0),"Unmapped")</f>
        <v>Sub-4m Sedan</v>
      </c>
      <c r="N634" t="str">
        <f>IFERROR(VLOOKUP(L634,Model_Assumptions!$A:$D,3,0),"Unmapped")</f>
        <v>Petrol</v>
      </c>
      <c r="O634">
        <f>IFERROR(VLOOKUP(L634,Model_Assumptions!$A:$D,4,0),0)</f>
        <v>850000</v>
      </c>
      <c r="P634">
        <f>IFERROR(VLOOKUP(J634,Source_Assumptions!$A:$C,3,0),0)</f>
        <v>250</v>
      </c>
    </row>
    <row r="635" spans="1:16" x14ac:dyDescent="0.3">
      <c r="A635">
        <f>Raw_Data!A635</f>
        <v>634</v>
      </c>
      <c r="B635" s="2">
        <f>Raw_Data!B635</f>
        <v>45063</v>
      </c>
      <c r="C635">
        <f>YEAR(Raw_Data!B635)</f>
        <v>2023</v>
      </c>
      <c r="D635" t="str">
        <f>IF(MONTH(Raw_Data!B635)&gt;=4,YEAR(Raw_Data!B635)&amp;"-"&amp;RIGHT(YEAR(Raw_Data!B635)+1,2),YEAR(Raw_Data!B635)-1&amp;"-"&amp;RIGHT(YEAR(Raw_Data!B635),2))</f>
        <v>2023-24</v>
      </c>
      <c r="E635" t="str">
        <f>"Q"&amp;ROUNDUP(MONTH(Raw_Data!B635)/3,0)</f>
        <v>Q2</v>
      </c>
      <c r="F635" t="str">
        <f>TEXT(Raw_Data!B635,"mmm")</f>
        <v>May</v>
      </c>
      <c r="G635" t="str">
        <f>TEXT(Raw_Data!B635,"ddd")</f>
        <v>Wed</v>
      </c>
      <c r="H635" t="str">
        <f>Raw_Data!D635</f>
        <v>Invoiced</v>
      </c>
      <c r="I635" t="str">
        <f>Raw_Data!F635</f>
        <v>Tele-in</v>
      </c>
      <c r="J635" t="str">
        <f>Raw_Data!G635</f>
        <v>Dealer Webpage Tele-In</v>
      </c>
      <c r="K635" t="str">
        <f>IFERROR(VLOOKUP(J635,Source_Assumptions!$A:$C,2,0),"Unmapped")</f>
        <v>Digital - Owned</v>
      </c>
      <c r="L635" t="str">
        <f>Raw_Data!H635</f>
        <v>AMAZE-PE</v>
      </c>
      <c r="M635" t="str">
        <f>IFERROR(VLOOKUP(L635,Model_Assumptions!$A:$D,2,0),"Unmapped")</f>
        <v>Sub-4m Sedan</v>
      </c>
      <c r="N635" t="str">
        <f>IFERROR(VLOOKUP(L635,Model_Assumptions!$A:$D,3,0),"Unmapped")</f>
        <v>Petrol</v>
      </c>
      <c r="O635">
        <f>IFERROR(VLOOKUP(L635,Model_Assumptions!$A:$D,4,0),0)</f>
        <v>850000</v>
      </c>
      <c r="P635">
        <f>IFERROR(VLOOKUP(J635,Source_Assumptions!$A:$C,3,0),0)</f>
        <v>300</v>
      </c>
    </row>
    <row r="636" spans="1:16" x14ac:dyDescent="0.3">
      <c r="A636">
        <f>Raw_Data!A636</f>
        <v>635</v>
      </c>
      <c r="B636" s="2">
        <f>Raw_Data!B636</f>
        <v>45064</v>
      </c>
      <c r="C636">
        <f>YEAR(Raw_Data!B636)</f>
        <v>2023</v>
      </c>
      <c r="D636" t="str">
        <f>IF(MONTH(Raw_Data!B636)&gt;=4,YEAR(Raw_Data!B636)&amp;"-"&amp;RIGHT(YEAR(Raw_Data!B636)+1,2),YEAR(Raw_Data!B636)-1&amp;"-"&amp;RIGHT(YEAR(Raw_Data!B636),2))</f>
        <v>2023-24</v>
      </c>
      <c r="E636" t="str">
        <f>"Q"&amp;ROUNDUP(MONTH(Raw_Data!B636)/3,0)</f>
        <v>Q2</v>
      </c>
      <c r="F636" t="str">
        <f>TEXT(Raw_Data!B636,"mmm")</f>
        <v>May</v>
      </c>
      <c r="G636" t="str">
        <f>TEXT(Raw_Data!B636,"ddd")</f>
        <v>Thu</v>
      </c>
      <c r="H636" t="str">
        <f>Raw_Data!D636</f>
        <v>Invoiced</v>
      </c>
      <c r="I636" t="str">
        <f>Raw_Data!F636</f>
        <v>Tele-in</v>
      </c>
      <c r="J636" t="str">
        <f>Raw_Data!G636</f>
        <v>Referral-CAM</v>
      </c>
      <c r="K636" t="str">
        <f>IFERROR(VLOOKUP(J636,Source_Assumptions!$A:$C,2,0),"Unmapped")</f>
        <v>Referral</v>
      </c>
      <c r="L636" t="str">
        <f>Raw_Data!H636</f>
        <v>AMAZE Petrol</v>
      </c>
      <c r="M636" t="str">
        <f>IFERROR(VLOOKUP(L636,Model_Assumptions!$A:$D,2,0),"Unmapped")</f>
        <v>Sub-4m Sedan</v>
      </c>
      <c r="N636" t="str">
        <f>IFERROR(VLOOKUP(L636,Model_Assumptions!$A:$D,3,0),"Unmapped")</f>
        <v>Petrol</v>
      </c>
      <c r="O636">
        <f>IFERROR(VLOOKUP(L636,Model_Assumptions!$A:$D,4,0),0)</f>
        <v>850000</v>
      </c>
      <c r="P636">
        <f>IFERROR(VLOOKUP(J636,Source_Assumptions!$A:$C,3,0),0)</f>
        <v>150</v>
      </c>
    </row>
    <row r="637" spans="1:16" x14ac:dyDescent="0.3">
      <c r="A637">
        <f>Raw_Data!A637</f>
        <v>636</v>
      </c>
      <c r="B637" s="2">
        <f>Raw_Data!B637</f>
        <v>45068</v>
      </c>
      <c r="C637">
        <f>YEAR(Raw_Data!B637)</f>
        <v>2023</v>
      </c>
      <c r="D637" t="str">
        <f>IF(MONTH(Raw_Data!B637)&gt;=4,YEAR(Raw_Data!B637)&amp;"-"&amp;RIGHT(YEAR(Raw_Data!B637)+1,2),YEAR(Raw_Data!B637)-1&amp;"-"&amp;RIGHT(YEAR(Raw_Data!B637),2))</f>
        <v>2023-24</v>
      </c>
      <c r="E637" t="str">
        <f>"Q"&amp;ROUNDUP(MONTH(Raw_Data!B637)/3,0)</f>
        <v>Q2</v>
      </c>
      <c r="F637" t="str">
        <f>TEXT(Raw_Data!B637,"mmm")</f>
        <v>May</v>
      </c>
      <c r="G637" t="str">
        <f>TEXT(Raw_Data!B637,"ddd")</f>
        <v>Mon</v>
      </c>
      <c r="H637" t="str">
        <f>Raw_Data!D637</f>
        <v>Invoiced</v>
      </c>
      <c r="I637" t="str">
        <f>Raw_Data!F637</f>
        <v>Tele-in</v>
      </c>
      <c r="J637" t="str">
        <f>Raw_Data!G637</f>
        <v>Referral-CAM</v>
      </c>
      <c r="K637" t="str">
        <f>IFERROR(VLOOKUP(J637,Source_Assumptions!$A:$C,2,0),"Unmapped")</f>
        <v>Referral</v>
      </c>
      <c r="L637" t="str">
        <f>Raw_Data!H637</f>
        <v>5TH GEN CITY PE</v>
      </c>
      <c r="M637" t="str">
        <f>IFERROR(VLOOKUP(L637,Model_Assumptions!$A:$D,2,0),"Unmapped")</f>
        <v>Mid-size Sedan</v>
      </c>
      <c r="N637" t="str">
        <f>IFERROR(VLOOKUP(L637,Model_Assumptions!$A:$D,3,0),"Unmapped")</f>
        <v>Petrol</v>
      </c>
      <c r="O637">
        <f>IFERROR(VLOOKUP(L637,Model_Assumptions!$A:$D,4,0),0)</f>
        <v>1250000</v>
      </c>
      <c r="P637">
        <f>IFERROR(VLOOKUP(J637,Source_Assumptions!$A:$C,3,0),0)</f>
        <v>150</v>
      </c>
    </row>
    <row r="638" spans="1:16" x14ac:dyDescent="0.3">
      <c r="A638">
        <f>Raw_Data!A638</f>
        <v>637</v>
      </c>
      <c r="B638" s="2">
        <f>Raw_Data!B638</f>
        <v>45068</v>
      </c>
      <c r="C638">
        <f>YEAR(Raw_Data!B638)</f>
        <v>2023</v>
      </c>
      <c r="D638" t="str">
        <f>IF(MONTH(Raw_Data!B638)&gt;=4,YEAR(Raw_Data!B638)&amp;"-"&amp;RIGHT(YEAR(Raw_Data!B638)+1,2),YEAR(Raw_Data!B638)-1&amp;"-"&amp;RIGHT(YEAR(Raw_Data!B638),2))</f>
        <v>2023-24</v>
      </c>
      <c r="E638" t="str">
        <f>"Q"&amp;ROUNDUP(MONTH(Raw_Data!B638)/3,0)</f>
        <v>Q2</v>
      </c>
      <c r="F638" t="str">
        <f>TEXT(Raw_Data!B638,"mmm")</f>
        <v>May</v>
      </c>
      <c r="G638" t="str">
        <f>TEXT(Raw_Data!B638,"ddd")</f>
        <v>Mon</v>
      </c>
      <c r="H638" t="str">
        <f>Raw_Data!D638</f>
        <v>Invoiced</v>
      </c>
      <c r="I638" t="str">
        <f>Raw_Data!F638</f>
        <v>Web Lead</v>
      </c>
      <c r="J638" t="str">
        <f>Raw_Data!G638</f>
        <v>Web</v>
      </c>
      <c r="K638" t="str">
        <f>IFERROR(VLOOKUP(J638,Source_Assumptions!$A:$C,2,0),"Unmapped")</f>
        <v>Digital - Owned</v>
      </c>
      <c r="L638" t="str">
        <f>Raw_Data!H638</f>
        <v>AMAZE-PE</v>
      </c>
      <c r="M638" t="str">
        <f>IFERROR(VLOOKUP(L638,Model_Assumptions!$A:$D,2,0),"Unmapped")</f>
        <v>Sub-4m Sedan</v>
      </c>
      <c r="N638" t="str">
        <f>IFERROR(VLOOKUP(L638,Model_Assumptions!$A:$D,3,0),"Unmapped")</f>
        <v>Petrol</v>
      </c>
      <c r="O638">
        <f>IFERROR(VLOOKUP(L638,Model_Assumptions!$A:$D,4,0),0)</f>
        <v>850000</v>
      </c>
      <c r="P638">
        <f>IFERROR(VLOOKUP(J638,Source_Assumptions!$A:$C,3,0),0)</f>
        <v>300</v>
      </c>
    </row>
    <row r="639" spans="1:16" x14ac:dyDescent="0.3">
      <c r="A639">
        <f>Raw_Data!A639</f>
        <v>638</v>
      </c>
      <c r="B639" s="2">
        <f>Raw_Data!B639</f>
        <v>45069</v>
      </c>
      <c r="C639">
        <f>YEAR(Raw_Data!B639)</f>
        <v>2023</v>
      </c>
      <c r="D639" t="str">
        <f>IF(MONTH(Raw_Data!B639)&gt;=4,YEAR(Raw_Data!B639)&amp;"-"&amp;RIGHT(YEAR(Raw_Data!B639)+1,2),YEAR(Raw_Data!B639)-1&amp;"-"&amp;RIGHT(YEAR(Raw_Data!B639),2))</f>
        <v>2023-24</v>
      </c>
      <c r="E639" t="str">
        <f>"Q"&amp;ROUNDUP(MONTH(Raw_Data!B639)/3,0)</f>
        <v>Q2</v>
      </c>
      <c r="F639" t="str">
        <f>TEXT(Raw_Data!B639,"mmm")</f>
        <v>May</v>
      </c>
      <c r="G639" t="str">
        <f>TEXT(Raw_Data!B639,"ddd")</f>
        <v>Tue</v>
      </c>
      <c r="H639" t="str">
        <f>Raw_Data!D639</f>
        <v>Invoiced</v>
      </c>
      <c r="I639" t="str">
        <f>Raw_Data!F639</f>
        <v>SMS/ Tele-Out</v>
      </c>
      <c r="J639" t="str">
        <f>Raw_Data!G639</f>
        <v>Database Activity(Teleout/SMS)</v>
      </c>
      <c r="K639" t="str">
        <f>IFERROR(VLOOKUP(J639,Source_Assumptions!$A:$C,2,0),"Unmapped")</f>
        <v>Outbound/Database</v>
      </c>
      <c r="L639" t="str">
        <f>Raw_Data!H639</f>
        <v>AMAZE-PE</v>
      </c>
      <c r="M639" t="str">
        <f>IFERROR(VLOOKUP(L639,Model_Assumptions!$A:$D,2,0),"Unmapped")</f>
        <v>Sub-4m Sedan</v>
      </c>
      <c r="N639" t="str">
        <f>IFERROR(VLOOKUP(L639,Model_Assumptions!$A:$D,3,0),"Unmapped")</f>
        <v>Petrol</v>
      </c>
      <c r="O639">
        <f>IFERROR(VLOOKUP(L639,Model_Assumptions!$A:$D,4,0),0)</f>
        <v>850000</v>
      </c>
      <c r="P639">
        <f>IFERROR(VLOOKUP(J639,Source_Assumptions!$A:$C,3,0),0)</f>
        <v>250</v>
      </c>
    </row>
    <row r="640" spans="1:16" x14ac:dyDescent="0.3">
      <c r="A640">
        <f>Raw_Data!A640</f>
        <v>639</v>
      </c>
      <c r="B640" s="2">
        <f>Raw_Data!B640</f>
        <v>45069</v>
      </c>
      <c r="C640">
        <f>YEAR(Raw_Data!B640)</f>
        <v>2023</v>
      </c>
      <c r="D640" t="str">
        <f>IF(MONTH(Raw_Data!B640)&gt;=4,YEAR(Raw_Data!B640)&amp;"-"&amp;RIGHT(YEAR(Raw_Data!B640)+1,2),YEAR(Raw_Data!B640)-1&amp;"-"&amp;RIGHT(YEAR(Raw_Data!B640),2))</f>
        <v>2023-24</v>
      </c>
      <c r="E640" t="str">
        <f>"Q"&amp;ROUNDUP(MONTH(Raw_Data!B640)/3,0)</f>
        <v>Q2</v>
      </c>
      <c r="F640" t="str">
        <f>TEXT(Raw_Data!B640,"mmm")</f>
        <v>May</v>
      </c>
      <c r="G640" t="str">
        <f>TEXT(Raw_Data!B640,"ddd")</f>
        <v>Tue</v>
      </c>
      <c r="H640" t="str">
        <f>Raw_Data!D640</f>
        <v>Invoiced</v>
      </c>
      <c r="I640" t="str">
        <f>Raw_Data!F640</f>
        <v>Tele-in</v>
      </c>
      <c r="J640" t="str">
        <f>Raw_Data!G640</f>
        <v>Dealer Webpage Tele-In</v>
      </c>
      <c r="K640" t="str">
        <f>IFERROR(VLOOKUP(J640,Source_Assumptions!$A:$C,2,0),"Unmapped")</f>
        <v>Digital - Owned</v>
      </c>
      <c r="L640" t="str">
        <f>Raw_Data!H640</f>
        <v>5TH GEN CITY PE</v>
      </c>
      <c r="M640" t="str">
        <f>IFERROR(VLOOKUP(L640,Model_Assumptions!$A:$D,2,0),"Unmapped")</f>
        <v>Mid-size Sedan</v>
      </c>
      <c r="N640" t="str">
        <f>IFERROR(VLOOKUP(L640,Model_Assumptions!$A:$D,3,0),"Unmapped")</f>
        <v>Petrol</v>
      </c>
      <c r="O640">
        <f>IFERROR(VLOOKUP(L640,Model_Assumptions!$A:$D,4,0),0)</f>
        <v>1250000</v>
      </c>
      <c r="P640">
        <f>IFERROR(VLOOKUP(J640,Source_Assumptions!$A:$C,3,0),0)</f>
        <v>300</v>
      </c>
    </row>
    <row r="641" spans="1:16" x14ac:dyDescent="0.3">
      <c r="A641">
        <f>Raw_Data!A641</f>
        <v>640</v>
      </c>
      <c r="B641" s="2">
        <f>Raw_Data!B641</f>
        <v>45069</v>
      </c>
      <c r="C641">
        <f>YEAR(Raw_Data!B641)</f>
        <v>2023</v>
      </c>
      <c r="D641" t="str">
        <f>IF(MONTH(Raw_Data!B641)&gt;=4,YEAR(Raw_Data!B641)&amp;"-"&amp;RIGHT(YEAR(Raw_Data!B641)+1,2),YEAR(Raw_Data!B641)-1&amp;"-"&amp;RIGHT(YEAR(Raw_Data!B641),2))</f>
        <v>2023-24</v>
      </c>
      <c r="E641" t="str">
        <f>"Q"&amp;ROUNDUP(MONTH(Raw_Data!B641)/3,0)</f>
        <v>Q2</v>
      </c>
      <c r="F641" t="str">
        <f>TEXT(Raw_Data!B641,"mmm")</f>
        <v>May</v>
      </c>
      <c r="G641" t="str">
        <f>TEXT(Raw_Data!B641,"ddd")</f>
        <v>Tue</v>
      </c>
      <c r="H641" t="str">
        <f>Raw_Data!D641</f>
        <v>Invoiced</v>
      </c>
      <c r="I641" t="str">
        <f>Raw_Data!F641</f>
        <v>SMS/ Tele-Out</v>
      </c>
      <c r="J641" t="str">
        <f>Raw_Data!G641</f>
        <v>Referral-CAM</v>
      </c>
      <c r="K641" t="str">
        <f>IFERROR(VLOOKUP(J641,Source_Assumptions!$A:$C,2,0),"Unmapped")</f>
        <v>Referral</v>
      </c>
      <c r="L641" t="str">
        <f>Raw_Data!H641</f>
        <v>AMAZE-PE</v>
      </c>
      <c r="M641" t="str">
        <f>IFERROR(VLOOKUP(L641,Model_Assumptions!$A:$D,2,0),"Unmapped")</f>
        <v>Sub-4m Sedan</v>
      </c>
      <c r="N641" t="str">
        <f>IFERROR(VLOOKUP(L641,Model_Assumptions!$A:$D,3,0),"Unmapped")</f>
        <v>Petrol</v>
      </c>
      <c r="O641">
        <f>IFERROR(VLOOKUP(L641,Model_Assumptions!$A:$D,4,0),0)</f>
        <v>850000</v>
      </c>
      <c r="P641">
        <f>IFERROR(VLOOKUP(J641,Source_Assumptions!$A:$C,3,0),0)</f>
        <v>150</v>
      </c>
    </row>
    <row r="642" spans="1:16" x14ac:dyDescent="0.3">
      <c r="A642">
        <f>Raw_Data!A642</f>
        <v>641</v>
      </c>
      <c r="B642" s="2">
        <f>Raw_Data!B642</f>
        <v>45069</v>
      </c>
      <c r="C642">
        <f>YEAR(Raw_Data!B642)</f>
        <v>2023</v>
      </c>
      <c r="D642" t="str">
        <f>IF(MONTH(Raw_Data!B642)&gt;=4,YEAR(Raw_Data!B642)&amp;"-"&amp;RIGHT(YEAR(Raw_Data!B642)+1,2),YEAR(Raw_Data!B642)-1&amp;"-"&amp;RIGHT(YEAR(Raw_Data!B642),2))</f>
        <v>2023-24</v>
      </c>
      <c r="E642" t="str">
        <f>"Q"&amp;ROUNDUP(MONTH(Raw_Data!B642)/3,0)</f>
        <v>Q2</v>
      </c>
      <c r="F642" t="str">
        <f>TEXT(Raw_Data!B642,"mmm")</f>
        <v>May</v>
      </c>
      <c r="G642" t="str">
        <f>TEXT(Raw_Data!B642,"ddd")</f>
        <v>Tue</v>
      </c>
      <c r="H642" t="str">
        <f>Raw_Data!D642</f>
        <v>Invoiced</v>
      </c>
      <c r="I642" t="str">
        <f>Raw_Data!F642</f>
        <v>SMS/ Tele-Out</v>
      </c>
      <c r="J642" t="str">
        <f>Raw_Data!G642</f>
        <v>UIO Re-purchase</v>
      </c>
      <c r="K642" t="str">
        <f>IFERROR(VLOOKUP(J642,Source_Assumptions!$A:$C,2,0),"Unmapped")</f>
        <v>Existing Customer</v>
      </c>
      <c r="L642" t="str">
        <f>Raw_Data!H642</f>
        <v>5TH GEN CITY e:HEV</v>
      </c>
      <c r="M642" t="str">
        <f>IFERROR(VLOOKUP(L642,Model_Assumptions!$A:$D,2,0),"Unmapped")</f>
        <v>Mid-size Sedan</v>
      </c>
      <c r="N642" t="str">
        <f>IFERROR(VLOOKUP(L642,Model_Assumptions!$A:$D,3,0),"Unmapped")</f>
        <v>Hybrid</v>
      </c>
      <c r="O642">
        <f>IFERROR(VLOOKUP(L642,Model_Assumptions!$A:$D,4,0),0)</f>
        <v>1950000</v>
      </c>
      <c r="P642">
        <f>IFERROR(VLOOKUP(J642,Source_Assumptions!$A:$C,3,0),0)</f>
        <v>50</v>
      </c>
    </row>
    <row r="643" spans="1:16" x14ac:dyDescent="0.3">
      <c r="A643">
        <f>Raw_Data!A643</f>
        <v>642</v>
      </c>
      <c r="B643" s="2">
        <f>Raw_Data!B643</f>
        <v>45070</v>
      </c>
      <c r="C643">
        <f>YEAR(Raw_Data!B643)</f>
        <v>2023</v>
      </c>
      <c r="D643" t="str">
        <f>IF(MONTH(Raw_Data!B643)&gt;=4,YEAR(Raw_Data!B643)&amp;"-"&amp;RIGHT(YEAR(Raw_Data!B643)+1,2),YEAR(Raw_Data!B643)-1&amp;"-"&amp;RIGHT(YEAR(Raw_Data!B643),2))</f>
        <v>2023-24</v>
      </c>
      <c r="E643" t="str">
        <f>"Q"&amp;ROUNDUP(MONTH(Raw_Data!B643)/3,0)</f>
        <v>Q2</v>
      </c>
      <c r="F643" t="str">
        <f>TEXT(Raw_Data!B643,"mmm")</f>
        <v>May</v>
      </c>
      <c r="G643" t="str">
        <f>TEXT(Raw_Data!B643,"ddd")</f>
        <v>Wed</v>
      </c>
      <c r="H643" t="str">
        <f>Raw_Data!D643</f>
        <v>Invoiced</v>
      </c>
      <c r="I643" t="str">
        <f>Raw_Data!F643</f>
        <v>Tele-in</v>
      </c>
      <c r="J643" t="str">
        <f>Raw_Data!G643</f>
        <v>Dealer Webpage Tele-In</v>
      </c>
      <c r="K643" t="str">
        <f>IFERROR(VLOOKUP(J643,Source_Assumptions!$A:$C,2,0),"Unmapped")</f>
        <v>Digital - Owned</v>
      </c>
      <c r="L643" t="str">
        <f>Raw_Data!H643</f>
        <v>AMAZE-PE</v>
      </c>
      <c r="M643" t="str">
        <f>IFERROR(VLOOKUP(L643,Model_Assumptions!$A:$D,2,0),"Unmapped")</f>
        <v>Sub-4m Sedan</v>
      </c>
      <c r="N643" t="str">
        <f>IFERROR(VLOOKUP(L643,Model_Assumptions!$A:$D,3,0),"Unmapped")</f>
        <v>Petrol</v>
      </c>
      <c r="O643">
        <f>IFERROR(VLOOKUP(L643,Model_Assumptions!$A:$D,4,0),0)</f>
        <v>850000</v>
      </c>
      <c r="P643">
        <f>IFERROR(VLOOKUP(J643,Source_Assumptions!$A:$C,3,0),0)</f>
        <v>300</v>
      </c>
    </row>
    <row r="644" spans="1:16" x14ac:dyDescent="0.3">
      <c r="A644">
        <f>Raw_Data!A644</f>
        <v>643</v>
      </c>
      <c r="B644" s="2">
        <f>Raw_Data!B644</f>
        <v>45070</v>
      </c>
      <c r="C644">
        <f>YEAR(Raw_Data!B644)</f>
        <v>2023</v>
      </c>
      <c r="D644" t="str">
        <f>IF(MONTH(Raw_Data!B644)&gt;=4,YEAR(Raw_Data!B644)&amp;"-"&amp;RIGHT(YEAR(Raw_Data!B644)+1,2),YEAR(Raw_Data!B644)-1&amp;"-"&amp;RIGHT(YEAR(Raw_Data!B644),2))</f>
        <v>2023-24</v>
      </c>
      <c r="E644" t="str">
        <f>"Q"&amp;ROUNDUP(MONTH(Raw_Data!B644)/3,0)</f>
        <v>Q2</v>
      </c>
      <c r="F644" t="str">
        <f>TEXT(Raw_Data!B644,"mmm")</f>
        <v>May</v>
      </c>
      <c r="G644" t="str">
        <f>TEXT(Raw_Data!B644,"ddd")</f>
        <v>Wed</v>
      </c>
      <c r="H644" t="str">
        <f>Raw_Data!D644</f>
        <v>Invoiced</v>
      </c>
      <c r="I644" t="str">
        <f>Raw_Data!F644</f>
        <v>Tele-in</v>
      </c>
      <c r="J644" t="str">
        <f>Raw_Data!G644</f>
        <v>Dealer Webpage Tele-In</v>
      </c>
      <c r="K644" t="str">
        <f>IFERROR(VLOOKUP(J644,Source_Assumptions!$A:$C,2,0),"Unmapped")</f>
        <v>Digital - Owned</v>
      </c>
      <c r="L644" t="str">
        <f>Raw_Data!H644</f>
        <v>AMAZE-PE</v>
      </c>
      <c r="M644" t="str">
        <f>IFERROR(VLOOKUP(L644,Model_Assumptions!$A:$D,2,0),"Unmapped")</f>
        <v>Sub-4m Sedan</v>
      </c>
      <c r="N644" t="str">
        <f>IFERROR(VLOOKUP(L644,Model_Assumptions!$A:$D,3,0),"Unmapped")</f>
        <v>Petrol</v>
      </c>
      <c r="O644">
        <f>IFERROR(VLOOKUP(L644,Model_Assumptions!$A:$D,4,0),0)</f>
        <v>850000</v>
      </c>
      <c r="P644">
        <f>IFERROR(VLOOKUP(J644,Source_Assumptions!$A:$C,3,0),0)</f>
        <v>300</v>
      </c>
    </row>
    <row r="645" spans="1:16" x14ac:dyDescent="0.3">
      <c r="A645">
        <f>Raw_Data!A645</f>
        <v>644</v>
      </c>
      <c r="B645" s="2">
        <f>Raw_Data!B645</f>
        <v>45070</v>
      </c>
      <c r="C645">
        <f>YEAR(Raw_Data!B645)</f>
        <v>2023</v>
      </c>
      <c r="D645" t="str">
        <f>IF(MONTH(Raw_Data!B645)&gt;=4,YEAR(Raw_Data!B645)&amp;"-"&amp;RIGHT(YEAR(Raw_Data!B645)+1,2),YEAR(Raw_Data!B645)-1&amp;"-"&amp;RIGHT(YEAR(Raw_Data!B645),2))</f>
        <v>2023-24</v>
      </c>
      <c r="E645" t="str">
        <f>"Q"&amp;ROUNDUP(MONTH(Raw_Data!B645)/3,0)</f>
        <v>Q2</v>
      </c>
      <c r="F645" t="str">
        <f>TEXT(Raw_Data!B645,"mmm")</f>
        <v>May</v>
      </c>
      <c r="G645" t="str">
        <f>TEXT(Raw_Data!B645,"ddd")</f>
        <v>Wed</v>
      </c>
      <c r="H645" t="str">
        <f>Raw_Data!D645</f>
        <v>Invoiced</v>
      </c>
      <c r="I645" t="str">
        <f>Raw_Data!F645</f>
        <v>Tele-in</v>
      </c>
      <c r="J645" t="str">
        <f>Raw_Data!G645</f>
        <v>Referral-CAM</v>
      </c>
      <c r="K645" t="str">
        <f>IFERROR(VLOOKUP(J645,Source_Assumptions!$A:$C,2,0),"Unmapped")</f>
        <v>Referral</v>
      </c>
      <c r="L645" t="str">
        <f>Raw_Data!H645</f>
        <v>AMAZE Petrol</v>
      </c>
      <c r="M645" t="str">
        <f>IFERROR(VLOOKUP(L645,Model_Assumptions!$A:$D,2,0),"Unmapped")</f>
        <v>Sub-4m Sedan</v>
      </c>
      <c r="N645" t="str">
        <f>IFERROR(VLOOKUP(L645,Model_Assumptions!$A:$D,3,0),"Unmapped")</f>
        <v>Petrol</v>
      </c>
      <c r="O645">
        <f>IFERROR(VLOOKUP(L645,Model_Assumptions!$A:$D,4,0),0)</f>
        <v>850000</v>
      </c>
      <c r="P645">
        <f>IFERROR(VLOOKUP(J645,Source_Assumptions!$A:$C,3,0),0)</f>
        <v>150</v>
      </c>
    </row>
    <row r="646" spans="1:16" x14ac:dyDescent="0.3">
      <c r="A646">
        <f>Raw_Data!A646</f>
        <v>645</v>
      </c>
      <c r="B646" s="2">
        <f>Raw_Data!B646</f>
        <v>45070</v>
      </c>
      <c r="C646">
        <f>YEAR(Raw_Data!B646)</f>
        <v>2023</v>
      </c>
      <c r="D646" t="str">
        <f>IF(MONTH(Raw_Data!B646)&gt;=4,YEAR(Raw_Data!B646)&amp;"-"&amp;RIGHT(YEAR(Raw_Data!B646)+1,2),YEAR(Raw_Data!B646)-1&amp;"-"&amp;RIGHT(YEAR(Raw_Data!B646),2))</f>
        <v>2023-24</v>
      </c>
      <c r="E646" t="str">
        <f>"Q"&amp;ROUNDUP(MONTH(Raw_Data!B646)/3,0)</f>
        <v>Q2</v>
      </c>
      <c r="F646" t="str">
        <f>TEXT(Raw_Data!B646,"mmm")</f>
        <v>May</v>
      </c>
      <c r="G646" t="str">
        <f>TEXT(Raw_Data!B646,"ddd")</f>
        <v>Wed</v>
      </c>
      <c r="H646" t="str">
        <f>Raw_Data!D646</f>
        <v>Invoiced</v>
      </c>
      <c r="I646" t="str">
        <f>Raw_Data!F646</f>
        <v>Tele-in</v>
      </c>
      <c r="J646" t="str">
        <f>Raw_Data!G646</f>
        <v>Dealer Webpage Tele-In</v>
      </c>
      <c r="K646" t="str">
        <f>IFERROR(VLOOKUP(J646,Source_Assumptions!$A:$C,2,0),"Unmapped")</f>
        <v>Digital - Owned</v>
      </c>
      <c r="L646" t="str">
        <f>Raw_Data!H646</f>
        <v>AMAZE Petrol</v>
      </c>
      <c r="M646" t="str">
        <f>IFERROR(VLOOKUP(L646,Model_Assumptions!$A:$D,2,0),"Unmapped")</f>
        <v>Sub-4m Sedan</v>
      </c>
      <c r="N646" t="str">
        <f>IFERROR(VLOOKUP(L646,Model_Assumptions!$A:$D,3,0),"Unmapped")</f>
        <v>Petrol</v>
      </c>
      <c r="O646">
        <f>IFERROR(VLOOKUP(L646,Model_Assumptions!$A:$D,4,0),0)</f>
        <v>850000</v>
      </c>
      <c r="P646">
        <f>IFERROR(VLOOKUP(J646,Source_Assumptions!$A:$C,3,0),0)</f>
        <v>300</v>
      </c>
    </row>
    <row r="647" spans="1:16" x14ac:dyDescent="0.3">
      <c r="A647">
        <f>Raw_Data!A647</f>
        <v>646</v>
      </c>
      <c r="B647" s="2">
        <f>Raw_Data!B647</f>
        <v>45071</v>
      </c>
      <c r="C647">
        <f>YEAR(Raw_Data!B647)</f>
        <v>2023</v>
      </c>
      <c r="D647" t="str">
        <f>IF(MONTH(Raw_Data!B647)&gt;=4,YEAR(Raw_Data!B647)&amp;"-"&amp;RIGHT(YEAR(Raw_Data!B647)+1,2),YEAR(Raw_Data!B647)-1&amp;"-"&amp;RIGHT(YEAR(Raw_Data!B647),2))</f>
        <v>2023-24</v>
      </c>
      <c r="E647" t="str">
        <f>"Q"&amp;ROUNDUP(MONTH(Raw_Data!B647)/3,0)</f>
        <v>Q2</v>
      </c>
      <c r="F647" t="str">
        <f>TEXT(Raw_Data!B647,"mmm")</f>
        <v>May</v>
      </c>
      <c r="G647" t="str">
        <f>TEXT(Raw_Data!B647,"ddd")</f>
        <v>Thu</v>
      </c>
      <c r="H647" t="str">
        <f>Raw_Data!D647</f>
        <v>Invoiced</v>
      </c>
      <c r="I647" t="str">
        <f>Raw_Data!F647</f>
        <v>Tele-in</v>
      </c>
      <c r="J647" t="str">
        <f>Raw_Data!G647</f>
        <v>Dealer Webpage Tele-In</v>
      </c>
      <c r="K647" t="str">
        <f>IFERROR(VLOOKUP(J647,Source_Assumptions!$A:$C,2,0),"Unmapped")</f>
        <v>Digital - Owned</v>
      </c>
      <c r="L647" t="str">
        <f>Raw_Data!H647</f>
        <v>5TH GEN CITY PE</v>
      </c>
      <c r="M647" t="str">
        <f>IFERROR(VLOOKUP(L647,Model_Assumptions!$A:$D,2,0),"Unmapped")</f>
        <v>Mid-size Sedan</v>
      </c>
      <c r="N647" t="str">
        <f>IFERROR(VLOOKUP(L647,Model_Assumptions!$A:$D,3,0),"Unmapped")</f>
        <v>Petrol</v>
      </c>
      <c r="O647">
        <f>IFERROR(VLOOKUP(L647,Model_Assumptions!$A:$D,4,0),0)</f>
        <v>1250000</v>
      </c>
      <c r="P647">
        <f>IFERROR(VLOOKUP(J647,Source_Assumptions!$A:$C,3,0),0)</f>
        <v>300</v>
      </c>
    </row>
    <row r="648" spans="1:16" x14ac:dyDescent="0.3">
      <c r="A648">
        <f>Raw_Data!A648</f>
        <v>647</v>
      </c>
      <c r="B648" s="2">
        <f>Raw_Data!B648</f>
        <v>45071</v>
      </c>
      <c r="C648">
        <f>YEAR(Raw_Data!B648)</f>
        <v>2023</v>
      </c>
      <c r="D648" t="str">
        <f>IF(MONTH(Raw_Data!B648)&gt;=4,YEAR(Raw_Data!B648)&amp;"-"&amp;RIGHT(YEAR(Raw_Data!B648)+1,2),YEAR(Raw_Data!B648)-1&amp;"-"&amp;RIGHT(YEAR(Raw_Data!B648),2))</f>
        <v>2023-24</v>
      </c>
      <c r="E648" t="str">
        <f>"Q"&amp;ROUNDUP(MONTH(Raw_Data!B648)/3,0)</f>
        <v>Q2</v>
      </c>
      <c r="F648" t="str">
        <f>TEXT(Raw_Data!B648,"mmm")</f>
        <v>May</v>
      </c>
      <c r="G648" t="str">
        <f>TEXT(Raw_Data!B648,"ddd")</f>
        <v>Thu</v>
      </c>
      <c r="H648" t="str">
        <f>Raw_Data!D648</f>
        <v>Invoiced</v>
      </c>
      <c r="I648" t="str">
        <f>Raw_Data!F648</f>
        <v>Walk-in Showroom</v>
      </c>
      <c r="J648" t="str">
        <f>Raw_Data!G648</f>
        <v>Adver. (TVC/Print/Hoarding/FM)</v>
      </c>
      <c r="K648" t="str">
        <f>IFERROR(VLOOKUP(J648,Source_Assumptions!$A:$C,2,0),"Unmapped")</f>
        <v>Traditional Advertising</v>
      </c>
      <c r="L648" t="str">
        <f>Raw_Data!H648</f>
        <v>5TH GEN CITY PE</v>
      </c>
      <c r="M648" t="str">
        <f>IFERROR(VLOOKUP(L648,Model_Assumptions!$A:$D,2,0),"Unmapped")</f>
        <v>Mid-size Sedan</v>
      </c>
      <c r="N648" t="str">
        <f>IFERROR(VLOOKUP(L648,Model_Assumptions!$A:$D,3,0),"Unmapped")</f>
        <v>Petrol</v>
      </c>
      <c r="O648">
        <f>IFERROR(VLOOKUP(L648,Model_Assumptions!$A:$D,4,0),0)</f>
        <v>1250000</v>
      </c>
      <c r="P648">
        <f>IFERROR(VLOOKUP(J648,Source_Assumptions!$A:$C,3,0),0)</f>
        <v>1200</v>
      </c>
    </row>
    <row r="649" spans="1:16" x14ac:dyDescent="0.3">
      <c r="A649">
        <f>Raw_Data!A649</f>
        <v>648</v>
      </c>
      <c r="B649" s="2">
        <f>Raw_Data!B649</f>
        <v>45072</v>
      </c>
      <c r="C649">
        <f>YEAR(Raw_Data!B649)</f>
        <v>2023</v>
      </c>
      <c r="D649" t="str">
        <f>IF(MONTH(Raw_Data!B649)&gt;=4,YEAR(Raw_Data!B649)&amp;"-"&amp;RIGHT(YEAR(Raw_Data!B649)+1,2),YEAR(Raw_Data!B649)-1&amp;"-"&amp;RIGHT(YEAR(Raw_Data!B649),2))</f>
        <v>2023-24</v>
      </c>
      <c r="E649" t="str">
        <f>"Q"&amp;ROUNDUP(MONTH(Raw_Data!B649)/3,0)</f>
        <v>Q2</v>
      </c>
      <c r="F649" t="str">
        <f>TEXT(Raw_Data!B649,"mmm")</f>
        <v>May</v>
      </c>
      <c r="G649" t="str">
        <f>TEXT(Raw_Data!B649,"ddd")</f>
        <v>Fri</v>
      </c>
      <c r="H649" t="str">
        <f>Raw_Data!D649</f>
        <v>Invoiced</v>
      </c>
      <c r="I649" t="str">
        <f>Raw_Data!F649</f>
        <v>SMS/ Tele-Out</v>
      </c>
      <c r="J649" t="str">
        <f>Raw_Data!G649</f>
        <v>I-BAP Self</v>
      </c>
      <c r="K649" t="str">
        <f>IFERROR(VLOOKUP(J649,Source_Assumptions!$A:$C,2,0),"Unmapped")</f>
        <v>Referral (Insurance/Banking Partner)</v>
      </c>
      <c r="L649" t="str">
        <f>Raw_Data!H649</f>
        <v>AMAZE Petrol</v>
      </c>
      <c r="M649" t="str">
        <f>IFERROR(VLOOKUP(L649,Model_Assumptions!$A:$D,2,0),"Unmapped")</f>
        <v>Sub-4m Sedan</v>
      </c>
      <c r="N649" t="str">
        <f>IFERROR(VLOOKUP(L649,Model_Assumptions!$A:$D,3,0),"Unmapped")</f>
        <v>Petrol</v>
      </c>
      <c r="O649">
        <f>IFERROR(VLOOKUP(L649,Model_Assumptions!$A:$D,4,0),0)</f>
        <v>850000</v>
      </c>
      <c r="P649">
        <f>IFERROR(VLOOKUP(J649,Source_Assumptions!$A:$C,3,0),0)</f>
        <v>100</v>
      </c>
    </row>
    <row r="650" spans="1:16" x14ac:dyDescent="0.3">
      <c r="A650">
        <f>Raw_Data!A650</f>
        <v>649</v>
      </c>
      <c r="B650" s="2">
        <f>Raw_Data!B650</f>
        <v>45072</v>
      </c>
      <c r="C650">
        <f>YEAR(Raw_Data!B650)</f>
        <v>2023</v>
      </c>
      <c r="D650" t="str">
        <f>IF(MONTH(Raw_Data!B650)&gt;=4,YEAR(Raw_Data!B650)&amp;"-"&amp;RIGHT(YEAR(Raw_Data!B650)+1,2),YEAR(Raw_Data!B650)-1&amp;"-"&amp;RIGHT(YEAR(Raw_Data!B650),2))</f>
        <v>2023-24</v>
      </c>
      <c r="E650" t="str">
        <f>"Q"&amp;ROUNDUP(MONTH(Raw_Data!B650)/3,0)</f>
        <v>Q2</v>
      </c>
      <c r="F650" t="str">
        <f>TEXT(Raw_Data!B650,"mmm")</f>
        <v>May</v>
      </c>
      <c r="G650" t="str">
        <f>TEXT(Raw_Data!B650,"ddd")</f>
        <v>Fri</v>
      </c>
      <c r="H650" t="str">
        <f>Raw_Data!D650</f>
        <v>Invoiced</v>
      </c>
      <c r="I650" t="str">
        <f>Raw_Data!F650</f>
        <v>Walk-in Showroom</v>
      </c>
      <c r="J650" t="str">
        <f>Raw_Data!G650</f>
        <v>Adver. (TVC/Print/Hoarding/FM)</v>
      </c>
      <c r="K650" t="str">
        <f>IFERROR(VLOOKUP(J650,Source_Assumptions!$A:$C,2,0),"Unmapped")</f>
        <v>Traditional Advertising</v>
      </c>
      <c r="L650" t="str">
        <f>Raw_Data!H650</f>
        <v>5TH GEN CITY PE</v>
      </c>
      <c r="M650" t="str">
        <f>IFERROR(VLOOKUP(L650,Model_Assumptions!$A:$D,2,0),"Unmapped")</f>
        <v>Mid-size Sedan</v>
      </c>
      <c r="N650" t="str">
        <f>IFERROR(VLOOKUP(L650,Model_Assumptions!$A:$D,3,0),"Unmapped")</f>
        <v>Petrol</v>
      </c>
      <c r="O650">
        <f>IFERROR(VLOOKUP(L650,Model_Assumptions!$A:$D,4,0),0)</f>
        <v>1250000</v>
      </c>
      <c r="P650">
        <f>IFERROR(VLOOKUP(J650,Source_Assumptions!$A:$C,3,0),0)</f>
        <v>1200</v>
      </c>
    </row>
    <row r="651" spans="1:16" x14ac:dyDescent="0.3">
      <c r="A651">
        <f>Raw_Data!A651</f>
        <v>650</v>
      </c>
      <c r="B651" s="2">
        <f>Raw_Data!B651</f>
        <v>45074</v>
      </c>
      <c r="C651">
        <f>YEAR(Raw_Data!B651)</f>
        <v>2023</v>
      </c>
      <c r="D651" t="str">
        <f>IF(MONTH(Raw_Data!B651)&gt;=4,YEAR(Raw_Data!B651)&amp;"-"&amp;RIGHT(YEAR(Raw_Data!B651)+1,2),YEAR(Raw_Data!B651)-1&amp;"-"&amp;RIGHT(YEAR(Raw_Data!B651),2))</f>
        <v>2023-24</v>
      </c>
      <c r="E651" t="str">
        <f>"Q"&amp;ROUNDUP(MONTH(Raw_Data!B651)/3,0)</f>
        <v>Q2</v>
      </c>
      <c r="F651" t="str">
        <f>TEXT(Raw_Data!B651,"mmm")</f>
        <v>May</v>
      </c>
      <c r="G651" t="str">
        <f>TEXT(Raw_Data!B651,"ddd")</f>
        <v>Sun</v>
      </c>
      <c r="H651" t="str">
        <f>Raw_Data!D651</f>
        <v>Invoiced</v>
      </c>
      <c r="I651" t="str">
        <f>Raw_Data!F651</f>
        <v>Web Lead</v>
      </c>
      <c r="J651" t="str">
        <f>Raw_Data!G651</f>
        <v>Web_Facebook</v>
      </c>
      <c r="K651" t="str">
        <f>IFERROR(VLOOKUP(J651,Source_Assumptions!$A:$C,2,0),"Unmapped")</f>
        <v>Digital - Paid Social</v>
      </c>
      <c r="L651" t="str">
        <f>Raw_Data!H651</f>
        <v>AMAZE Petrol</v>
      </c>
      <c r="M651" t="str">
        <f>IFERROR(VLOOKUP(L651,Model_Assumptions!$A:$D,2,0),"Unmapped")</f>
        <v>Sub-4m Sedan</v>
      </c>
      <c r="N651" t="str">
        <f>IFERROR(VLOOKUP(L651,Model_Assumptions!$A:$D,3,0),"Unmapped")</f>
        <v>Petrol</v>
      </c>
      <c r="O651">
        <f>IFERROR(VLOOKUP(L651,Model_Assumptions!$A:$D,4,0),0)</f>
        <v>850000</v>
      </c>
      <c r="P651">
        <f>IFERROR(VLOOKUP(J651,Source_Assumptions!$A:$C,3,0),0)</f>
        <v>600</v>
      </c>
    </row>
    <row r="652" spans="1:16" x14ac:dyDescent="0.3">
      <c r="A652">
        <f>Raw_Data!A652</f>
        <v>651</v>
      </c>
      <c r="B652" s="2">
        <f>Raw_Data!B652</f>
        <v>45075</v>
      </c>
      <c r="C652">
        <f>YEAR(Raw_Data!B652)</f>
        <v>2023</v>
      </c>
      <c r="D652" t="str">
        <f>IF(MONTH(Raw_Data!B652)&gt;=4,YEAR(Raw_Data!B652)&amp;"-"&amp;RIGHT(YEAR(Raw_Data!B652)+1,2),YEAR(Raw_Data!B652)-1&amp;"-"&amp;RIGHT(YEAR(Raw_Data!B652),2))</f>
        <v>2023-24</v>
      </c>
      <c r="E652" t="str">
        <f>"Q"&amp;ROUNDUP(MONTH(Raw_Data!B652)/3,0)</f>
        <v>Q2</v>
      </c>
      <c r="F652" t="str">
        <f>TEXT(Raw_Data!B652,"mmm")</f>
        <v>May</v>
      </c>
      <c r="G652" t="str">
        <f>TEXT(Raw_Data!B652,"ddd")</f>
        <v>Mon</v>
      </c>
      <c r="H652" t="str">
        <f>Raw_Data!D652</f>
        <v>Invoiced</v>
      </c>
      <c r="I652" t="str">
        <f>Raw_Data!F652</f>
        <v>SMS/ Tele-Out</v>
      </c>
      <c r="J652" t="str">
        <f>Raw_Data!G652</f>
        <v>I-BAP Self</v>
      </c>
      <c r="K652" t="str">
        <f>IFERROR(VLOOKUP(J652,Source_Assumptions!$A:$C,2,0),"Unmapped")</f>
        <v>Referral (Insurance/Banking Partner)</v>
      </c>
      <c r="L652" t="str">
        <f>Raw_Data!H652</f>
        <v>5TH GEN CITY PE</v>
      </c>
      <c r="M652" t="str">
        <f>IFERROR(VLOOKUP(L652,Model_Assumptions!$A:$D,2,0),"Unmapped")</f>
        <v>Mid-size Sedan</v>
      </c>
      <c r="N652" t="str">
        <f>IFERROR(VLOOKUP(L652,Model_Assumptions!$A:$D,3,0),"Unmapped")</f>
        <v>Petrol</v>
      </c>
      <c r="O652">
        <f>IFERROR(VLOOKUP(L652,Model_Assumptions!$A:$D,4,0),0)</f>
        <v>1250000</v>
      </c>
      <c r="P652">
        <f>IFERROR(VLOOKUP(J652,Source_Assumptions!$A:$C,3,0),0)</f>
        <v>100</v>
      </c>
    </row>
    <row r="653" spans="1:16" x14ac:dyDescent="0.3">
      <c r="A653">
        <f>Raw_Data!A653</f>
        <v>652</v>
      </c>
      <c r="B653" s="2">
        <f>Raw_Data!B653</f>
        <v>45075</v>
      </c>
      <c r="C653">
        <f>YEAR(Raw_Data!B653)</f>
        <v>2023</v>
      </c>
      <c r="D653" t="str">
        <f>IF(MONTH(Raw_Data!B653)&gt;=4,YEAR(Raw_Data!B653)&amp;"-"&amp;RIGHT(YEAR(Raw_Data!B653)+1,2),YEAR(Raw_Data!B653)-1&amp;"-"&amp;RIGHT(YEAR(Raw_Data!B653),2))</f>
        <v>2023-24</v>
      </c>
      <c r="E653" t="str">
        <f>"Q"&amp;ROUNDUP(MONTH(Raw_Data!B653)/3,0)</f>
        <v>Q2</v>
      </c>
      <c r="F653" t="str">
        <f>TEXT(Raw_Data!B653,"mmm")</f>
        <v>May</v>
      </c>
      <c r="G653" t="str">
        <f>TEXT(Raw_Data!B653,"ddd")</f>
        <v>Mon</v>
      </c>
      <c r="H653" t="str">
        <f>Raw_Data!D653</f>
        <v>Invoiced</v>
      </c>
      <c r="I653" t="str">
        <f>Raw_Data!F653</f>
        <v>Walk-in Showroom</v>
      </c>
      <c r="J653" t="str">
        <f>Raw_Data!G653</f>
        <v>Adver. (TVC/Print/Hoarding/FM)</v>
      </c>
      <c r="K653" t="str">
        <f>IFERROR(VLOOKUP(J653,Source_Assumptions!$A:$C,2,0),"Unmapped")</f>
        <v>Traditional Advertising</v>
      </c>
      <c r="L653" t="str">
        <f>Raw_Data!H653</f>
        <v>AMAZE Petrol</v>
      </c>
      <c r="M653" t="str">
        <f>IFERROR(VLOOKUP(L653,Model_Assumptions!$A:$D,2,0),"Unmapped")</f>
        <v>Sub-4m Sedan</v>
      </c>
      <c r="N653" t="str">
        <f>IFERROR(VLOOKUP(L653,Model_Assumptions!$A:$D,3,0),"Unmapped")</f>
        <v>Petrol</v>
      </c>
      <c r="O653">
        <f>IFERROR(VLOOKUP(L653,Model_Assumptions!$A:$D,4,0),0)</f>
        <v>850000</v>
      </c>
      <c r="P653">
        <f>IFERROR(VLOOKUP(J653,Source_Assumptions!$A:$C,3,0),0)</f>
        <v>1200</v>
      </c>
    </row>
    <row r="654" spans="1:16" x14ac:dyDescent="0.3">
      <c r="A654">
        <f>Raw_Data!A654</f>
        <v>653</v>
      </c>
      <c r="B654" s="2">
        <f>Raw_Data!B654</f>
        <v>45076</v>
      </c>
      <c r="C654">
        <f>YEAR(Raw_Data!B654)</f>
        <v>2023</v>
      </c>
      <c r="D654" t="str">
        <f>IF(MONTH(Raw_Data!B654)&gt;=4,YEAR(Raw_Data!B654)&amp;"-"&amp;RIGHT(YEAR(Raw_Data!B654)+1,2),YEAR(Raw_Data!B654)-1&amp;"-"&amp;RIGHT(YEAR(Raw_Data!B654),2))</f>
        <v>2023-24</v>
      </c>
      <c r="E654" t="str">
        <f>"Q"&amp;ROUNDUP(MONTH(Raw_Data!B654)/3,0)</f>
        <v>Q2</v>
      </c>
      <c r="F654" t="str">
        <f>TEXT(Raw_Data!B654,"mmm")</f>
        <v>May</v>
      </c>
      <c r="G654" t="str">
        <f>TEXT(Raw_Data!B654,"ddd")</f>
        <v>Tue</v>
      </c>
      <c r="H654" t="str">
        <f>Raw_Data!D654</f>
        <v>Invoiced</v>
      </c>
      <c r="I654" t="str">
        <f>Raw_Data!F654</f>
        <v>Walk-in Showroom</v>
      </c>
      <c r="J654" t="str">
        <f>Raw_Data!G654</f>
        <v>Adver. (TVC/Print/Hoarding/FM)</v>
      </c>
      <c r="K654" t="str">
        <f>IFERROR(VLOOKUP(J654,Source_Assumptions!$A:$C,2,0),"Unmapped")</f>
        <v>Traditional Advertising</v>
      </c>
      <c r="L654" t="str">
        <f>Raw_Data!H654</f>
        <v>AMAZE-PE</v>
      </c>
      <c r="M654" t="str">
        <f>IFERROR(VLOOKUP(L654,Model_Assumptions!$A:$D,2,0),"Unmapped")</f>
        <v>Sub-4m Sedan</v>
      </c>
      <c r="N654" t="str">
        <f>IFERROR(VLOOKUP(L654,Model_Assumptions!$A:$D,3,0),"Unmapped")</f>
        <v>Petrol</v>
      </c>
      <c r="O654">
        <f>IFERROR(VLOOKUP(L654,Model_Assumptions!$A:$D,4,0),0)</f>
        <v>850000</v>
      </c>
      <c r="P654">
        <f>IFERROR(VLOOKUP(J654,Source_Assumptions!$A:$C,3,0),0)</f>
        <v>1200</v>
      </c>
    </row>
    <row r="655" spans="1:16" x14ac:dyDescent="0.3">
      <c r="A655">
        <f>Raw_Data!A655</f>
        <v>654</v>
      </c>
      <c r="B655" s="2">
        <f>Raw_Data!B655</f>
        <v>45076</v>
      </c>
      <c r="C655">
        <f>YEAR(Raw_Data!B655)</f>
        <v>2023</v>
      </c>
      <c r="D655" t="str">
        <f>IF(MONTH(Raw_Data!B655)&gt;=4,YEAR(Raw_Data!B655)&amp;"-"&amp;RIGHT(YEAR(Raw_Data!B655)+1,2),YEAR(Raw_Data!B655)-1&amp;"-"&amp;RIGHT(YEAR(Raw_Data!B655),2))</f>
        <v>2023-24</v>
      </c>
      <c r="E655" t="str">
        <f>"Q"&amp;ROUNDUP(MONTH(Raw_Data!B655)/3,0)</f>
        <v>Q2</v>
      </c>
      <c r="F655" t="str">
        <f>TEXT(Raw_Data!B655,"mmm")</f>
        <v>May</v>
      </c>
      <c r="G655" t="str">
        <f>TEXT(Raw_Data!B655,"ddd")</f>
        <v>Tue</v>
      </c>
      <c r="H655" t="str">
        <f>Raw_Data!D655</f>
        <v>Invoiced</v>
      </c>
      <c r="I655" t="str">
        <f>Raw_Data!F655</f>
        <v>Web Lead</v>
      </c>
      <c r="J655" t="str">
        <f>Raw_Data!G655</f>
        <v>Web_Organic</v>
      </c>
      <c r="K655" t="str">
        <f>IFERROR(VLOOKUP(J655,Source_Assumptions!$A:$C,2,0),"Unmapped")</f>
        <v>Digital - Organic</v>
      </c>
      <c r="L655" t="str">
        <f>Raw_Data!H655</f>
        <v>AMAZE Petrol</v>
      </c>
      <c r="M655" t="str">
        <f>IFERROR(VLOOKUP(L655,Model_Assumptions!$A:$D,2,0),"Unmapped")</f>
        <v>Sub-4m Sedan</v>
      </c>
      <c r="N655" t="str">
        <f>IFERROR(VLOOKUP(L655,Model_Assumptions!$A:$D,3,0),"Unmapped")</f>
        <v>Petrol</v>
      </c>
      <c r="O655">
        <f>IFERROR(VLOOKUP(L655,Model_Assumptions!$A:$D,4,0),0)</f>
        <v>850000</v>
      </c>
      <c r="P655">
        <f>IFERROR(VLOOKUP(J655,Source_Assumptions!$A:$C,3,0),0)</f>
        <v>100</v>
      </c>
    </row>
    <row r="656" spans="1:16" x14ac:dyDescent="0.3">
      <c r="A656">
        <f>Raw_Data!A656</f>
        <v>655</v>
      </c>
      <c r="B656" s="2">
        <f>Raw_Data!B656</f>
        <v>45076</v>
      </c>
      <c r="C656">
        <f>YEAR(Raw_Data!B656)</f>
        <v>2023</v>
      </c>
      <c r="D656" t="str">
        <f>IF(MONTH(Raw_Data!B656)&gt;=4,YEAR(Raw_Data!B656)&amp;"-"&amp;RIGHT(YEAR(Raw_Data!B656)+1,2),YEAR(Raw_Data!B656)-1&amp;"-"&amp;RIGHT(YEAR(Raw_Data!B656),2))</f>
        <v>2023-24</v>
      </c>
      <c r="E656" t="str">
        <f>"Q"&amp;ROUNDUP(MONTH(Raw_Data!B656)/3,0)</f>
        <v>Q2</v>
      </c>
      <c r="F656" t="str">
        <f>TEXT(Raw_Data!B656,"mmm")</f>
        <v>May</v>
      </c>
      <c r="G656" t="str">
        <f>TEXT(Raw_Data!B656,"ddd")</f>
        <v>Tue</v>
      </c>
      <c r="H656" t="str">
        <f>Raw_Data!D656</f>
        <v>Invoiced</v>
      </c>
      <c r="I656" t="str">
        <f>Raw_Data!F656</f>
        <v>Web Lead</v>
      </c>
      <c r="J656" t="str">
        <f>Raw_Data!G656</f>
        <v>Web_Facebook</v>
      </c>
      <c r="K656" t="str">
        <f>IFERROR(VLOOKUP(J656,Source_Assumptions!$A:$C,2,0),"Unmapped")</f>
        <v>Digital - Paid Social</v>
      </c>
      <c r="L656" t="str">
        <f>Raw_Data!H656</f>
        <v>AMAZE-PE</v>
      </c>
      <c r="M656" t="str">
        <f>IFERROR(VLOOKUP(L656,Model_Assumptions!$A:$D,2,0),"Unmapped")</f>
        <v>Sub-4m Sedan</v>
      </c>
      <c r="N656" t="str">
        <f>IFERROR(VLOOKUP(L656,Model_Assumptions!$A:$D,3,0),"Unmapped")</f>
        <v>Petrol</v>
      </c>
      <c r="O656">
        <f>IFERROR(VLOOKUP(L656,Model_Assumptions!$A:$D,4,0),0)</f>
        <v>850000</v>
      </c>
      <c r="P656">
        <f>IFERROR(VLOOKUP(J656,Source_Assumptions!$A:$C,3,0),0)</f>
        <v>600</v>
      </c>
    </row>
    <row r="657" spans="1:16" x14ac:dyDescent="0.3">
      <c r="A657">
        <f>Raw_Data!A657</f>
        <v>656</v>
      </c>
      <c r="B657" s="2">
        <f>Raw_Data!B657</f>
        <v>45077</v>
      </c>
      <c r="C657">
        <f>YEAR(Raw_Data!B657)</f>
        <v>2023</v>
      </c>
      <c r="D657" t="str">
        <f>IF(MONTH(Raw_Data!B657)&gt;=4,YEAR(Raw_Data!B657)&amp;"-"&amp;RIGHT(YEAR(Raw_Data!B657)+1,2),YEAR(Raw_Data!B657)-1&amp;"-"&amp;RIGHT(YEAR(Raw_Data!B657),2))</f>
        <v>2023-24</v>
      </c>
      <c r="E657" t="str">
        <f>"Q"&amp;ROUNDUP(MONTH(Raw_Data!B657)/3,0)</f>
        <v>Q2</v>
      </c>
      <c r="F657" t="str">
        <f>TEXT(Raw_Data!B657,"mmm")</f>
        <v>May</v>
      </c>
      <c r="G657" t="str">
        <f>TEXT(Raw_Data!B657,"ddd")</f>
        <v>Wed</v>
      </c>
      <c r="H657" t="str">
        <f>Raw_Data!D657</f>
        <v>Invoiced</v>
      </c>
      <c r="I657" t="str">
        <f>Raw_Data!F657</f>
        <v>Web Lead</v>
      </c>
      <c r="J657" t="str">
        <f>Raw_Data!G657</f>
        <v>Web_CarDekho</v>
      </c>
      <c r="K657" t="str">
        <f>IFERROR(VLOOKUP(J657,Source_Assumptions!$A:$C,2,0),"Unmapped")</f>
        <v>Digital - Aggregator (Paid)</v>
      </c>
      <c r="L657" t="str">
        <f>Raw_Data!H657</f>
        <v>5TH GEN CITY PE</v>
      </c>
      <c r="M657" t="str">
        <f>IFERROR(VLOOKUP(L657,Model_Assumptions!$A:$D,2,0),"Unmapped")</f>
        <v>Mid-size Sedan</v>
      </c>
      <c r="N657" t="str">
        <f>IFERROR(VLOOKUP(L657,Model_Assumptions!$A:$D,3,0),"Unmapped")</f>
        <v>Petrol</v>
      </c>
      <c r="O657">
        <f>IFERROR(VLOOKUP(L657,Model_Assumptions!$A:$D,4,0),0)</f>
        <v>1250000</v>
      </c>
      <c r="P657">
        <f>IFERROR(VLOOKUP(J657,Source_Assumptions!$A:$C,3,0),0)</f>
        <v>900</v>
      </c>
    </row>
    <row r="658" spans="1:16" x14ac:dyDescent="0.3">
      <c r="A658">
        <f>Raw_Data!A658</f>
        <v>657</v>
      </c>
      <c r="B658" s="2">
        <f>Raw_Data!B658</f>
        <v>45077</v>
      </c>
      <c r="C658">
        <f>YEAR(Raw_Data!B658)</f>
        <v>2023</v>
      </c>
      <c r="D658" t="str">
        <f>IF(MONTH(Raw_Data!B658)&gt;=4,YEAR(Raw_Data!B658)&amp;"-"&amp;RIGHT(YEAR(Raw_Data!B658)+1,2),YEAR(Raw_Data!B658)-1&amp;"-"&amp;RIGHT(YEAR(Raw_Data!B658),2))</f>
        <v>2023-24</v>
      </c>
      <c r="E658" t="str">
        <f>"Q"&amp;ROUNDUP(MONTH(Raw_Data!B658)/3,0)</f>
        <v>Q2</v>
      </c>
      <c r="F658" t="str">
        <f>TEXT(Raw_Data!B658,"mmm")</f>
        <v>May</v>
      </c>
      <c r="G658" t="str">
        <f>TEXT(Raw_Data!B658,"ddd")</f>
        <v>Wed</v>
      </c>
      <c r="H658" t="str">
        <f>Raw_Data!D658</f>
        <v>Invoiced</v>
      </c>
      <c r="I658" t="str">
        <f>Raw_Data!F658</f>
        <v>SMS/ Tele-Out</v>
      </c>
      <c r="J658" t="str">
        <f>Raw_Data!G658</f>
        <v>Database Activity(Teleout/SMS)</v>
      </c>
      <c r="K658" t="str">
        <f>IFERROR(VLOOKUP(J658,Source_Assumptions!$A:$C,2,0),"Unmapped")</f>
        <v>Outbound/Database</v>
      </c>
      <c r="L658" t="str">
        <f>Raw_Data!H658</f>
        <v>AMAZE Petrol</v>
      </c>
      <c r="M658" t="str">
        <f>IFERROR(VLOOKUP(L658,Model_Assumptions!$A:$D,2,0),"Unmapped")</f>
        <v>Sub-4m Sedan</v>
      </c>
      <c r="N658" t="str">
        <f>IFERROR(VLOOKUP(L658,Model_Assumptions!$A:$D,3,0),"Unmapped")</f>
        <v>Petrol</v>
      </c>
      <c r="O658">
        <f>IFERROR(VLOOKUP(L658,Model_Assumptions!$A:$D,4,0),0)</f>
        <v>850000</v>
      </c>
      <c r="P658">
        <f>IFERROR(VLOOKUP(J658,Source_Assumptions!$A:$C,3,0),0)</f>
        <v>250</v>
      </c>
    </row>
    <row r="659" spans="1:16" x14ac:dyDescent="0.3">
      <c r="A659">
        <f>Raw_Data!A659</f>
        <v>658</v>
      </c>
      <c r="B659" s="2">
        <f>Raw_Data!B659</f>
        <v>45077</v>
      </c>
      <c r="C659">
        <f>YEAR(Raw_Data!B659)</f>
        <v>2023</v>
      </c>
      <c r="D659" t="str">
        <f>IF(MONTH(Raw_Data!B659)&gt;=4,YEAR(Raw_Data!B659)&amp;"-"&amp;RIGHT(YEAR(Raw_Data!B659)+1,2),YEAR(Raw_Data!B659)-1&amp;"-"&amp;RIGHT(YEAR(Raw_Data!B659),2))</f>
        <v>2023-24</v>
      </c>
      <c r="E659" t="str">
        <f>"Q"&amp;ROUNDUP(MONTH(Raw_Data!B659)/3,0)</f>
        <v>Q2</v>
      </c>
      <c r="F659" t="str">
        <f>TEXT(Raw_Data!B659,"mmm")</f>
        <v>May</v>
      </c>
      <c r="G659" t="str">
        <f>TEXT(Raw_Data!B659,"ddd")</f>
        <v>Wed</v>
      </c>
      <c r="H659" t="str">
        <f>Raw_Data!D659</f>
        <v>Invoiced</v>
      </c>
      <c r="I659" t="str">
        <f>Raw_Data!F659</f>
        <v>Walk-in Showroom</v>
      </c>
      <c r="J659" t="str">
        <f>Raw_Data!G659</f>
        <v>Adver. (TVC/Print/Hoarding/FM)</v>
      </c>
      <c r="K659" t="str">
        <f>IFERROR(VLOOKUP(J659,Source_Assumptions!$A:$C,2,0),"Unmapped")</f>
        <v>Traditional Advertising</v>
      </c>
      <c r="L659" t="str">
        <f>Raw_Data!H659</f>
        <v>AMAZE-PE</v>
      </c>
      <c r="M659" t="str">
        <f>IFERROR(VLOOKUP(L659,Model_Assumptions!$A:$D,2,0),"Unmapped")</f>
        <v>Sub-4m Sedan</v>
      </c>
      <c r="N659" t="str">
        <f>IFERROR(VLOOKUP(L659,Model_Assumptions!$A:$D,3,0),"Unmapped")</f>
        <v>Petrol</v>
      </c>
      <c r="O659">
        <f>IFERROR(VLOOKUP(L659,Model_Assumptions!$A:$D,4,0),0)</f>
        <v>850000</v>
      </c>
      <c r="P659">
        <f>IFERROR(VLOOKUP(J659,Source_Assumptions!$A:$C,3,0),0)</f>
        <v>1200</v>
      </c>
    </row>
    <row r="660" spans="1:16" x14ac:dyDescent="0.3">
      <c r="A660">
        <f>Raw_Data!A660</f>
        <v>659</v>
      </c>
      <c r="B660" s="2">
        <f>Raw_Data!B660</f>
        <v>45077</v>
      </c>
      <c r="C660">
        <f>YEAR(Raw_Data!B660)</f>
        <v>2023</v>
      </c>
      <c r="D660" t="str">
        <f>IF(MONTH(Raw_Data!B660)&gt;=4,YEAR(Raw_Data!B660)&amp;"-"&amp;RIGHT(YEAR(Raw_Data!B660)+1,2),YEAR(Raw_Data!B660)-1&amp;"-"&amp;RIGHT(YEAR(Raw_Data!B660),2))</f>
        <v>2023-24</v>
      </c>
      <c r="E660" t="str">
        <f>"Q"&amp;ROUNDUP(MONTH(Raw_Data!B660)/3,0)</f>
        <v>Q2</v>
      </c>
      <c r="F660" t="str">
        <f>TEXT(Raw_Data!B660,"mmm")</f>
        <v>May</v>
      </c>
      <c r="G660" t="str">
        <f>TEXT(Raw_Data!B660,"ddd")</f>
        <v>Wed</v>
      </c>
      <c r="H660" t="str">
        <f>Raw_Data!D660</f>
        <v>Invoiced</v>
      </c>
      <c r="I660" t="str">
        <f>Raw_Data!F660</f>
        <v>Web Lead</v>
      </c>
      <c r="J660" t="str">
        <f>Raw_Data!G660</f>
        <v>Web</v>
      </c>
      <c r="K660" t="str">
        <f>IFERROR(VLOOKUP(J660,Source_Assumptions!$A:$C,2,0),"Unmapped")</f>
        <v>Digital - Owned</v>
      </c>
      <c r="L660" t="str">
        <f>Raw_Data!H660</f>
        <v>AMAZE-PE</v>
      </c>
      <c r="M660" t="str">
        <f>IFERROR(VLOOKUP(L660,Model_Assumptions!$A:$D,2,0),"Unmapped")</f>
        <v>Sub-4m Sedan</v>
      </c>
      <c r="N660" t="str">
        <f>IFERROR(VLOOKUP(L660,Model_Assumptions!$A:$D,3,0),"Unmapped")</f>
        <v>Petrol</v>
      </c>
      <c r="O660">
        <f>IFERROR(VLOOKUP(L660,Model_Assumptions!$A:$D,4,0),0)</f>
        <v>850000</v>
      </c>
      <c r="P660">
        <f>IFERROR(VLOOKUP(J660,Source_Assumptions!$A:$C,3,0),0)</f>
        <v>300</v>
      </c>
    </row>
    <row r="661" spans="1:16" x14ac:dyDescent="0.3">
      <c r="A661">
        <f>Raw_Data!A661</f>
        <v>660</v>
      </c>
      <c r="B661" s="2">
        <f>Raw_Data!B661</f>
        <v>45077</v>
      </c>
      <c r="C661">
        <f>YEAR(Raw_Data!B661)</f>
        <v>2023</v>
      </c>
      <c r="D661" t="str">
        <f>IF(MONTH(Raw_Data!B661)&gt;=4,YEAR(Raw_Data!B661)&amp;"-"&amp;RIGHT(YEAR(Raw_Data!B661)+1,2),YEAR(Raw_Data!B661)-1&amp;"-"&amp;RIGHT(YEAR(Raw_Data!B661),2))</f>
        <v>2023-24</v>
      </c>
      <c r="E661" t="str">
        <f>"Q"&amp;ROUNDUP(MONTH(Raw_Data!B661)/3,0)</f>
        <v>Q2</v>
      </c>
      <c r="F661" t="str">
        <f>TEXT(Raw_Data!B661,"mmm")</f>
        <v>May</v>
      </c>
      <c r="G661" t="str">
        <f>TEXT(Raw_Data!B661,"ddd")</f>
        <v>Wed</v>
      </c>
      <c r="H661" t="str">
        <f>Raw_Data!D661</f>
        <v>Invoiced</v>
      </c>
      <c r="I661" t="str">
        <f>Raw_Data!F661</f>
        <v>Tele-in</v>
      </c>
      <c r="J661" t="str">
        <f>Raw_Data!G661</f>
        <v>Dealer Webpage Tele-In</v>
      </c>
      <c r="K661" t="str">
        <f>IFERROR(VLOOKUP(J661,Source_Assumptions!$A:$C,2,0),"Unmapped")</f>
        <v>Digital - Owned</v>
      </c>
      <c r="L661" t="str">
        <f>Raw_Data!H661</f>
        <v>AMAZE Petrol</v>
      </c>
      <c r="M661" t="str">
        <f>IFERROR(VLOOKUP(L661,Model_Assumptions!$A:$D,2,0),"Unmapped")</f>
        <v>Sub-4m Sedan</v>
      </c>
      <c r="N661" t="str">
        <f>IFERROR(VLOOKUP(L661,Model_Assumptions!$A:$D,3,0),"Unmapped")</f>
        <v>Petrol</v>
      </c>
      <c r="O661">
        <f>IFERROR(VLOOKUP(L661,Model_Assumptions!$A:$D,4,0),0)</f>
        <v>850000</v>
      </c>
      <c r="P661">
        <f>IFERROR(VLOOKUP(J661,Source_Assumptions!$A:$C,3,0),0)</f>
        <v>300</v>
      </c>
    </row>
    <row r="662" spans="1:16" x14ac:dyDescent="0.3">
      <c r="A662">
        <f>Raw_Data!A662</f>
        <v>661</v>
      </c>
      <c r="B662" s="2">
        <f>Raw_Data!B662</f>
        <v>45085</v>
      </c>
      <c r="C662">
        <f>YEAR(Raw_Data!B662)</f>
        <v>2023</v>
      </c>
      <c r="D662" t="str">
        <f>IF(MONTH(Raw_Data!B662)&gt;=4,YEAR(Raw_Data!B662)&amp;"-"&amp;RIGHT(YEAR(Raw_Data!B662)+1,2),YEAR(Raw_Data!B662)-1&amp;"-"&amp;RIGHT(YEAR(Raw_Data!B662),2))</f>
        <v>2023-24</v>
      </c>
      <c r="E662" t="str">
        <f>"Q"&amp;ROUNDUP(MONTH(Raw_Data!B662)/3,0)</f>
        <v>Q2</v>
      </c>
      <c r="F662" t="str">
        <f>TEXT(Raw_Data!B662,"mmm")</f>
        <v>Jun</v>
      </c>
      <c r="G662" t="str">
        <f>TEXT(Raw_Data!B662,"ddd")</f>
        <v>Thu</v>
      </c>
      <c r="H662" t="str">
        <f>Raw_Data!D662</f>
        <v>Invoiced</v>
      </c>
      <c r="I662" t="str">
        <f>Raw_Data!F662</f>
        <v>Tele-in</v>
      </c>
      <c r="J662" t="str">
        <f>Raw_Data!G662</f>
        <v>Referral-CAM</v>
      </c>
      <c r="K662" t="str">
        <f>IFERROR(VLOOKUP(J662,Source_Assumptions!$A:$C,2,0),"Unmapped")</f>
        <v>Referral</v>
      </c>
      <c r="L662" t="str">
        <f>Raw_Data!H662</f>
        <v>5TH GEN CITY PE</v>
      </c>
      <c r="M662" t="str">
        <f>IFERROR(VLOOKUP(L662,Model_Assumptions!$A:$D,2,0),"Unmapped")</f>
        <v>Mid-size Sedan</v>
      </c>
      <c r="N662" t="str">
        <f>IFERROR(VLOOKUP(L662,Model_Assumptions!$A:$D,3,0),"Unmapped")</f>
        <v>Petrol</v>
      </c>
      <c r="O662">
        <f>IFERROR(VLOOKUP(L662,Model_Assumptions!$A:$D,4,0),0)</f>
        <v>1250000</v>
      </c>
      <c r="P662">
        <f>IFERROR(VLOOKUP(J662,Source_Assumptions!$A:$C,3,0),0)</f>
        <v>150</v>
      </c>
    </row>
    <row r="663" spans="1:16" x14ac:dyDescent="0.3">
      <c r="A663">
        <f>Raw_Data!A663</f>
        <v>662</v>
      </c>
      <c r="B663" s="2">
        <f>Raw_Data!B663</f>
        <v>45085</v>
      </c>
      <c r="C663">
        <f>YEAR(Raw_Data!B663)</f>
        <v>2023</v>
      </c>
      <c r="D663" t="str">
        <f>IF(MONTH(Raw_Data!B663)&gt;=4,YEAR(Raw_Data!B663)&amp;"-"&amp;RIGHT(YEAR(Raw_Data!B663)+1,2),YEAR(Raw_Data!B663)-1&amp;"-"&amp;RIGHT(YEAR(Raw_Data!B663),2))</f>
        <v>2023-24</v>
      </c>
      <c r="E663" t="str">
        <f>"Q"&amp;ROUNDUP(MONTH(Raw_Data!B663)/3,0)</f>
        <v>Q2</v>
      </c>
      <c r="F663" t="str">
        <f>TEXT(Raw_Data!B663,"mmm")</f>
        <v>Jun</v>
      </c>
      <c r="G663" t="str">
        <f>TEXT(Raw_Data!B663,"ddd")</f>
        <v>Thu</v>
      </c>
      <c r="H663" t="str">
        <f>Raw_Data!D663</f>
        <v>Invoiced</v>
      </c>
      <c r="I663" t="str">
        <f>Raw_Data!F663</f>
        <v>Web Lead</v>
      </c>
      <c r="J663" t="str">
        <f>Raw_Data!G663</f>
        <v>Web</v>
      </c>
      <c r="K663" t="str">
        <f>IFERROR(VLOOKUP(J663,Source_Assumptions!$A:$C,2,0),"Unmapped")</f>
        <v>Digital - Owned</v>
      </c>
      <c r="L663" t="str">
        <f>Raw_Data!H663</f>
        <v>5TH GEN CITY PE</v>
      </c>
      <c r="M663" t="str">
        <f>IFERROR(VLOOKUP(L663,Model_Assumptions!$A:$D,2,0),"Unmapped")</f>
        <v>Mid-size Sedan</v>
      </c>
      <c r="N663" t="str">
        <f>IFERROR(VLOOKUP(L663,Model_Assumptions!$A:$D,3,0),"Unmapped")</f>
        <v>Petrol</v>
      </c>
      <c r="O663">
        <f>IFERROR(VLOOKUP(L663,Model_Assumptions!$A:$D,4,0),0)</f>
        <v>1250000</v>
      </c>
      <c r="P663">
        <f>IFERROR(VLOOKUP(J663,Source_Assumptions!$A:$C,3,0),0)</f>
        <v>300</v>
      </c>
    </row>
    <row r="664" spans="1:16" x14ac:dyDescent="0.3">
      <c r="A664">
        <f>Raw_Data!A664</f>
        <v>663</v>
      </c>
      <c r="B664" s="2">
        <f>Raw_Data!B664</f>
        <v>45086</v>
      </c>
      <c r="C664">
        <f>YEAR(Raw_Data!B664)</f>
        <v>2023</v>
      </c>
      <c r="D664" t="str">
        <f>IF(MONTH(Raw_Data!B664)&gt;=4,YEAR(Raw_Data!B664)&amp;"-"&amp;RIGHT(YEAR(Raw_Data!B664)+1,2),YEAR(Raw_Data!B664)-1&amp;"-"&amp;RIGHT(YEAR(Raw_Data!B664),2))</f>
        <v>2023-24</v>
      </c>
      <c r="E664" t="str">
        <f>"Q"&amp;ROUNDUP(MONTH(Raw_Data!B664)/3,0)</f>
        <v>Q2</v>
      </c>
      <c r="F664" t="str">
        <f>TEXT(Raw_Data!B664,"mmm")</f>
        <v>Jun</v>
      </c>
      <c r="G664" t="str">
        <f>TEXT(Raw_Data!B664,"ddd")</f>
        <v>Fri</v>
      </c>
      <c r="H664" t="str">
        <f>Raw_Data!D664</f>
        <v>Invoiced</v>
      </c>
      <c r="I664" t="str">
        <f>Raw_Data!F664</f>
        <v>Walk-in Showroom</v>
      </c>
      <c r="J664" t="str">
        <f>Raw_Data!G664</f>
        <v>Adver. (TVC/Print/Hoarding/FM)</v>
      </c>
      <c r="K664" t="str">
        <f>IFERROR(VLOOKUP(J664,Source_Assumptions!$A:$C,2,0),"Unmapped")</f>
        <v>Traditional Advertising</v>
      </c>
      <c r="L664" t="str">
        <f>Raw_Data!H664</f>
        <v>AMAZE Petrol</v>
      </c>
      <c r="M664" t="str">
        <f>IFERROR(VLOOKUP(L664,Model_Assumptions!$A:$D,2,0),"Unmapped")</f>
        <v>Sub-4m Sedan</v>
      </c>
      <c r="N664" t="str">
        <f>IFERROR(VLOOKUP(L664,Model_Assumptions!$A:$D,3,0),"Unmapped")</f>
        <v>Petrol</v>
      </c>
      <c r="O664">
        <f>IFERROR(VLOOKUP(L664,Model_Assumptions!$A:$D,4,0),0)</f>
        <v>850000</v>
      </c>
      <c r="P664">
        <f>IFERROR(VLOOKUP(J664,Source_Assumptions!$A:$C,3,0),0)</f>
        <v>1200</v>
      </c>
    </row>
    <row r="665" spans="1:16" x14ac:dyDescent="0.3">
      <c r="A665">
        <f>Raw_Data!A665</f>
        <v>664</v>
      </c>
      <c r="B665" s="2">
        <f>Raw_Data!B665</f>
        <v>45086</v>
      </c>
      <c r="C665">
        <f>YEAR(Raw_Data!B665)</f>
        <v>2023</v>
      </c>
      <c r="D665" t="str">
        <f>IF(MONTH(Raw_Data!B665)&gt;=4,YEAR(Raw_Data!B665)&amp;"-"&amp;RIGHT(YEAR(Raw_Data!B665)+1,2),YEAR(Raw_Data!B665)-1&amp;"-"&amp;RIGHT(YEAR(Raw_Data!B665),2))</f>
        <v>2023-24</v>
      </c>
      <c r="E665" t="str">
        <f>"Q"&amp;ROUNDUP(MONTH(Raw_Data!B665)/3,0)</f>
        <v>Q2</v>
      </c>
      <c r="F665" t="str">
        <f>TEXT(Raw_Data!B665,"mmm")</f>
        <v>Jun</v>
      </c>
      <c r="G665" t="str">
        <f>TEXT(Raw_Data!B665,"ddd")</f>
        <v>Fri</v>
      </c>
      <c r="H665" t="str">
        <f>Raw_Data!D665</f>
        <v>Invoiced</v>
      </c>
      <c r="I665" t="str">
        <f>Raw_Data!F665</f>
        <v>SMS/ Tele-Out</v>
      </c>
      <c r="J665" t="str">
        <f>Raw_Data!G665</f>
        <v>I-BAP Self</v>
      </c>
      <c r="K665" t="str">
        <f>IFERROR(VLOOKUP(J665,Source_Assumptions!$A:$C,2,0),"Unmapped")</f>
        <v>Referral (Insurance/Banking Partner)</v>
      </c>
      <c r="L665" t="str">
        <f>Raw_Data!H665</f>
        <v>5TH GEN CITY PE</v>
      </c>
      <c r="M665" t="str">
        <f>IFERROR(VLOOKUP(L665,Model_Assumptions!$A:$D,2,0),"Unmapped")</f>
        <v>Mid-size Sedan</v>
      </c>
      <c r="N665" t="str">
        <f>IFERROR(VLOOKUP(L665,Model_Assumptions!$A:$D,3,0),"Unmapped")</f>
        <v>Petrol</v>
      </c>
      <c r="O665">
        <f>IFERROR(VLOOKUP(L665,Model_Assumptions!$A:$D,4,0),0)</f>
        <v>1250000</v>
      </c>
      <c r="P665">
        <f>IFERROR(VLOOKUP(J665,Source_Assumptions!$A:$C,3,0),0)</f>
        <v>100</v>
      </c>
    </row>
    <row r="666" spans="1:16" x14ac:dyDescent="0.3">
      <c r="A666">
        <f>Raw_Data!A666</f>
        <v>665</v>
      </c>
      <c r="B666" s="2">
        <f>Raw_Data!B666</f>
        <v>45090</v>
      </c>
      <c r="C666">
        <f>YEAR(Raw_Data!B666)</f>
        <v>2023</v>
      </c>
      <c r="D666" t="str">
        <f>IF(MONTH(Raw_Data!B666)&gt;=4,YEAR(Raw_Data!B666)&amp;"-"&amp;RIGHT(YEAR(Raw_Data!B666)+1,2),YEAR(Raw_Data!B666)-1&amp;"-"&amp;RIGHT(YEAR(Raw_Data!B666),2))</f>
        <v>2023-24</v>
      </c>
      <c r="E666" t="str">
        <f>"Q"&amp;ROUNDUP(MONTH(Raw_Data!B666)/3,0)</f>
        <v>Q2</v>
      </c>
      <c r="F666" t="str">
        <f>TEXT(Raw_Data!B666,"mmm")</f>
        <v>Jun</v>
      </c>
      <c r="G666" t="str">
        <f>TEXT(Raw_Data!B666,"ddd")</f>
        <v>Tue</v>
      </c>
      <c r="H666" t="str">
        <f>Raw_Data!D666</f>
        <v>Invoiced</v>
      </c>
      <c r="I666" t="str">
        <f>Raw_Data!F666</f>
        <v>Tele-in</v>
      </c>
      <c r="J666" t="str">
        <f>Raw_Data!G666</f>
        <v>Referral-CAM</v>
      </c>
      <c r="K666" t="str">
        <f>IFERROR(VLOOKUP(J666,Source_Assumptions!$A:$C,2,0),"Unmapped")</f>
        <v>Referral</v>
      </c>
      <c r="L666" t="str">
        <f>Raw_Data!H666</f>
        <v>AMAZE Petrol</v>
      </c>
      <c r="M666" t="str">
        <f>IFERROR(VLOOKUP(L666,Model_Assumptions!$A:$D,2,0),"Unmapped")</f>
        <v>Sub-4m Sedan</v>
      </c>
      <c r="N666" t="str">
        <f>IFERROR(VLOOKUP(L666,Model_Assumptions!$A:$D,3,0),"Unmapped")</f>
        <v>Petrol</v>
      </c>
      <c r="O666">
        <f>IFERROR(VLOOKUP(L666,Model_Assumptions!$A:$D,4,0),0)</f>
        <v>850000</v>
      </c>
      <c r="P666">
        <f>IFERROR(VLOOKUP(J666,Source_Assumptions!$A:$C,3,0),0)</f>
        <v>150</v>
      </c>
    </row>
    <row r="667" spans="1:16" x14ac:dyDescent="0.3">
      <c r="A667">
        <f>Raw_Data!A667</f>
        <v>666</v>
      </c>
      <c r="B667" s="2">
        <f>Raw_Data!B667</f>
        <v>45091</v>
      </c>
      <c r="C667">
        <f>YEAR(Raw_Data!B667)</f>
        <v>2023</v>
      </c>
      <c r="D667" t="str">
        <f>IF(MONTH(Raw_Data!B667)&gt;=4,YEAR(Raw_Data!B667)&amp;"-"&amp;RIGHT(YEAR(Raw_Data!B667)+1,2),YEAR(Raw_Data!B667)-1&amp;"-"&amp;RIGHT(YEAR(Raw_Data!B667),2))</f>
        <v>2023-24</v>
      </c>
      <c r="E667" t="str">
        <f>"Q"&amp;ROUNDUP(MONTH(Raw_Data!B667)/3,0)</f>
        <v>Q2</v>
      </c>
      <c r="F667" t="str">
        <f>TEXT(Raw_Data!B667,"mmm")</f>
        <v>Jun</v>
      </c>
      <c r="G667" t="str">
        <f>TEXT(Raw_Data!B667,"ddd")</f>
        <v>Wed</v>
      </c>
      <c r="H667" t="str">
        <f>Raw_Data!D667</f>
        <v>Invoiced</v>
      </c>
      <c r="I667" t="str">
        <f>Raw_Data!F667</f>
        <v>Tele-in</v>
      </c>
      <c r="J667" t="str">
        <f>Raw_Data!G667</f>
        <v>Dealer Webpage Tele-In</v>
      </c>
      <c r="K667" t="str">
        <f>IFERROR(VLOOKUP(J667,Source_Assumptions!$A:$C,2,0),"Unmapped")</f>
        <v>Digital - Owned</v>
      </c>
      <c r="L667" t="str">
        <f>Raw_Data!H667</f>
        <v>5TH GEN CITY PE</v>
      </c>
      <c r="M667" t="str">
        <f>IFERROR(VLOOKUP(L667,Model_Assumptions!$A:$D,2,0),"Unmapped")</f>
        <v>Mid-size Sedan</v>
      </c>
      <c r="N667" t="str">
        <f>IFERROR(VLOOKUP(L667,Model_Assumptions!$A:$D,3,0),"Unmapped")</f>
        <v>Petrol</v>
      </c>
      <c r="O667">
        <f>IFERROR(VLOOKUP(L667,Model_Assumptions!$A:$D,4,0),0)</f>
        <v>1250000</v>
      </c>
      <c r="P667">
        <f>IFERROR(VLOOKUP(J667,Source_Assumptions!$A:$C,3,0),0)</f>
        <v>300</v>
      </c>
    </row>
    <row r="668" spans="1:16" x14ac:dyDescent="0.3">
      <c r="A668">
        <f>Raw_Data!A668</f>
        <v>667</v>
      </c>
      <c r="B668" s="2">
        <f>Raw_Data!B668</f>
        <v>45093</v>
      </c>
      <c r="C668">
        <f>YEAR(Raw_Data!B668)</f>
        <v>2023</v>
      </c>
      <c r="D668" t="str">
        <f>IF(MONTH(Raw_Data!B668)&gt;=4,YEAR(Raw_Data!B668)&amp;"-"&amp;RIGHT(YEAR(Raw_Data!B668)+1,2),YEAR(Raw_Data!B668)-1&amp;"-"&amp;RIGHT(YEAR(Raw_Data!B668),2))</f>
        <v>2023-24</v>
      </c>
      <c r="E668" t="str">
        <f>"Q"&amp;ROUNDUP(MONTH(Raw_Data!B668)/3,0)</f>
        <v>Q2</v>
      </c>
      <c r="F668" t="str">
        <f>TEXT(Raw_Data!B668,"mmm")</f>
        <v>Jun</v>
      </c>
      <c r="G668" t="str">
        <f>TEXT(Raw_Data!B668,"ddd")</f>
        <v>Fri</v>
      </c>
      <c r="H668" t="str">
        <f>Raw_Data!D668</f>
        <v>Invoiced</v>
      </c>
      <c r="I668" t="str">
        <f>Raw_Data!F668</f>
        <v>SMS/ Tele-Out</v>
      </c>
      <c r="J668" t="str">
        <f>Raw_Data!G668</f>
        <v>I-BAP Self</v>
      </c>
      <c r="K668" t="str">
        <f>IFERROR(VLOOKUP(J668,Source_Assumptions!$A:$C,2,0),"Unmapped")</f>
        <v>Referral (Insurance/Banking Partner)</v>
      </c>
      <c r="L668" t="str">
        <f>Raw_Data!H668</f>
        <v>AMAZE-PE</v>
      </c>
      <c r="M668" t="str">
        <f>IFERROR(VLOOKUP(L668,Model_Assumptions!$A:$D,2,0),"Unmapped")</f>
        <v>Sub-4m Sedan</v>
      </c>
      <c r="N668" t="str">
        <f>IFERROR(VLOOKUP(L668,Model_Assumptions!$A:$D,3,0),"Unmapped")</f>
        <v>Petrol</v>
      </c>
      <c r="O668">
        <f>IFERROR(VLOOKUP(L668,Model_Assumptions!$A:$D,4,0),0)</f>
        <v>850000</v>
      </c>
      <c r="P668">
        <f>IFERROR(VLOOKUP(J668,Source_Assumptions!$A:$C,3,0),0)</f>
        <v>100</v>
      </c>
    </row>
    <row r="669" spans="1:16" x14ac:dyDescent="0.3">
      <c r="A669">
        <f>Raw_Data!A669</f>
        <v>668</v>
      </c>
      <c r="B669" s="2">
        <f>Raw_Data!B669</f>
        <v>45098</v>
      </c>
      <c r="C669">
        <f>YEAR(Raw_Data!B669)</f>
        <v>2023</v>
      </c>
      <c r="D669" t="str">
        <f>IF(MONTH(Raw_Data!B669)&gt;=4,YEAR(Raw_Data!B669)&amp;"-"&amp;RIGHT(YEAR(Raw_Data!B669)+1,2),YEAR(Raw_Data!B669)-1&amp;"-"&amp;RIGHT(YEAR(Raw_Data!B669),2))</f>
        <v>2023-24</v>
      </c>
      <c r="E669" t="str">
        <f>"Q"&amp;ROUNDUP(MONTH(Raw_Data!B669)/3,0)</f>
        <v>Q2</v>
      </c>
      <c r="F669" t="str">
        <f>TEXT(Raw_Data!B669,"mmm")</f>
        <v>Jun</v>
      </c>
      <c r="G669" t="str">
        <f>TEXT(Raw_Data!B669,"ddd")</f>
        <v>Wed</v>
      </c>
      <c r="H669" t="str">
        <f>Raw_Data!D669</f>
        <v>Invoiced</v>
      </c>
      <c r="I669" t="str">
        <f>Raw_Data!F669</f>
        <v>SMS/ Tele-Out</v>
      </c>
      <c r="J669" t="str">
        <f>Raw_Data!G669</f>
        <v>Database Activity(Teleout/SMS)</v>
      </c>
      <c r="K669" t="str">
        <f>IFERROR(VLOOKUP(J669,Source_Assumptions!$A:$C,2,0),"Unmapped")</f>
        <v>Outbound/Database</v>
      </c>
      <c r="L669" t="str">
        <f>Raw_Data!H669</f>
        <v>AMAZE-PE</v>
      </c>
      <c r="M669" t="str">
        <f>IFERROR(VLOOKUP(L669,Model_Assumptions!$A:$D,2,0),"Unmapped")</f>
        <v>Sub-4m Sedan</v>
      </c>
      <c r="N669" t="str">
        <f>IFERROR(VLOOKUP(L669,Model_Assumptions!$A:$D,3,0),"Unmapped")</f>
        <v>Petrol</v>
      </c>
      <c r="O669">
        <f>IFERROR(VLOOKUP(L669,Model_Assumptions!$A:$D,4,0),0)</f>
        <v>850000</v>
      </c>
      <c r="P669">
        <f>IFERROR(VLOOKUP(J669,Source_Assumptions!$A:$C,3,0),0)</f>
        <v>250</v>
      </c>
    </row>
    <row r="670" spans="1:16" x14ac:dyDescent="0.3">
      <c r="A670">
        <f>Raw_Data!A670</f>
        <v>669</v>
      </c>
      <c r="B670" s="2">
        <f>Raw_Data!B670</f>
        <v>45100</v>
      </c>
      <c r="C670">
        <f>YEAR(Raw_Data!B670)</f>
        <v>2023</v>
      </c>
      <c r="D670" t="str">
        <f>IF(MONTH(Raw_Data!B670)&gt;=4,YEAR(Raw_Data!B670)&amp;"-"&amp;RIGHT(YEAR(Raw_Data!B670)+1,2),YEAR(Raw_Data!B670)-1&amp;"-"&amp;RIGHT(YEAR(Raw_Data!B670),2))</f>
        <v>2023-24</v>
      </c>
      <c r="E670" t="str">
        <f>"Q"&amp;ROUNDUP(MONTH(Raw_Data!B670)/3,0)</f>
        <v>Q2</v>
      </c>
      <c r="F670" t="str">
        <f>TEXT(Raw_Data!B670,"mmm")</f>
        <v>Jun</v>
      </c>
      <c r="G670" t="str">
        <f>TEXT(Raw_Data!B670,"ddd")</f>
        <v>Fri</v>
      </c>
      <c r="H670" t="str">
        <f>Raw_Data!D670</f>
        <v>Invoiced</v>
      </c>
      <c r="I670" t="str">
        <f>Raw_Data!F670</f>
        <v>Tele-in</v>
      </c>
      <c r="J670" t="str">
        <f>Raw_Data!G670</f>
        <v>Dealer Webpage Tele-In</v>
      </c>
      <c r="K670" t="str">
        <f>IFERROR(VLOOKUP(J670,Source_Assumptions!$A:$C,2,0),"Unmapped")</f>
        <v>Digital - Owned</v>
      </c>
      <c r="L670" t="str">
        <f>Raw_Data!H670</f>
        <v>AMAZE Petrol</v>
      </c>
      <c r="M670" t="str">
        <f>IFERROR(VLOOKUP(L670,Model_Assumptions!$A:$D,2,0),"Unmapped")</f>
        <v>Sub-4m Sedan</v>
      </c>
      <c r="N670" t="str">
        <f>IFERROR(VLOOKUP(L670,Model_Assumptions!$A:$D,3,0),"Unmapped")</f>
        <v>Petrol</v>
      </c>
      <c r="O670">
        <f>IFERROR(VLOOKUP(L670,Model_Assumptions!$A:$D,4,0),0)</f>
        <v>850000</v>
      </c>
      <c r="P670">
        <f>IFERROR(VLOOKUP(J670,Source_Assumptions!$A:$C,3,0),0)</f>
        <v>300</v>
      </c>
    </row>
    <row r="671" spans="1:16" x14ac:dyDescent="0.3">
      <c r="A671">
        <f>Raw_Data!A671</f>
        <v>670</v>
      </c>
      <c r="B671" s="2">
        <f>Raw_Data!B671</f>
        <v>45101</v>
      </c>
      <c r="C671">
        <f>YEAR(Raw_Data!B671)</f>
        <v>2023</v>
      </c>
      <c r="D671" t="str">
        <f>IF(MONTH(Raw_Data!B671)&gt;=4,YEAR(Raw_Data!B671)&amp;"-"&amp;RIGHT(YEAR(Raw_Data!B671)+1,2),YEAR(Raw_Data!B671)-1&amp;"-"&amp;RIGHT(YEAR(Raw_Data!B671),2))</f>
        <v>2023-24</v>
      </c>
      <c r="E671" t="str">
        <f>"Q"&amp;ROUNDUP(MONTH(Raw_Data!B671)/3,0)</f>
        <v>Q2</v>
      </c>
      <c r="F671" t="str">
        <f>TEXT(Raw_Data!B671,"mmm")</f>
        <v>Jun</v>
      </c>
      <c r="G671" t="str">
        <f>TEXT(Raw_Data!B671,"ddd")</f>
        <v>Sat</v>
      </c>
      <c r="H671" t="str">
        <f>Raw_Data!D671</f>
        <v>Invoiced</v>
      </c>
      <c r="I671" t="str">
        <f>Raw_Data!F671</f>
        <v>SMS/ Tele-Out</v>
      </c>
      <c r="J671" t="str">
        <f>Raw_Data!G671</f>
        <v>Database Activity(Teleout/SMS)</v>
      </c>
      <c r="K671" t="str">
        <f>IFERROR(VLOOKUP(J671,Source_Assumptions!$A:$C,2,0),"Unmapped")</f>
        <v>Outbound/Database</v>
      </c>
      <c r="L671" t="str">
        <f>Raw_Data!H671</f>
        <v>AMAZE Petrol</v>
      </c>
      <c r="M671" t="str">
        <f>IFERROR(VLOOKUP(L671,Model_Assumptions!$A:$D,2,0),"Unmapped")</f>
        <v>Sub-4m Sedan</v>
      </c>
      <c r="N671" t="str">
        <f>IFERROR(VLOOKUP(L671,Model_Assumptions!$A:$D,3,0),"Unmapped")</f>
        <v>Petrol</v>
      </c>
      <c r="O671">
        <f>IFERROR(VLOOKUP(L671,Model_Assumptions!$A:$D,4,0),0)</f>
        <v>850000</v>
      </c>
      <c r="P671">
        <f>IFERROR(VLOOKUP(J671,Source_Assumptions!$A:$C,3,0),0)</f>
        <v>250</v>
      </c>
    </row>
    <row r="672" spans="1:16" x14ac:dyDescent="0.3">
      <c r="A672">
        <f>Raw_Data!A672</f>
        <v>671</v>
      </c>
      <c r="B672" s="2">
        <f>Raw_Data!B672</f>
        <v>45101</v>
      </c>
      <c r="C672">
        <f>YEAR(Raw_Data!B672)</f>
        <v>2023</v>
      </c>
      <c r="D672" t="str">
        <f>IF(MONTH(Raw_Data!B672)&gt;=4,YEAR(Raw_Data!B672)&amp;"-"&amp;RIGHT(YEAR(Raw_Data!B672)+1,2),YEAR(Raw_Data!B672)-1&amp;"-"&amp;RIGHT(YEAR(Raw_Data!B672),2))</f>
        <v>2023-24</v>
      </c>
      <c r="E672" t="str">
        <f>"Q"&amp;ROUNDUP(MONTH(Raw_Data!B672)/3,0)</f>
        <v>Q2</v>
      </c>
      <c r="F672" t="str">
        <f>TEXT(Raw_Data!B672,"mmm")</f>
        <v>Jun</v>
      </c>
      <c r="G672" t="str">
        <f>TEXT(Raw_Data!B672,"ddd")</f>
        <v>Sat</v>
      </c>
      <c r="H672" t="str">
        <f>Raw_Data!D672</f>
        <v>Invoiced</v>
      </c>
      <c r="I672" t="str">
        <f>Raw_Data!F672</f>
        <v>SMS/ Tele-Out</v>
      </c>
      <c r="J672" t="str">
        <f>Raw_Data!G672</f>
        <v>Database Activity(Teleout/SMS)</v>
      </c>
      <c r="K672" t="str">
        <f>IFERROR(VLOOKUP(J672,Source_Assumptions!$A:$C,2,0),"Unmapped")</f>
        <v>Outbound/Database</v>
      </c>
      <c r="L672" t="str">
        <f>Raw_Data!H672</f>
        <v>5TH GEN CITY PE</v>
      </c>
      <c r="M672" t="str">
        <f>IFERROR(VLOOKUP(L672,Model_Assumptions!$A:$D,2,0),"Unmapped")</f>
        <v>Mid-size Sedan</v>
      </c>
      <c r="N672" t="str">
        <f>IFERROR(VLOOKUP(L672,Model_Assumptions!$A:$D,3,0),"Unmapped")</f>
        <v>Petrol</v>
      </c>
      <c r="O672">
        <f>IFERROR(VLOOKUP(L672,Model_Assumptions!$A:$D,4,0),0)</f>
        <v>1250000</v>
      </c>
      <c r="P672">
        <f>IFERROR(VLOOKUP(J672,Source_Assumptions!$A:$C,3,0),0)</f>
        <v>250</v>
      </c>
    </row>
    <row r="673" spans="1:16" x14ac:dyDescent="0.3">
      <c r="A673">
        <f>Raw_Data!A673</f>
        <v>672</v>
      </c>
      <c r="B673" s="2">
        <f>Raw_Data!B673</f>
        <v>45103</v>
      </c>
      <c r="C673">
        <f>YEAR(Raw_Data!B673)</f>
        <v>2023</v>
      </c>
      <c r="D673" t="str">
        <f>IF(MONTH(Raw_Data!B673)&gt;=4,YEAR(Raw_Data!B673)&amp;"-"&amp;RIGHT(YEAR(Raw_Data!B673)+1,2),YEAR(Raw_Data!B673)-1&amp;"-"&amp;RIGHT(YEAR(Raw_Data!B673),2))</f>
        <v>2023-24</v>
      </c>
      <c r="E673" t="str">
        <f>"Q"&amp;ROUNDUP(MONTH(Raw_Data!B673)/3,0)</f>
        <v>Q2</v>
      </c>
      <c r="F673" t="str">
        <f>TEXT(Raw_Data!B673,"mmm")</f>
        <v>Jun</v>
      </c>
      <c r="G673" t="str">
        <f>TEXT(Raw_Data!B673,"ddd")</f>
        <v>Mon</v>
      </c>
      <c r="H673" t="str">
        <f>Raw_Data!D673</f>
        <v>Invoiced</v>
      </c>
      <c r="I673" t="str">
        <f>Raw_Data!F673</f>
        <v>SMS/ Tele-Out</v>
      </c>
      <c r="J673" t="str">
        <f>Raw_Data!G673</f>
        <v>Database Activity(Teleout/SMS)</v>
      </c>
      <c r="K673" t="str">
        <f>IFERROR(VLOOKUP(J673,Source_Assumptions!$A:$C,2,0),"Unmapped")</f>
        <v>Outbound/Database</v>
      </c>
      <c r="L673" t="str">
        <f>Raw_Data!H673</f>
        <v>AMAZE Petrol</v>
      </c>
      <c r="M673" t="str">
        <f>IFERROR(VLOOKUP(L673,Model_Assumptions!$A:$D,2,0),"Unmapped")</f>
        <v>Sub-4m Sedan</v>
      </c>
      <c r="N673" t="str">
        <f>IFERROR(VLOOKUP(L673,Model_Assumptions!$A:$D,3,0),"Unmapped")</f>
        <v>Petrol</v>
      </c>
      <c r="O673">
        <f>IFERROR(VLOOKUP(L673,Model_Assumptions!$A:$D,4,0),0)</f>
        <v>850000</v>
      </c>
      <c r="P673">
        <f>IFERROR(VLOOKUP(J673,Source_Assumptions!$A:$C,3,0),0)</f>
        <v>250</v>
      </c>
    </row>
    <row r="674" spans="1:16" x14ac:dyDescent="0.3">
      <c r="A674">
        <f>Raw_Data!A674</f>
        <v>673</v>
      </c>
      <c r="B674" s="2">
        <f>Raw_Data!B674</f>
        <v>45104</v>
      </c>
      <c r="C674">
        <f>YEAR(Raw_Data!B674)</f>
        <v>2023</v>
      </c>
      <c r="D674" t="str">
        <f>IF(MONTH(Raw_Data!B674)&gt;=4,YEAR(Raw_Data!B674)&amp;"-"&amp;RIGHT(YEAR(Raw_Data!B674)+1,2),YEAR(Raw_Data!B674)-1&amp;"-"&amp;RIGHT(YEAR(Raw_Data!B674),2))</f>
        <v>2023-24</v>
      </c>
      <c r="E674" t="str">
        <f>"Q"&amp;ROUNDUP(MONTH(Raw_Data!B674)/3,0)</f>
        <v>Q2</v>
      </c>
      <c r="F674" t="str">
        <f>TEXT(Raw_Data!B674,"mmm")</f>
        <v>Jun</v>
      </c>
      <c r="G674" t="str">
        <f>TEXT(Raw_Data!B674,"ddd")</f>
        <v>Tue</v>
      </c>
      <c r="H674" t="str">
        <f>Raw_Data!D674</f>
        <v>Invoiced</v>
      </c>
      <c r="I674" t="str">
        <f>Raw_Data!F674</f>
        <v>SMS/ Tele-Out</v>
      </c>
      <c r="J674" t="str">
        <f>Raw_Data!G674</f>
        <v>I-BAP Referral</v>
      </c>
      <c r="K674" t="str">
        <f>IFERROR(VLOOKUP(J674,Source_Assumptions!$A:$C,2,0),"Unmapped")</f>
        <v>Referral (Insurance/Banking Partner)</v>
      </c>
      <c r="L674" t="str">
        <f>Raw_Data!H674</f>
        <v>5TH GEN CITY PE</v>
      </c>
      <c r="M674" t="str">
        <f>IFERROR(VLOOKUP(L674,Model_Assumptions!$A:$D,2,0),"Unmapped")</f>
        <v>Mid-size Sedan</v>
      </c>
      <c r="N674" t="str">
        <f>IFERROR(VLOOKUP(L674,Model_Assumptions!$A:$D,3,0),"Unmapped")</f>
        <v>Petrol</v>
      </c>
      <c r="O674">
        <f>IFERROR(VLOOKUP(L674,Model_Assumptions!$A:$D,4,0),0)</f>
        <v>1250000</v>
      </c>
      <c r="P674">
        <f>IFERROR(VLOOKUP(J674,Source_Assumptions!$A:$C,3,0),0)</f>
        <v>150</v>
      </c>
    </row>
    <row r="675" spans="1:16" x14ac:dyDescent="0.3">
      <c r="A675">
        <f>Raw_Data!A675</f>
        <v>674</v>
      </c>
      <c r="B675" s="2">
        <f>Raw_Data!B675</f>
        <v>45104</v>
      </c>
      <c r="C675">
        <f>YEAR(Raw_Data!B675)</f>
        <v>2023</v>
      </c>
      <c r="D675" t="str">
        <f>IF(MONTH(Raw_Data!B675)&gt;=4,YEAR(Raw_Data!B675)&amp;"-"&amp;RIGHT(YEAR(Raw_Data!B675)+1,2),YEAR(Raw_Data!B675)-1&amp;"-"&amp;RIGHT(YEAR(Raw_Data!B675),2))</f>
        <v>2023-24</v>
      </c>
      <c r="E675" t="str">
        <f>"Q"&amp;ROUNDUP(MONTH(Raw_Data!B675)/3,0)</f>
        <v>Q2</v>
      </c>
      <c r="F675" t="str">
        <f>TEXT(Raw_Data!B675,"mmm")</f>
        <v>Jun</v>
      </c>
      <c r="G675" t="str">
        <f>TEXT(Raw_Data!B675,"ddd")</f>
        <v>Tue</v>
      </c>
      <c r="H675" t="str">
        <f>Raw_Data!D675</f>
        <v>Invoiced</v>
      </c>
      <c r="I675" t="str">
        <f>Raw_Data!F675</f>
        <v>Walk-in Showroom</v>
      </c>
      <c r="J675" t="str">
        <f>Raw_Data!G675</f>
        <v>Adver. (TVC/Print/Hoarding/FM)</v>
      </c>
      <c r="K675" t="str">
        <f>IFERROR(VLOOKUP(J675,Source_Assumptions!$A:$C,2,0),"Unmapped")</f>
        <v>Traditional Advertising</v>
      </c>
      <c r="L675" t="str">
        <f>Raw_Data!H675</f>
        <v>AMAZE Petrol</v>
      </c>
      <c r="M675" t="str">
        <f>IFERROR(VLOOKUP(L675,Model_Assumptions!$A:$D,2,0),"Unmapped")</f>
        <v>Sub-4m Sedan</v>
      </c>
      <c r="N675" t="str">
        <f>IFERROR(VLOOKUP(L675,Model_Assumptions!$A:$D,3,0),"Unmapped")</f>
        <v>Petrol</v>
      </c>
      <c r="O675">
        <f>IFERROR(VLOOKUP(L675,Model_Assumptions!$A:$D,4,0),0)</f>
        <v>850000</v>
      </c>
      <c r="P675">
        <f>IFERROR(VLOOKUP(J675,Source_Assumptions!$A:$C,3,0),0)</f>
        <v>1200</v>
      </c>
    </row>
    <row r="676" spans="1:16" x14ac:dyDescent="0.3">
      <c r="A676">
        <f>Raw_Data!A676</f>
        <v>675</v>
      </c>
      <c r="B676" s="2">
        <f>Raw_Data!B676</f>
        <v>45105</v>
      </c>
      <c r="C676">
        <f>YEAR(Raw_Data!B676)</f>
        <v>2023</v>
      </c>
      <c r="D676" t="str">
        <f>IF(MONTH(Raw_Data!B676)&gt;=4,YEAR(Raw_Data!B676)&amp;"-"&amp;RIGHT(YEAR(Raw_Data!B676)+1,2),YEAR(Raw_Data!B676)-1&amp;"-"&amp;RIGHT(YEAR(Raw_Data!B676),2))</f>
        <v>2023-24</v>
      </c>
      <c r="E676" t="str">
        <f>"Q"&amp;ROUNDUP(MONTH(Raw_Data!B676)/3,0)</f>
        <v>Q2</v>
      </c>
      <c r="F676" t="str">
        <f>TEXT(Raw_Data!B676,"mmm")</f>
        <v>Jun</v>
      </c>
      <c r="G676" t="str">
        <f>TEXT(Raw_Data!B676,"ddd")</f>
        <v>Wed</v>
      </c>
      <c r="H676" t="str">
        <f>Raw_Data!D676</f>
        <v>Invoiced</v>
      </c>
      <c r="I676" t="str">
        <f>Raw_Data!F676</f>
        <v>SMS/ Tele-Out</v>
      </c>
      <c r="J676" t="str">
        <f>Raw_Data!G676</f>
        <v>I-BAP Self</v>
      </c>
      <c r="K676" t="str">
        <f>IFERROR(VLOOKUP(J676,Source_Assumptions!$A:$C,2,0),"Unmapped")</f>
        <v>Referral (Insurance/Banking Partner)</v>
      </c>
      <c r="L676" t="str">
        <f>Raw_Data!H676</f>
        <v>5TH GEN CITY e:HEV</v>
      </c>
      <c r="M676" t="str">
        <f>IFERROR(VLOOKUP(L676,Model_Assumptions!$A:$D,2,0),"Unmapped")</f>
        <v>Mid-size Sedan</v>
      </c>
      <c r="N676" t="str">
        <f>IFERROR(VLOOKUP(L676,Model_Assumptions!$A:$D,3,0),"Unmapped")</f>
        <v>Hybrid</v>
      </c>
      <c r="O676">
        <f>IFERROR(VLOOKUP(L676,Model_Assumptions!$A:$D,4,0),0)</f>
        <v>1950000</v>
      </c>
      <c r="P676">
        <f>IFERROR(VLOOKUP(J676,Source_Assumptions!$A:$C,3,0),0)</f>
        <v>100</v>
      </c>
    </row>
    <row r="677" spans="1:16" x14ac:dyDescent="0.3">
      <c r="A677">
        <f>Raw_Data!A677</f>
        <v>676</v>
      </c>
      <c r="B677" s="2">
        <f>Raw_Data!B677</f>
        <v>45105</v>
      </c>
      <c r="C677">
        <f>YEAR(Raw_Data!B677)</f>
        <v>2023</v>
      </c>
      <c r="D677" t="str">
        <f>IF(MONTH(Raw_Data!B677)&gt;=4,YEAR(Raw_Data!B677)&amp;"-"&amp;RIGHT(YEAR(Raw_Data!B677)+1,2),YEAR(Raw_Data!B677)-1&amp;"-"&amp;RIGHT(YEAR(Raw_Data!B677),2))</f>
        <v>2023-24</v>
      </c>
      <c r="E677" t="str">
        <f>"Q"&amp;ROUNDUP(MONTH(Raw_Data!B677)/3,0)</f>
        <v>Q2</v>
      </c>
      <c r="F677" t="str">
        <f>TEXT(Raw_Data!B677,"mmm")</f>
        <v>Jun</v>
      </c>
      <c r="G677" t="str">
        <f>TEXT(Raw_Data!B677,"ddd")</f>
        <v>Wed</v>
      </c>
      <c r="H677" t="str">
        <f>Raw_Data!D677</f>
        <v>Invoiced</v>
      </c>
      <c r="I677" t="str">
        <f>Raw_Data!F677</f>
        <v>Walk-in Showroom</v>
      </c>
      <c r="J677" t="str">
        <f>Raw_Data!G677</f>
        <v>Adver. (TVC/Print/Hoarding/FM)</v>
      </c>
      <c r="K677" t="str">
        <f>IFERROR(VLOOKUP(J677,Source_Assumptions!$A:$C,2,0),"Unmapped")</f>
        <v>Traditional Advertising</v>
      </c>
      <c r="L677" t="str">
        <f>Raw_Data!H677</f>
        <v>AMAZE-PE</v>
      </c>
      <c r="M677" t="str">
        <f>IFERROR(VLOOKUP(L677,Model_Assumptions!$A:$D,2,0),"Unmapped")</f>
        <v>Sub-4m Sedan</v>
      </c>
      <c r="N677" t="str">
        <f>IFERROR(VLOOKUP(L677,Model_Assumptions!$A:$D,3,0),"Unmapped")</f>
        <v>Petrol</v>
      </c>
      <c r="O677">
        <f>IFERROR(VLOOKUP(L677,Model_Assumptions!$A:$D,4,0),0)</f>
        <v>850000</v>
      </c>
      <c r="P677">
        <f>IFERROR(VLOOKUP(J677,Source_Assumptions!$A:$C,3,0),0)</f>
        <v>1200</v>
      </c>
    </row>
    <row r="678" spans="1:16" x14ac:dyDescent="0.3">
      <c r="A678">
        <f>Raw_Data!A678</f>
        <v>677</v>
      </c>
      <c r="B678" s="2">
        <f>Raw_Data!B678</f>
        <v>45106</v>
      </c>
      <c r="C678">
        <f>YEAR(Raw_Data!B678)</f>
        <v>2023</v>
      </c>
      <c r="D678" t="str">
        <f>IF(MONTH(Raw_Data!B678)&gt;=4,YEAR(Raw_Data!B678)&amp;"-"&amp;RIGHT(YEAR(Raw_Data!B678)+1,2),YEAR(Raw_Data!B678)-1&amp;"-"&amp;RIGHT(YEAR(Raw_Data!B678),2))</f>
        <v>2023-24</v>
      </c>
      <c r="E678" t="str">
        <f>"Q"&amp;ROUNDUP(MONTH(Raw_Data!B678)/3,0)</f>
        <v>Q2</v>
      </c>
      <c r="F678" t="str">
        <f>TEXT(Raw_Data!B678,"mmm")</f>
        <v>Jun</v>
      </c>
      <c r="G678" t="str">
        <f>TEXT(Raw_Data!B678,"ddd")</f>
        <v>Thu</v>
      </c>
      <c r="H678" t="str">
        <f>Raw_Data!D678</f>
        <v>Invoiced</v>
      </c>
      <c r="I678" t="str">
        <f>Raw_Data!F678</f>
        <v>Walk-in Showroom</v>
      </c>
      <c r="J678" t="str">
        <f>Raw_Data!G678</f>
        <v>Adver. (TVC/Print/Hoarding/FM)</v>
      </c>
      <c r="K678" t="str">
        <f>IFERROR(VLOOKUP(J678,Source_Assumptions!$A:$C,2,0),"Unmapped")</f>
        <v>Traditional Advertising</v>
      </c>
      <c r="L678" t="str">
        <f>Raw_Data!H678</f>
        <v>AMAZE Petrol</v>
      </c>
      <c r="M678" t="str">
        <f>IFERROR(VLOOKUP(L678,Model_Assumptions!$A:$D,2,0),"Unmapped")</f>
        <v>Sub-4m Sedan</v>
      </c>
      <c r="N678" t="str">
        <f>IFERROR(VLOOKUP(L678,Model_Assumptions!$A:$D,3,0),"Unmapped")</f>
        <v>Petrol</v>
      </c>
      <c r="O678">
        <f>IFERROR(VLOOKUP(L678,Model_Assumptions!$A:$D,4,0),0)</f>
        <v>850000</v>
      </c>
      <c r="P678">
        <f>IFERROR(VLOOKUP(J678,Source_Assumptions!$A:$C,3,0),0)</f>
        <v>1200</v>
      </c>
    </row>
    <row r="679" spans="1:16" x14ac:dyDescent="0.3">
      <c r="A679">
        <f>Raw_Data!A679</f>
        <v>678</v>
      </c>
      <c r="B679" s="2">
        <f>Raw_Data!B679</f>
        <v>45107</v>
      </c>
      <c r="C679">
        <f>YEAR(Raw_Data!B679)</f>
        <v>2023</v>
      </c>
      <c r="D679" t="str">
        <f>IF(MONTH(Raw_Data!B679)&gt;=4,YEAR(Raw_Data!B679)&amp;"-"&amp;RIGHT(YEAR(Raw_Data!B679)+1,2),YEAR(Raw_Data!B679)-1&amp;"-"&amp;RIGHT(YEAR(Raw_Data!B679),2))</f>
        <v>2023-24</v>
      </c>
      <c r="E679" t="str">
        <f>"Q"&amp;ROUNDUP(MONTH(Raw_Data!B679)/3,0)</f>
        <v>Q2</v>
      </c>
      <c r="F679" t="str">
        <f>TEXT(Raw_Data!B679,"mmm")</f>
        <v>Jun</v>
      </c>
      <c r="G679" t="str">
        <f>TEXT(Raw_Data!B679,"ddd")</f>
        <v>Fri</v>
      </c>
      <c r="H679" t="str">
        <f>Raw_Data!D679</f>
        <v>Invoiced</v>
      </c>
      <c r="I679" t="str">
        <f>Raw_Data!F679</f>
        <v>SMS/ Tele-Out</v>
      </c>
      <c r="J679" t="str">
        <f>Raw_Data!G679</f>
        <v>Database Activity(Teleout/SMS)</v>
      </c>
      <c r="K679" t="str">
        <f>IFERROR(VLOOKUP(J679,Source_Assumptions!$A:$C,2,0),"Unmapped")</f>
        <v>Outbound/Database</v>
      </c>
      <c r="L679" t="str">
        <f>Raw_Data!H679</f>
        <v>5TH GEN CITY PE</v>
      </c>
      <c r="M679" t="str">
        <f>IFERROR(VLOOKUP(L679,Model_Assumptions!$A:$D,2,0),"Unmapped")</f>
        <v>Mid-size Sedan</v>
      </c>
      <c r="N679" t="str">
        <f>IFERROR(VLOOKUP(L679,Model_Assumptions!$A:$D,3,0),"Unmapped")</f>
        <v>Petrol</v>
      </c>
      <c r="O679">
        <f>IFERROR(VLOOKUP(L679,Model_Assumptions!$A:$D,4,0),0)</f>
        <v>1250000</v>
      </c>
      <c r="P679">
        <f>IFERROR(VLOOKUP(J679,Source_Assumptions!$A:$C,3,0),0)</f>
        <v>250</v>
      </c>
    </row>
    <row r="680" spans="1:16" x14ac:dyDescent="0.3">
      <c r="A680">
        <f>Raw_Data!A680</f>
        <v>679</v>
      </c>
      <c r="B680" s="2">
        <f>Raw_Data!B680</f>
        <v>45107</v>
      </c>
      <c r="C680">
        <f>YEAR(Raw_Data!B680)</f>
        <v>2023</v>
      </c>
      <c r="D680" t="str">
        <f>IF(MONTH(Raw_Data!B680)&gt;=4,YEAR(Raw_Data!B680)&amp;"-"&amp;RIGHT(YEAR(Raw_Data!B680)+1,2),YEAR(Raw_Data!B680)-1&amp;"-"&amp;RIGHT(YEAR(Raw_Data!B680),2))</f>
        <v>2023-24</v>
      </c>
      <c r="E680" t="str">
        <f>"Q"&amp;ROUNDUP(MONTH(Raw_Data!B680)/3,0)</f>
        <v>Q2</v>
      </c>
      <c r="F680" t="str">
        <f>TEXT(Raw_Data!B680,"mmm")</f>
        <v>Jun</v>
      </c>
      <c r="G680" t="str">
        <f>TEXT(Raw_Data!B680,"ddd")</f>
        <v>Fri</v>
      </c>
      <c r="H680" t="str">
        <f>Raw_Data!D680</f>
        <v>Invoiced</v>
      </c>
      <c r="I680" t="str">
        <f>Raw_Data!F680</f>
        <v>Walk-in Showroom</v>
      </c>
      <c r="J680" t="str">
        <f>Raw_Data!G680</f>
        <v>Adver. (TVC/Print/Hoarding/FM)</v>
      </c>
      <c r="K680" t="str">
        <f>IFERROR(VLOOKUP(J680,Source_Assumptions!$A:$C,2,0),"Unmapped")</f>
        <v>Traditional Advertising</v>
      </c>
      <c r="L680" t="str">
        <f>Raw_Data!H680</f>
        <v>AMAZE Petrol</v>
      </c>
      <c r="M680" t="str">
        <f>IFERROR(VLOOKUP(L680,Model_Assumptions!$A:$D,2,0),"Unmapped")</f>
        <v>Sub-4m Sedan</v>
      </c>
      <c r="N680" t="str">
        <f>IFERROR(VLOOKUP(L680,Model_Assumptions!$A:$D,3,0),"Unmapped")</f>
        <v>Petrol</v>
      </c>
      <c r="O680">
        <f>IFERROR(VLOOKUP(L680,Model_Assumptions!$A:$D,4,0),0)</f>
        <v>850000</v>
      </c>
      <c r="P680">
        <f>IFERROR(VLOOKUP(J680,Source_Assumptions!$A:$C,3,0),0)</f>
        <v>1200</v>
      </c>
    </row>
    <row r="681" spans="1:16" x14ac:dyDescent="0.3">
      <c r="A681">
        <f>Raw_Data!A681</f>
        <v>680</v>
      </c>
      <c r="B681" s="2">
        <f>Raw_Data!B681</f>
        <v>45107</v>
      </c>
      <c r="C681">
        <f>YEAR(Raw_Data!B681)</f>
        <v>2023</v>
      </c>
      <c r="D681" t="str">
        <f>IF(MONTH(Raw_Data!B681)&gt;=4,YEAR(Raw_Data!B681)&amp;"-"&amp;RIGHT(YEAR(Raw_Data!B681)+1,2),YEAR(Raw_Data!B681)-1&amp;"-"&amp;RIGHT(YEAR(Raw_Data!B681),2))</f>
        <v>2023-24</v>
      </c>
      <c r="E681" t="str">
        <f>"Q"&amp;ROUNDUP(MONTH(Raw_Data!B681)/3,0)</f>
        <v>Q2</v>
      </c>
      <c r="F681" t="str">
        <f>TEXT(Raw_Data!B681,"mmm")</f>
        <v>Jun</v>
      </c>
      <c r="G681" t="str">
        <f>TEXT(Raw_Data!B681,"ddd")</f>
        <v>Fri</v>
      </c>
      <c r="H681" t="str">
        <f>Raw_Data!D681</f>
        <v>Invoiced</v>
      </c>
      <c r="I681" t="str">
        <f>Raw_Data!F681</f>
        <v>Web Lead</v>
      </c>
      <c r="J681" t="str">
        <f>Raw_Data!G681</f>
        <v>Web_Organic</v>
      </c>
      <c r="K681" t="str">
        <f>IFERROR(VLOOKUP(J681,Source_Assumptions!$A:$C,2,0),"Unmapped")</f>
        <v>Digital - Organic</v>
      </c>
      <c r="L681" t="str">
        <f>Raw_Data!H681</f>
        <v>AMAZE Petrol</v>
      </c>
      <c r="M681" t="str">
        <f>IFERROR(VLOOKUP(L681,Model_Assumptions!$A:$D,2,0),"Unmapped")</f>
        <v>Sub-4m Sedan</v>
      </c>
      <c r="N681" t="str">
        <f>IFERROR(VLOOKUP(L681,Model_Assumptions!$A:$D,3,0),"Unmapped")</f>
        <v>Petrol</v>
      </c>
      <c r="O681">
        <f>IFERROR(VLOOKUP(L681,Model_Assumptions!$A:$D,4,0),0)</f>
        <v>850000</v>
      </c>
      <c r="P681">
        <f>IFERROR(VLOOKUP(J681,Source_Assumptions!$A:$C,3,0),0)</f>
        <v>100</v>
      </c>
    </row>
    <row r="682" spans="1:16" x14ac:dyDescent="0.3">
      <c r="A682">
        <f>Raw_Data!A682</f>
        <v>681</v>
      </c>
      <c r="B682" s="2">
        <f>Raw_Data!B682</f>
        <v>45107</v>
      </c>
      <c r="C682">
        <f>YEAR(Raw_Data!B682)</f>
        <v>2023</v>
      </c>
      <c r="D682" t="str">
        <f>IF(MONTH(Raw_Data!B682)&gt;=4,YEAR(Raw_Data!B682)&amp;"-"&amp;RIGHT(YEAR(Raw_Data!B682)+1,2),YEAR(Raw_Data!B682)-1&amp;"-"&amp;RIGHT(YEAR(Raw_Data!B682),2))</f>
        <v>2023-24</v>
      </c>
      <c r="E682" t="str">
        <f>"Q"&amp;ROUNDUP(MONTH(Raw_Data!B682)/3,0)</f>
        <v>Q2</v>
      </c>
      <c r="F682" t="str">
        <f>TEXT(Raw_Data!B682,"mmm")</f>
        <v>Jun</v>
      </c>
      <c r="G682" t="str">
        <f>TEXT(Raw_Data!B682,"ddd")</f>
        <v>Fri</v>
      </c>
      <c r="H682" t="str">
        <f>Raw_Data!D682</f>
        <v>Invoiced</v>
      </c>
      <c r="I682" t="str">
        <f>Raw_Data!F682</f>
        <v>Web Lead</v>
      </c>
      <c r="J682" t="str">
        <f>Raw_Data!G682</f>
        <v>Web_Organic</v>
      </c>
      <c r="K682" t="str">
        <f>IFERROR(VLOOKUP(J682,Source_Assumptions!$A:$C,2,0),"Unmapped")</f>
        <v>Digital - Organic</v>
      </c>
      <c r="L682" t="str">
        <f>Raw_Data!H682</f>
        <v>5TH GEN CITY PE</v>
      </c>
      <c r="M682" t="str">
        <f>IFERROR(VLOOKUP(L682,Model_Assumptions!$A:$D,2,0),"Unmapped")</f>
        <v>Mid-size Sedan</v>
      </c>
      <c r="N682" t="str">
        <f>IFERROR(VLOOKUP(L682,Model_Assumptions!$A:$D,3,0),"Unmapped")</f>
        <v>Petrol</v>
      </c>
      <c r="O682">
        <f>IFERROR(VLOOKUP(L682,Model_Assumptions!$A:$D,4,0),0)</f>
        <v>1250000</v>
      </c>
      <c r="P682">
        <f>IFERROR(VLOOKUP(J682,Source_Assumptions!$A:$C,3,0),0)</f>
        <v>100</v>
      </c>
    </row>
    <row r="683" spans="1:16" x14ac:dyDescent="0.3">
      <c r="A683">
        <f>Raw_Data!A683</f>
        <v>682</v>
      </c>
      <c r="B683" s="2">
        <f>Raw_Data!B683</f>
        <v>45107</v>
      </c>
      <c r="C683">
        <f>YEAR(Raw_Data!B683)</f>
        <v>2023</v>
      </c>
      <c r="D683" t="str">
        <f>IF(MONTH(Raw_Data!B683)&gt;=4,YEAR(Raw_Data!B683)&amp;"-"&amp;RIGHT(YEAR(Raw_Data!B683)+1,2),YEAR(Raw_Data!B683)-1&amp;"-"&amp;RIGHT(YEAR(Raw_Data!B683),2))</f>
        <v>2023-24</v>
      </c>
      <c r="E683" t="str">
        <f>"Q"&amp;ROUNDUP(MONTH(Raw_Data!B683)/3,0)</f>
        <v>Q2</v>
      </c>
      <c r="F683" t="str">
        <f>TEXT(Raw_Data!B683,"mmm")</f>
        <v>Jun</v>
      </c>
      <c r="G683" t="str">
        <f>TEXT(Raw_Data!B683,"ddd")</f>
        <v>Fri</v>
      </c>
      <c r="H683" t="str">
        <f>Raw_Data!D683</f>
        <v>Invoiced</v>
      </c>
      <c r="I683" t="str">
        <f>Raw_Data!F683</f>
        <v>Tele-in</v>
      </c>
      <c r="J683" t="str">
        <f>Raw_Data!G683</f>
        <v>Dealer Webpage Tele-In</v>
      </c>
      <c r="K683" t="str">
        <f>IFERROR(VLOOKUP(J683,Source_Assumptions!$A:$C,2,0),"Unmapped")</f>
        <v>Digital - Owned</v>
      </c>
      <c r="L683" t="str">
        <f>Raw_Data!H683</f>
        <v>5TH GEN CITY PE</v>
      </c>
      <c r="M683" t="str">
        <f>IFERROR(VLOOKUP(L683,Model_Assumptions!$A:$D,2,0),"Unmapped")</f>
        <v>Mid-size Sedan</v>
      </c>
      <c r="N683" t="str">
        <f>IFERROR(VLOOKUP(L683,Model_Assumptions!$A:$D,3,0),"Unmapped")</f>
        <v>Petrol</v>
      </c>
      <c r="O683">
        <f>IFERROR(VLOOKUP(L683,Model_Assumptions!$A:$D,4,0),0)</f>
        <v>1250000</v>
      </c>
      <c r="P683">
        <f>IFERROR(VLOOKUP(J683,Source_Assumptions!$A:$C,3,0),0)</f>
        <v>300</v>
      </c>
    </row>
    <row r="684" spans="1:16" x14ac:dyDescent="0.3">
      <c r="A684">
        <f>Raw_Data!A684</f>
        <v>683</v>
      </c>
      <c r="B684" s="2">
        <f>Raw_Data!B684</f>
        <v>45107</v>
      </c>
      <c r="C684">
        <f>YEAR(Raw_Data!B684)</f>
        <v>2023</v>
      </c>
      <c r="D684" t="str">
        <f>IF(MONTH(Raw_Data!B684)&gt;=4,YEAR(Raw_Data!B684)&amp;"-"&amp;RIGHT(YEAR(Raw_Data!B684)+1,2),YEAR(Raw_Data!B684)-1&amp;"-"&amp;RIGHT(YEAR(Raw_Data!B684),2))</f>
        <v>2023-24</v>
      </c>
      <c r="E684" t="str">
        <f>"Q"&amp;ROUNDUP(MONTH(Raw_Data!B684)/3,0)</f>
        <v>Q2</v>
      </c>
      <c r="F684" t="str">
        <f>TEXT(Raw_Data!B684,"mmm")</f>
        <v>Jun</v>
      </c>
      <c r="G684" t="str">
        <f>TEXT(Raw_Data!B684,"ddd")</f>
        <v>Fri</v>
      </c>
      <c r="H684" t="str">
        <f>Raw_Data!D684</f>
        <v>Invoiced</v>
      </c>
      <c r="I684" t="str">
        <f>Raw_Data!F684</f>
        <v>SMS/ Tele-Out</v>
      </c>
      <c r="J684" t="str">
        <f>Raw_Data!G684</f>
        <v>UIO Re-purchase</v>
      </c>
      <c r="K684" t="str">
        <f>IFERROR(VLOOKUP(J684,Source_Assumptions!$A:$C,2,0),"Unmapped")</f>
        <v>Existing Customer</v>
      </c>
      <c r="L684" t="str">
        <f>Raw_Data!H684</f>
        <v>5TH GEN CITY PE</v>
      </c>
      <c r="M684" t="str">
        <f>IFERROR(VLOOKUP(L684,Model_Assumptions!$A:$D,2,0),"Unmapped")</f>
        <v>Mid-size Sedan</v>
      </c>
      <c r="N684" t="str">
        <f>IFERROR(VLOOKUP(L684,Model_Assumptions!$A:$D,3,0),"Unmapped")</f>
        <v>Petrol</v>
      </c>
      <c r="O684">
        <f>IFERROR(VLOOKUP(L684,Model_Assumptions!$A:$D,4,0),0)</f>
        <v>1250000</v>
      </c>
      <c r="P684">
        <f>IFERROR(VLOOKUP(J684,Source_Assumptions!$A:$C,3,0),0)</f>
        <v>50</v>
      </c>
    </row>
    <row r="685" spans="1:16" x14ac:dyDescent="0.3">
      <c r="A685">
        <f>Raw_Data!A685</f>
        <v>684</v>
      </c>
      <c r="B685" s="2">
        <f>Raw_Data!B685</f>
        <v>45107</v>
      </c>
      <c r="C685">
        <f>YEAR(Raw_Data!B685)</f>
        <v>2023</v>
      </c>
      <c r="D685" t="str">
        <f>IF(MONTH(Raw_Data!B685)&gt;=4,YEAR(Raw_Data!B685)&amp;"-"&amp;RIGHT(YEAR(Raw_Data!B685)+1,2),YEAR(Raw_Data!B685)-1&amp;"-"&amp;RIGHT(YEAR(Raw_Data!B685),2))</f>
        <v>2023-24</v>
      </c>
      <c r="E685" t="str">
        <f>"Q"&amp;ROUNDUP(MONTH(Raw_Data!B685)/3,0)</f>
        <v>Q2</v>
      </c>
      <c r="F685" t="str">
        <f>TEXT(Raw_Data!B685,"mmm")</f>
        <v>Jun</v>
      </c>
      <c r="G685" t="str">
        <f>TEXT(Raw_Data!B685,"ddd")</f>
        <v>Fri</v>
      </c>
      <c r="H685" t="str">
        <f>Raw_Data!D685</f>
        <v>Invoiced</v>
      </c>
      <c r="I685" t="str">
        <f>Raw_Data!F685</f>
        <v>Walk-in Showroom</v>
      </c>
      <c r="J685" t="str">
        <f>Raw_Data!G685</f>
        <v>Adver. (TVC/Print/Hoarding/FM)</v>
      </c>
      <c r="K685" t="str">
        <f>IFERROR(VLOOKUP(J685,Source_Assumptions!$A:$C,2,0),"Unmapped")</f>
        <v>Traditional Advertising</v>
      </c>
      <c r="L685" t="str">
        <f>Raw_Data!H685</f>
        <v>5TH GEN CITY PE</v>
      </c>
      <c r="M685" t="str">
        <f>IFERROR(VLOOKUP(L685,Model_Assumptions!$A:$D,2,0),"Unmapped")</f>
        <v>Mid-size Sedan</v>
      </c>
      <c r="N685" t="str">
        <f>IFERROR(VLOOKUP(L685,Model_Assumptions!$A:$D,3,0),"Unmapped")</f>
        <v>Petrol</v>
      </c>
      <c r="O685">
        <f>IFERROR(VLOOKUP(L685,Model_Assumptions!$A:$D,4,0),0)</f>
        <v>1250000</v>
      </c>
      <c r="P685">
        <f>IFERROR(VLOOKUP(J685,Source_Assumptions!$A:$C,3,0),0)</f>
        <v>1200</v>
      </c>
    </row>
    <row r="686" spans="1:16" x14ac:dyDescent="0.3">
      <c r="A686">
        <f>Raw_Data!A686</f>
        <v>685</v>
      </c>
      <c r="B686" s="2">
        <f>Raw_Data!B686</f>
        <v>45107</v>
      </c>
      <c r="C686">
        <f>YEAR(Raw_Data!B686)</f>
        <v>2023</v>
      </c>
      <c r="D686" t="str">
        <f>IF(MONTH(Raw_Data!B686)&gt;=4,YEAR(Raw_Data!B686)&amp;"-"&amp;RIGHT(YEAR(Raw_Data!B686)+1,2),YEAR(Raw_Data!B686)-1&amp;"-"&amp;RIGHT(YEAR(Raw_Data!B686),2))</f>
        <v>2023-24</v>
      </c>
      <c r="E686" t="str">
        <f>"Q"&amp;ROUNDUP(MONTH(Raw_Data!B686)/3,0)</f>
        <v>Q2</v>
      </c>
      <c r="F686" t="str">
        <f>TEXT(Raw_Data!B686,"mmm")</f>
        <v>Jun</v>
      </c>
      <c r="G686" t="str">
        <f>TEXT(Raw_Data!B686,"ddd")</f>
        <v>Fri</v>
      </c>
      <c r="H686" t="str">
        <f>Raw_Data!D686</f>
        <v>Invoiced</v>
      </c>
      <c r="I686" t="str">
        <f>Raw_Data!F686</f>
        <v>Tele-in</v>
      </c>
      <c r="J686" t="str">
        <f>Raw_Data!G686</f>
        <v>Dealer Webpage Tele-In</v>
      </c>
      <c r="K686" t="str">
        <f>IFERROR(VLOOKUP(J686,Source_Assumptions!$A:$C,2,0),"Unmapped")</f>
        <v>Digital - Owned</v>
      </c>
      <c r="L686" t="str">
        <f>Raw_Data!H686</f>
        <v>AMAZE-PE</v>
      </c>
      <c r="M686" t="str">
        <f>IFERROR(VLOOKUP(L686,Model_Assumptions!$A:$D,2,0),"Unmapped")</f>
        <v>Sub-4m Sedan</v>
      </c>
      <c r="N686" t="str">
        <f>IFERROR(VLOOKUP(L686,Model_Assumptions!$A:$D,3,0),"Unmapped")</f>
        <v>Petrol</v>
      </c>
      <c r="O686">
        <f>IFERROR(VLOOKUP(L686,Model_Assumptions!$A:$D,4,0),0)</f>
        <v>850000</v>
      </c>
      <c r="P686">
        <f>IFERROR(VLOOKUP(J686,Source_Assumptions!$A:$C,3,0),0)</f>
        <v>300</v>
      </c>
    </row>
    <row r="687" spans="1:16" x14ac:dyDescent="0.3">
      <c r="A687">
        <f>Raw_Data!A687</f>
        <v>686</v>
      </c>
      <c r="B687" s="2">
        <f>Raw_Data!B687</f>
        <v>45107</v>
      </c>
      <c r="C687">
        <f>YEAR(Raw_Data!B687)</f>
        <v>2023</v>
      </c>
      <c r="D687" t="str">
        <f>IF(MONTH(Raw_Data!B687)&gt;=4,YEAR(Raw_Data!B687)&amp;"-"&amp;RIGHT(YEAR(Raw_Data!B687)+1,2),YEAR(Raw_Data!B687)-1&amp;"-"&amp;RIGHT(YEAR(Raw_Data!B687),2))</f>
        <v>2023-24</v>
      </c>
      <c r="E687" t="str">
        <f>"Q"&amp;ROUNDUP(MONTH(Raw_Data!B687)/3,0)</f>
        <v>Q2</v>
      </c>
      <c r="F687" t="str">
        <f>TEXT(Raw_Data!B687,"mmm")</f>
        <v>Jun</v>
      </c>
      <c r="G687" t="str">
        <f>TEXT(Raw_Data!B687,"ddd")</f>
        <v>Fri</v>
      </c>
      <c r="H687" t="str">
        <f>Raw_Data!D687</f>
        <v>Invoiced</v>
      </c>
      <c r="I687" t="str">
        <f>Raw_Data!F687</f>
        <v>SMS/ Tele-Out</v>
      </c>
      <c r="J687" t="str">
        <f>Raw_Data!G687</f>
        <v>Database Activity(Teleout/SMS)</v>
      </c>
      <c r="K687" t="str">
        <f>IFERROR(VLOOKUP(J687,Source_Assumptions!$A:$C,2,0),"Unmapped")</f>
        <v>Outbound/Database</v>
      </c>
      <c r="L687" t="str">
        <f>Raw_Data!H687</f>
        <v>5TH GEN CITY PE</v>
      </c>
      <c r="M687" t="str">
        <f>IFERROR(VLOOKUP(L687,Model_Assumptions!$A:$D,2,0),"Unmapped")</f>
        <v>Mid-size Sedan</v>
      </c>
      <c r="N687" t="str">
        <f>IFERROR(VLOOKUP(L687,Model_Assumptions!$A:$D,3,0),"Unmapped")</f>
        <v>Petrol</v>
      </c>
      <c r="O687">
        <f>IFERROR(VLOOKUP(L687,Model_Assumptions!$A:$D,4,0),0)</f>
        <v>1250000</v>
      </c>
      <c r="P687">
        <f>IFERROR(VLOOKUP(J687,Source_Assumptions!$A:$C,3,0),0)</f>
        <v>250</v>
      </c>
    </row>
    <row r="688" spans="1:16" x14ac:dyDescent="0.3">
      <c r="A688">
        <f>Raw_Data!A688</f>
        <v>687</v>
      </c>
      <c r="B688" s="2">
        <f>Raw_Data!B688</f>
        <v>45111</v>
      </c>
      <c r="C688">
        <f>YEAR(Raw_Data!B688)</f>
        <v>2023</v>
      </c>
      <c r="D688" t="str">
        <f>IF(MONTH(Raw_Data!B688)&gt;=4,YEAR(Raw_Data!B688)&amp;"-"&amp;RIGHT(YEAR(Raw_Data!B688)+1,2),YEAR(Raw_Data!B688)-1&amp;"-"&amp;RIGHT(YEAR(Raw_Data!B688),2))</f>
        <v>2023-24</v>
      </c>
      <c r="E688" t="str">
        <f>"Q"&amp;ROUNDUP(MONTH(Raw_Data!B688)/3,0)</f>
        <v>Q3</v>
      </c>
      <c r="F688" t="str">
        <f>TEXT(Raw_Data!B688,"mmm")</f>
        <v>Jul</v>
      </c>
      <c r="G688" t="str">
        <f>TEXT(Raw_Data!B688,"ddd")</f>
        <v>Tue</v>
      </c>
      <c r="H688" t="str">
        <f>Raw_Data!D688</f>
        <v>Invoiced</v>
      </c>
      <c r="I688" t="str">
        <f>Raw_Data!F688</f>
        <v>SMS/ Tele-Out</v>
      </c>
      <c r="J688" t="str">
        <f>Raw_Data!G688</f>
        <v>Database Activity(Teleout/SMS)</v>
      </c>
      <c r="K688" t="str">
        <f>IFERROR(VLOOKUP(J688,Source_Assumptions!$A:$C,2,0),"Unmapped")</f>
        <v>Outbound/Database</v>
      </c>
      <c r="L688" t="str">
        <f>Raw_Data!H688</f>
        <v>AMAZE Petrol</v>
      </c>
      <c r="M688" t="str">
        <f>IFERROR(VLOOKUP(L688,Model_Assumptions!$A:$D,2,0),"Unmapped")</f>
        <v>Sub-4m Sedan</v>
      </c>
      <c r="N688" t="str">
        <f>IFERROR(VLOOKUP(L688,Model_Assumptions!$A:$D,3,0),"Unmapped")</f>
        <v>Petrol</v>
      </c>
      <c r="O688">
        <f>IFERROR(VLOOKUP(L688,Model_Assumptions!$A:$D,4,0),0)</f>
        <v>850000</v>
      </c>
      <c r="P688">
        <f>IFERROR(VLOOKUP(J688,Source_Assumptions!$A:$C,3,0),0)</f>
        <v>250</v>
      </c>
    </row>
    <row r="689" spans="1:16" x14ac:dyDescent="0.3">
      <c r="A689">
        <f>Raw_Data!A689</f>
        <v>688</v>
      </c>
      <c r="B689" s="2">
        <f>Raw_Data!B689</f>
        <v>45114</v>
      </c>
      <c r="C689">
        <f>YEAR(Raw_Data!B689)</f>
        <v>2023</v>
      </c>
      <c r="D689" t="str">
        <f>IF(MONTH(Raw_Data!B689)&gt;=4,YEAR(Raw_Data!B689)&amp;"-"&amp;RIGHT(YEAR(Raw_Data!B689)+1,2),YEAR(Raw_Data!B689)-1&amp;"-"&amp;RIGHT(YEAR(Raw_Data!B689),2))</f>
        <v>2023-24</v>
      </c>
      <c r="E689" t="str">
        <f>"Q"&amp;ROUNDUP(MONTH(Raw_Data!B689)/3,0)</f>
        <v>Q3</v>
      </c>
      <c r="F689" t="str">
        <f>TEXT(Raw_Data!B689,"mmm")</f>
        <v>Jul</v>
      </c>
      <c r="G689" t="str">
        <f>TEXT(Raw_Data!B689,"ddd")</f>
        <v>Fri</v>
      </c>
      <c r="H689" t="str">
        <f>Raw_Data!D689</f>
        <v>Invoiced</v>
      </c>
      <c r="I689" t="str">
        <f>Raw_Data!F689</f>
        <v>SMS/ Tele-Out</v>
      </c>
      <c r="J689" t="str">
        <f>Raw_Data!G689</f>
        <v>Database Activity(Teleout/SMS)</v>
      </c>
      <c r="K689" t="str">
        <f>IFERROR(VLOOKUP(J689,Source_Assumptions!$A:$C,2,0),"Unmapped")</f>
        <v>Outbound/Database</v>
      </c>
      <c r="L689" t="str">
        <f>Raw_Data!H689</f>
        <v>5TH GEN CITY PE</v>
      </c>
      <c r="M689" t="str">
        <f>IFERROR(VLOOKUP(L689,Model_Assumptions!$A:$D,2,0),"Unmapped")</f>
        <v>Mid-size Sedan</v>
      </c>
      <c r="N689" t="str">
        <f>IFERROR(VLOOKUP(L689,Model_Assumptions!$A:$D,3,0),"Unmapped")</f>
        <v>Petrol</v>
      </c>
      <c r="O689">
        <f>IFERROR(VLOOKUP(L689,Model_Assumptions!$A:$D,4,0),0)</f>
        <v>1250000</v>
      </c>
      <c r="P689">
        <f>IFERROR(VLOOKUP(J689,Source_Assumptions!$A:$C,3,0),0)</f>
        <v>250</v>
      </c>
    </row>
    <row r="690" spans="1:16" x14ac:dyDescent="0.3">
      <c r="A690">
        <f>Raw_Data!A690</f>
        <v>689</v>
      </c>
      <c r="B690" s="2">
        <f>Raw_Data!B690</f>
        <v>45118</v>
      </c>
      <c r="C690">
        <f>YEAR(Raw_Data!B690)</f>
        <v>2023</v>
      </c>
      <c r="D690" t="str">
        <f>IF(MONTH(Raw_Data!B690)&gt;=4,YEAR(Raw_Data!B690)&amp;"-"&amp;RIGHT(YEAR(Raw_Data!B690)+1,2),YEAR(Raw_Data!B690)-1&amp;"-"&amp;RIGHT(YEAR(Raw_Data!B690),2))</f>
        <v>2023-24</v>
      </c>
      <c r="E690" t="str">
        <f>"Q"&amp;ROUNDUP(MONTH(Raw_Data!B690)/3,0)</f>
        <v>Q3</v>
      </c>
      <c r="F690" t="str">
        <f>TEXT(Raw_Data!B690,"mmm")</f>
        <v>Jul</v>
      </c>
      <c r="G690" t="str">
        <f>TEXT(Raw_Data!B690,"ddd")</f>
        <v>Tue</v>
      </c>
      <c r="H690" t="str">
        <f>Raw_Data!D690</f>
        <v>Invoiced</v>
      </c>
      <c r="I690" t="str">
        <f>Raw_Data!F690</f>
        <v>SMS/ Tele-Out</v>
      </c>
      <c r="J690" t="str">
        <f>Raw_Data!G690</f>
        <v>Referral-CAM</v>
      </c>
      <c r="K690" t="str">
        <f>IFERROR(VLOOKUP(J690,Source_Assumptions!$A:$C,2,0),"Unmapped")</f>
        <v>Referral</v>
      </c>
      <c r="L690" t="str">
        <f>Raw_Data!H690</f>
        <v>5TH GEN CITY PE</v>
      </c>
      <c r="M690" t="str">
        <f>IFERROR(VLOOKUP(L690,Model_Assumptions!$A:$D,2,0),"Unmapped")</f>
        <v>Mid-size Sedan</v>
      </c>
      <c r="N690" t="str">
        <f>IFERROR(VLOOKUP(L690,Model_Assumptions!$A:$D,3,0),"Unmapped")</f>
        <v>Petrol</v>
      </c>
      <c r="O690">
        <f>IFERROR(VLOOKUP(L690,Model_Assumptions!$A:$D,4,0),0)</f>
        <v>1250000</v>
      </c>
      <c r="P690">
        <f>IFERROR(VLOOKUP(J690,Source_Assumptions!$A:$C,3,0),0)</f>
        <v>150</v>
      </c>
    </row>
    <row r="691" spans="1:16" x14ac:dyDescent="0.3">
      <c r="A691">
        <f>Raw_Data!A691</f>
        <v>690</v>
      </c>
      <c r="B691" s="2">
        <f>Raw_Data!B691</f>
        <v>45118</v>
      </c>
      <c r="C691">
        <f>YEAR(Raw_Data!B691)</f>
        <v>2023</v>
      </c>
      <c r="D691" t="str">
        <f>IF(MONTH(Raw_Data!B691)&gt;=4,YEAR(Raw_Data!B691)&amp;"-"&amp;RIGHT(YEAR(Raw_Data!B691)+1,2),YEAR(Raw_Data!B691)-1&amp;"-"&amp;RIGHT(YEAR(Raw_Data!B691),2))</f>
        <v>2023-24</v>
      </c>
      <c r="E691" t="str">
        <f>"Q"&amp;ROUNDUP(MONTH(Raw_Data!B691)/3,0)</f>
        <v>Q3</v>
      </c>
      <c r="F691" t="str">
        <f>TEXT(Raw_Data!B691,"mmm")</f>
        <v>Jul</v>
      </c>
      <c r="G691" t="str">
        <f>TEXT(Raw_Data!B691,"ddd")</f>
        <v>Tue</v>
      </c>
      <c r="H691" t="str">
        <f>Raw_Data!D691</f>
        <v>Invoiced</v>
      </c>
      <c r="I691" t="str">
        <f>Raw_Data!F691</f>
        <v>SMS/ Tele-Out</v>
      </c>
      <c r="J691" t="str">
        <f>Raw_Data!G691</f>
        <v>Database Activity(Teleout/SMS)</v>
      </c>
      <c r="K691" t="str">
        <f>IFERROR(VLOOKUP(J691,Source_Assumptions!$A:$C,2,0),"Unmapped")</f>
        <v>Outbound/Database</v>
      </c>
      <c r="L691" t="str">
        <f>Raw_Data!H691</f>
        <v>5TH GEN CITY PE</v>
      </c>
      <c r="M691" t="str">
        <f>IFERROR(VLOOKUP(L691,Model_Assumptions!$A:$D,2,0),"Unmapped")</f>
        <v>Mid-size Sedan</v>
      </c>
      <c r="N691" t="str">
        <f>IFERROR(VLOOKUP(L691,Model_Assumptions!$A:$D,3,0),"Unmapped")</f>
        <v>Petrol</v>
      </c>
      <c r="O691">
        <f>IFERROR(VLOOKUP(L691,Model_Assumptions!$A:$D,4,0),0)</f>
        <v>1250000</v>
      </c>
      <c r="P691">
        <f>IFERROR(VLOOKUP(J691,Source_Assumptions!$A:$C,3,0),0)</f>
        <v>250</v>
      </c>
    </row>
    <row r="692" spans="1:16" x14ac:dyDescent="0.3">
      <c r="A692">
        <f>Raw_Data!A692</f>
        <v>691</v>
      </c>
      <c r="B692" s="2">
        <f>Raw_Data!B692</f>
        <v>45120</v>
      </c>
      <c r="C692">
        <f>YEAR(Raw_Data!B692)</f>
        <v>2023</v>
      </c>
      <c r="D692" t="str">
        <f>IF(MONTH(Raw_Data!B692)&gt;=4,YEAR(Raw_Data!B692)&amp;"-"&amp;RIGHT(YEAR(Raw_Data!B692)+1,2),YEAR(Raw_Data!B692)-1&amp;"-"&amp;RIGHT(YEAR(Raw_Data!B692),2))</f>
        <v>2023-24</v>
      </c>
      <c r="E692" t="str">
        <f>"Q"&amp;ROUNDUP(MONTH(Raw_Data!B692)/3,0)</f>
        <v>Q3</v>
      </c>
      <c r="F692" t="str">
        <f>TEXT(Raw_Data!B692,"mmm")</f>
        <v>Jul</v>
      </c>
      <c r="G692" t="str">
        <f>TEXT(Raw_Data!B692,"ddd")</f>
        <v>Thu</v>
      </c>
      <c r="H692" t="str">
        <f>Raw_Data!D692</f>
        <v>Invoiced</v>
      </c>
      <c r="I692" t="str">
        <f>Raw_Data!F692</f>
        <v>Web Lead</v>
      </c>
      <c r="J692" t="str">
        <f>Raw_Data!G692</f>
        <v>Web</v>
      </c>
      <c r="K692" t="str">
        <f>IFERROR(VLOOKUP(J692,Source_Assumptions!$A:$C,2,0),"Unmapped")</f>
        <v>Digital - Owned</v>
      </c>
      <c r="L692" t="str">
        <f>Raw_Data!H692</f>
        <v>AMAZE Petrol</v>
      </c>
      <c r="M692" t="str">
        <f>IFERROR(VLOOKUP(L692,Model_Assumptions!$A:$D,2,0),"Unmapped")</f>
        <v>Sub-4m Sedan</v>
      </c>
      <c r="N692" t="str">
        <f>IFERROR(VLOOKUP(L692,Model_Assumptions!$A:$D,3,0),"Unmapped")</f>
        <v>Petrol</v>
      </c>
      <c r="O692">
        <f>IFERROR(VLOOKUP(L692,Model_Assumptions!$A:$D,4,0),0)</f>
        <v>850000</v>
      </c>
      <c r="P692">
        <f>IFERROR(VLOOKUP(J692,Source_Assumptions!$A:$C,3,0),0)</f>
        <v>300</v>
      </c>
    </row>
    <row r="693" spans="1:16" x14ac:dyDescent="0.3">
      <c r="A693">
        <f>Raw_Data!A693</f>
        <v>692</v>
      </c>
      <c r="B693" s="2">
        <f>Raw_Data!B693</f>
        <v>45122</v>
      </c>
      <c r="C693">
        <f>YEAR(Raw_Data!B693)</f>
        <v>2023</v>
      </c>
      <c r="D693" t="str">
        <f>IF(MONTH(Raw_Data!B693)&gt;=4,YEAR(Raw_Data!B693)&amp;"-"&amp;RIGHT(YEAR(Raw_Data!B693)+1,2),YEAR(Raw_Data!B693)-1&amp;"-"&amp;RIGHT(YEAR(Raw_Data!B693),2))</f>
        <v>2023-24</v>
      </c>
      <c r="E693" t="str">
        <f>"Q"&amp;ROUNDUP(MONTH(Raw_Data!B693)/3,0)</f>
        <v>Q3</v>
      </c>
      <c r="F693" t="str">
        <f>TEXT(Raw_Data!B693,"mmm")</f>
        <v>Jul</v>
      </c>
      <c r="G693" t="str">
        <f>TEXT(Raw_Data!B693,"ddd")</f>
        <v>Sat</v>
      </c>
      <c r="H693" t="str">
        <f>Raw_Data!D693</f>
        <v>Invoiced</v>
      </c>
      <c r="I693" t="str">
        <f>Raw_Data!F693</f>
        <v>Web Lead</v>
      </c>
      <c r="J693" t="str">
        <f>Raw_Data!G693</f>
        <v>Web_Facebook</v>
      </c>
      <c r="K693" t="str">
        <f>IFERROR(VLOOKUP(J693,Source_Assumptions!$A:$C,2,0),"Unmapped")</f>
        <v>Digital - Paid Social</v>
      </c>
      <c r="L693" t="str">
        <f>Raw_Data!H693</f>
        <v>AMAZE Petrol</v>
      </c>
      <c r="M693" t="str">
        <f>IFERROR(VLOOKUP(L693,Model_Assumptions!$A:$D,2,0),"Unmapped")</f>
        <v>Sub-4m Sedan</v>
      </c>
      <c r="N693" t="str">
        <f>IFERROR(VLOOKUP(L693,Model_Assumptions!$A:$D,3,0),"Unmapped")</f>
        <v>Petrol</v>
      </c>
      <c r="O693">
        <f>IFERROR(VLOOKUP(L693,Model_Assumptions!$A:$D,4,0),0)</f>
        <v>850000</v>
      </c>
      <c r="P693">
        <f>IFERROR(VLOOKUP(J693,Source_Assumptions!$A:$C,3,0),0)</f>
        <v>600</v>
      </c>
    </row>
    <row r="694" spans="1:16" x14ac:dyDescent="0.3">
      <c r="A694">
        <f>Raw_Data!A694</f>
        <v>693</v>
      </c>
      <c r="B694" s="2">
        <f>Raw_Data!B694</f>
        <v>45122</v>
      </c>
      <c r="C694">
        <f>YEAR(Raw_Data!B694)</f>
        <v>2023</v>
      </c>
      <c r="D694" t="str">
        <f>IF(MONTH(Raw_Data!B694)&gt;=4,YEAR(Raw_Data!B694)&amp;"-"&amp;RIGHT(YEAR(Raw_Data!B694)+1,2),YEAR(Raw_Data!B694)-1&amp;"-"&amp;RIGHT(YEAR(Raw_Data!B694),2))</f>
        <v>2023-24</v>
      </c>
      <c r="E694" t="str">
        <f>"Q"&amp;ROUNDUP(MONTH(Raw_Data!B694)/3,0)</f>
        <v>Q3</v>
      </c>
      <c r="F694" t="str">
        <f>TEXT(Raw_Data!B694,"mmm")</f>
        <v>Jul</v>
      </c>
      <c r="G694" t="str">
        <f>TEXT(Raw_Data!B694,"ddd")</f>
        <v>Sat</v>
      </c>
      <c r="H694" t="str">
        <f>Raw_Data!D694</f>
        <v>Invoiced</v>
      </c>
      <c r="I694" t="str">
        <f>Raw_Data!F694</f>
        <v>Walk-in Showroom</v>
      </c>
      <c r="J694" t="str">
        <f>Raw_Data!G694</f>
        <v>Adver. (TVC/Print/Hoarding/FM)</v>
      </c>
      <c r="K694" t="str">
        <f>IFERROR(VLOOKUP(J694,Source_Assumptions!$A:$C,2,0),"Unmapped")</f>
        <v>Traditional Advertising</v>
      </c>
      <c r="L694" t="str">
        <f>Raw_Data!H694</f>
        <v>AMAZE Petrol</v>
      </c>
      <c r="M694" t="str">
        <f>IFERROR(VLOOKUP(L694,Model_Assumptions!$A:$D,2,0),"Unmapped")</f>
        <v>Sub-4m Sedan</v>
      </c>
      <c r="N694" t="str">
        <f>IFERROR(VLOOKUP(L694,Model_Assumptions!$A:$D,3,0),"Unmapped")</f>
        <v>Petrol</v>
      </c>
      <c r="O694">
        <f>IFERROR(VLOOKUP(L694,Model_Assumptions!$A:$D,4,0),0)</f>
        <v>850000</v>
      </c>
      <c r="P694">
        <f>IFERROR(VLOOKUP(J694,Source_Assumptions!$A:$C,3,0),0)</f>
        <v>1200</v>
      </c>
    </row>
    <row r="695" spans="1:16" x14ac:dyDescent="0.3">
      <c r="A695">
        <f>Raw_Data!A695</f>
        <v>694</v>
      </c>
      <c r="B695" s="2">
        <f>Raw_Data!B695</f>
        <v>45124</v>
      </c>
      <c r="C695">
        <f>YEAR(Raw_Data!B695)</f>
        <v>2023</v>
      </c>
      <c r="D695" t="str">
        <f>IF(MONTH(Raw_Data!B695)&gt;=4,YEAR(Raw_Data!B695)&amp;"-"&amp;RIGHT(YEAR(Raw_Data!B695)+1,2),YEAR(Raw_Data!B695)-1&amp;"-"&amp;RIGHT(YEAR(Raw_Data!B695),2))</f>
        <v>2023-24</v>
      </c>
      <c r="E695" t="str">
        <f>"Q"&amp;ROUNDUP(MONTH(Raw_Data!B695)/3,0)</f>
        <v>Q3</v>
      </c>
      <c r="F695" t="str">
        <f>TEXT(Raw_Data!B695,"mmm")</f>
        <v>Jul</v>
      </c>
      <c r="G695" t="str">
        <f>TEXT(Raw_Data!B695,"ddd")</f>
        <v>Mon</v>
      </c>
      <c r="H695" t="str">
        <f>Raw_Data!D695</f>
        <v>Invoiced</v>
      </c>
      <c r="I695" t="str">
        <f>Raw_Data!F695</f>
        <v>Tele-in</v>
      </c>
      <c r="J695" t="str">
        <f>Raw_Data!G695</f>
        <v>Referral-CAM</v>
      </c>
      <c r="K695" t="str">
        <f>IFERROR(VLOOKUP(J695,Source_Assumptions!$A:$C,2,0),"Unmapped")</f>
        <v>Referral</v>
      </c>
      <c r="L695" t="str">
        <f>Raw_Data!H695</f>
        <v>5TH GEN CITY PE</v>
      </c>
      <c r="M695" t="str">
        <f>IFERROR(VLOOKUP(L695,Model_Assumptions!$A:$D,2,0),"Unmapped")</f>
        <v>Mid-size Sedan</v>
      </c>
      <c r="N695" t="str">
        <f>IFERROR(VLOOKUP(L695,Model_Assumptions!$A:$D,3,0),"Unmapped")</f>
        <v>Petrol</v>
      </c>
      <c r="O695">
        <f>IFERROR(VLOOKUP(L695,Model_Assumptions!$A:$D,4,0),0)</f>
        <v>1250000</v>
      </c>
      <c r="P695">
        <f>IFERROR(VLOOKUP(J695,Source_Assumptions!$A:$C,3,0),0)</f>
        <v>150</v>
      </c>
    </row>
    <row r="696" spans="1:16" x14ac:dyDescent="0.3">
      <c r="A696">
        <f>Raw_Data!A696</f>
        <v>695</v>
      </c>
      <c r="B696" s="2">
        <f>Raw_Data!B696</f>
        <v>45126</v>
      </c>
      <c r="C696">
        <f>YEAR(Raw_Data!B696)</f>
        <v>2023</v>
      </c>
      <c r="D696" t="str">
        <f>IF(MONTH(Raw_Data!B696)&gt;=4,YEAR(Raw_Data!B696)&amp;"-"&amp;RIGHT(YEAR(Raw_Data!B696)+1,2),YEAR(Raw_Data!B696)-1&amp;"-"&amp;RIGHT(YEAR(Raw_Data!B696),2))</f>
        <v>2023-24</v>
      </c>
      <c r="E696" t="str">
        <f>"Q"&amp;ROUNDUP(MONTH(Raw_Data!B696)/3,0)</f>
        <v>Q3</v>
      </c>
      <c r="F696" t="str">
        <f>TEXT(Raw_Data!B696,"mmm")</f>
        <v>Jul</v>
      </c>
      <c r="G696" t="str">
        <f>TEXT(Raw_Data!B696,"ddd")</f>
        <v>Wed</v>
      </c>
      <c r="H696" t="str">
        <f>Raw_Data!D696</f>
        <v>Invoiced</v>
      </c>
      <c r="I696" t="str">
        <f>Raw_Data!F696</f>
        <v>Tele-in</v>
      </c>
      <c r="J696" t="str">
        <f>Raw_Data!G696</f>
        <v>Dealer Webpage Tele-In</v>
      </c>
      <c r="K696" t="str">
        <f>IFERROR(VLOOKUP(J696,Source_Assumptions!$A:$C,2,0),"Unmapped")</f>
        <v>Digital - Owned</v>
      </c>
      <c r="L696" t="str">
        <f>Raw_Data!H696</f>
        <v>5TH GEN CITY PE</v>
      </c>
      <c r="M696" t="str">
        <f>IFERROR(VLOOKUP(L696,Model_Assumptions!$A:$D,2,0),"Unmapped")</f>
        <v>Mid-size Sedan</v>
      </c>
      <c r="N696" t="str">
        <f>IFERROR(VLOOKUP(L696,Model_Assumptions!$A:$D,3,0),"Unmapped")</f>
        <v>Petrol</v>
      </c>
      <c r="O696">
        <f>IFERROR(VLOOKUP(L696,Model_Assumptions!$A:$D,4,0),0)</f>
        <v>1250000</v>
      </c>
      <c r="P696">
        <f>IFERROR(VLOOKUP(J696,Source_Assumptions!$A:$C,3,0),0)</f>
        <v>300</v>
      </c>
    </row>
    <row r="697" spans="1:16" x14ac:dyDescent="0.3">
      <c r="A697">
        <f>Raw_Data!A697</f>
        <v>696</v>
      </c>
      <c r="B697" s="2">
        <f>Raw_Data!B697</f>
        <v>45127</v>
      </c>
      <c r="C697">
        <f>YEAR(Raw_Data!B697)</f>
        <v>2023</v>
      </c>
      <c r="D697" t="str">
        <f>IF(MONTH(Raw_Data!B697)&gt;=4,YEAR(Raw_Data!B697)&amp;"-"&amp;RIGHT(YEAR(Raw_Data!B697)+1,2),YEAR(Raw_Data!B697)-1&amp;"-"&amp;RIGHT(YEAR(Raw_Data!B697),2))</f>
        <v>2023-24</v>
      </c>
      <c r="E697" t="str">
        <f>"Q"&amp;ROUNDUP(MONTH(Raw_Data!B697)/3,0)</f>
        <v>Q3</v>
      </c>
      <c r="F697" t="str">
        <f>TEXT(Raw_Data!B697,"mmm")</f>
        <v>Jul</v>
      </c>
      <c r="G697" t="str">
        <f>TEXT(Raw_Data!B697,"ddd")</f>
        <v>Thu</v>
      </c>
      <c r="H697" t="str">
        <f>Raw_Data!D697</f>
        <v>Invoiced</v>
      </c>
      <c r="I697" t="str">
        <f>Raw_Data!F697</f>
        <v>Tele-in</v>
      </c>
      <c r="J697" t="str">
        <f>Raw_Data!G697</f>
        <v>Referral-CAM</v>
      </c>
      <c r="K697" t="str">
        <f>IFERROR(VLOOKUP(J697,Source_Assumptions!$A:$C,2,0),"Unmapped")</f>
        <v>Referral</v>
      </c>
      <c r="L697" t="str">
        <f>Raw_Data!H697</f>
        <v>5TH GEN CITY PE</v>
      </c>
      <c r="M697" t="str">
        <f>IFERROR(VLOOKUP(L697,Model_Assumptions!$A:$D,2,0),"Unmapped")</f>
        <v>Mid-size Sedan</v>
      </c>
      <c r="N697" t="str">
        <f>IFERROR(VLOOKUP(L697,Model_Assumptions!$A:$D,3,0),"Unmapped")</f>
        <v>Petrol</v>
      </c>
      <c r="O697">
        <f>IFERROR(VLOOKUP(L697,Model_Assumptions!$A:$D,4,0),0)</f>
        <v>1250000</v>
      </c>
      <c r="P697">
        <f>IFERROR(VLOOKUP(J697,Source_Assumptions!$A:$C,3,0),0)</f>
        <v>150</v>
      </c>
    </row>
    <row r="698" spans="1:16" x14ac:dyDescent="0.3">
      <c r="A698">
        <f>Raw_Data!A698</f>
        <v>697</v>
      </c>
      <c r="B698" s="2">
        <f>Raw_Data!B698</f>
        <v>45128</v>
      </c>
      <c r="C698">
        <f>YEAR(Raw_Data!B698)</f>
        <v>2023</v>
      </c>
      <c r="D698" t="str">
        <f>IF(MONTH(Raw_Data!B698)&gt;=4,YEAR(Raw_Data!B698)&amp;"-"&amp;RIGHT(YEAR(Raw_Data!B698)+1,2),YEAR(Raw_Data!B698)-1&amp;"-"&amp;RIGHT(YEAR(Raw_Data!B698),2))</f>
        <v>2023-24</v>
      </c>
      <c r="E698" t="str">
        <f>"Q"&amp;ROUNDUP(MONTH(Raw_Data!B698)/3,0)</f>
        <v>Q3</v>
      </c>
      <c r="F698" t="str">
        <f>TEXT(Raw_Data!B698,"mmm")</f>
        <v>Jul</v>
      </c>
      <c r="G698" t="str">
        <f>TEXT(Raw_Data!B698,"ddd")</f>
        <v>Fri</v>
      </c>
      <c r="H698" t="str">
        <f>Raw_Data!D698</f>
        <v>Invoiced</v>
      </c>
      <c r="I698" t="str">
        <f>Raw_Data!F698</f>
        <v>Walk-in Showroom</v>
      </c>
      <c r="J698" t="str">
        <f>Raw_Data!G698</f>
        <v>Adver. (TVC/Print/Hoarding/FM)</v>
      </c>
      <c r="K698" t="str">
        <f>IFERROR(VLOOKUP(J698,Source_Assumptions!$A:$C,2,0),"Unmapped")</f>
        <v>Traditional Advertising</v>
      </c>
      <c r="L698" t="str">
        <f>Raw_Data!H698</f>
        <v>AMAZE Petrol</v>
      </c>
      <c r="M698" t="str">
        <f>IFERROR(VLOOKUP(L698,Model_Assumptions!$A:$D,2,0),"Unmapped")</f>
        <v>Sub-4m Sedan</v>
      </c>
      <c r="N698" t="str">
        <f>IFERROR(VLOOKUP(L698,Model_Assumptions!$A:$D,3,0),"Unmapped")</f>
        <v>Petrol</v>
      </c>
      <c r="O698">
        <f>IFERROR(VLOOKUP(L698,Model_Assumptions!$A:$D,4,0),0)</f>
        <v>850000</v>
      </c>
      <c r="P698">
        <f>IFERROR(VLOOKUP(J698,Source_Assumptions!$A:$C,3,0),0)</f>
        <v>1200</v>
      </c>
    </row>
    <row r="699" spans="1:16" x14ac:dyDescent="0.3">
      <c r="A699">
        <f>Raw_Data!A699</f>
        <v>698</v>
      </c>
      <c r="B699" s="2">
        <f>Raw_Data!B699</f>
        <v>45128</v>
      </c>
      <c r="C699">
        <f>YEAR(Raw_Data!B699)</f>
        <v>2023</v>
      </c>
      <c r="D699" t="str">
        <f>IF(MONTH(Raw_Data!B699)&gt;=4,YEAR(Raw_Data!B699)&amp;"-"&amp;RIGHT(YEAR(Raw_Data!B699)+1,2),YEAR(Raw_Data!B699)-1&amp;"-"&amp;RIGHT(YEAR(Raw_Data!B699),2))</f>
        <v>2023-24</v>
      </c>
      <c r="E699" t="str">
        <f>"Q"&amp;ROUNDUP(MONTH(Raw_Data!B699)/3,0)</f>
        <v>Q3</v>
      </c>
      <c r="F699" t="str">
        <f>TEXT(Raw_Data!B699,"mmm")</f>
        <v>Jul</v>
      </c>
      <c r="G699" t="str">
        <f>TEXT(Raw_Data!B699,"ddd")</f>
        <v>Fri</v>
      </c>
      <c r="H699" t="str">
        <f>Raw_Data!D699</f>
        <v>Invoiced</v>
      </c>
      <c r="I699" t="str">
        <f>Raw_Data!F699</f>
        <v>Web Lead</v>
      </c>
      <c r="J699" t="str">
        <f>Raw_Data!G699</f>
        <v>Web</v>
      </c>
      <c r="K699" t="str">
        <f>IFERROR(VLOOKUP(J699,Source_Assumptions!$A:$C,2,0),"Unmapped")</f>
        <v>Digital - Owned</v>
      </c>
      <c r="L699" t="str">
        <f>Raw_Data!H699</f>
        <v>AMAZE Petrol</v>
      </c>
      <c r="M699" t="str">
        <f>IFERROR(VLOOKUP(L699,Model_Assumptions!$A:$D,2,0),"Unmapped")</f>
        <v>Sub-4m Sedan</v>
      </c>
      <c r="N699" t="str">
        <f>IFERROR(VLOOKUP(L699,Model_Assumptions!$A:$D,3,0),"Unmapped")</f>
        <v>Petrol</v>
      </c>
      <c r="O699">
        <f>IFERROR(VLOOKUP(L699,Model_Assumptions!$A:$D,4,0),0)</f>
        <v>850000</v>
      </c>
      <c r="P699">
        <f>IFERROR(VLOOKUP(J699,Source_Assumptions!$A:$C,3,0),0)</f>
        <v>300</v>
      </c>
    </row>
    <row r="700" spans="1:16" x14ac:dyDescent="0.3">
      <c r="A700">
        <f>Raw_Data!A700</f>
        <v>699</v>
      </c>
      <c r="B700" s="2">
        <f>Raw_Data!B700</f>
        <v>45128</v>
      </c>
      <c r="C700">
        <f>YEAR(Raw_Data!B700)</f>
        <v>2023</v>
      </c>
      <c r="D700" t="str">
        <f>IF(MONTH(Raw_Data!B700)&gt;=4,YEAR(Raw_Data!B700)&amp;"-"&amp;RIGHT(YEAR(Raw_Data!B700)+1,2),YEAR(Raw_Data!B700)-1&amp;"-"&amp;RIGHT(YEAR(Raw_Data!B700),2))</f>
        <v>2023-24</v>
      </c>
      <c r="E700" t="str">
        <f>"Q"&amp;ROUNDUP(MONTH(Raw_Data!B700)/3,0)</f>
        <v>Q3</v>
      </c>
      <c r="F700" t="str">
        <f>TEXT(Raw_Data!B700,"mmm")</f>
        <v>Jul</v>
      </c>
      <c r="G700" t="str">
        <f>TEXT(Raw_Data!B700,"ddd")</f>
        <v>Fri</v>
      </c>
      <c r="H700" t="str">
        <f>Raw_Data!D700</f>
        <v>Invoiced</v>
      </c>
      <c r="I700" t="str">
        <f>Raw_Data!F700</f>
        <v>Walk-in Showroom</v>
      </c>
      <c r="J700" t="str">
        <f>Raw_Data!G700</f>
        <v>Adver. (TVC/Print/Hoarding/FM)</v>
      </c>
      <c r="K700" t="str">
        <f>IFERROR(VLOOKUP(J700,Source_Assumptions!$A:$C,2,0),"Unmapped")</f>
        <v>Traditional Advertising</v>
      </c>
      <c r="L700" t="str">
        <f>Raw_Data!H700</f>
        <v>AMAZE Petrol</v>
      </c>
      <c r="M700" t="str">
        <f>IFERROR(VLOOKUP(L700,Model_Assumptions!$A:$D,2,0),"Unmapped")</f>
        <v>Sub-4m Sedan</v>
      </c>
      <c r="N700" t="str">
        <f>IFERROR(VLOOKUP(L700,Model_Assumptions!$A:$D,3,0),"Unmapped")</f>
        <v>Petrol</v>
      </c>
      <c r="O700">
        <f>IFERROR(VLOOKUP(L700,Model_Assumptions!$A:$D,4,0),0)</f>
        <v>850000</v>
      </c>
      <c r="P700">
        <f>IFERROR(VLOOKUP(J700,Source_Assumptions!$A:$C,3,0),0)</f>
        <v>1200</v>
      </c>
    </row>
    <row r="701" spans="1:16" x14ac:dyDescent="0.3">
      <c r="A701">
        <f>Raw_Data!A701</f>
        <v>700</v>
      </c>
      <c r="B701" s="2">
        <f>Raw_Data!B701</f>
        <v>45129</v>
      </c>
      <c r="C701">
        <f>YEAR(Raw_Data!B701)</f>
        <v>2023</v>
      </c>
      <c r="D701" t="str">
        <f>IF(MONTH(Raw_Data!B701)&gt;=4,YEAR(Raw_Data!B701)&amp;"-"&amp;RIGHT(YEAR(Raw_Data!B701)+1,2),YEAR(Raw_Data!B701)-1&amp;"-"&amp;RIGHT(YEAR(Raw_Data!B701),2))</f>
        <v>2023-24</v>
      </c>
      <c r="E701" t="str">
        <f>"Q"&amp;ROUNDUP(MONTH(Raw_Data!B701)/3,0)</f>
        <v>Q3</v>
      </c>
      <c r="F701" t="str">
        <f>TEXT(Raw_Data!B701,"mmm")</f>
        <v>Jul</v>
      </c>
      <c r="G701" t="str">
        <f>TEXT(Raw_Data!B701,"ddd")</f>
        <v>Sat</v>
      </c>
      <c r="H701" t="str">
        <f>Raw_Data!D701</f>
        <v>Invoiced</v>
      </c>
      <c r="I701" t="str">
        <f>Raw_Data!F701</f>
        <v>SMS/ Tele-Out</v>
      </c>
      <c r="J701" t="str">
        <f>Raw_Data!G701</f>
        <v>I-BAP Referral</v>
      </c>
      <c r="K701" t="str">
        <f>IFERROR(VLOOKUP(J701,Source_Assumptions!$A:$C,2,0),"Unmapped")</f>
        <v>Referral (Insurance/Banking Partner)</v>
      </c>
      <c r="L701" t="str">
        <f>Raw_Data!H701</f>
        <v>AMAZE Petrol</v>
      </c>
      <c r="M701" t="str">
        <f>IFERROR(VLOOKUP(L701,Model_Assumptions!$A:$D,2,0),"Unmapped")</f>
        <v>Sub-4m Sedan</v>
      </c>
      <c r="N701" t="str">
        <f>IFERROR(VLOOKUP(L701,Model_Assumptions!$A:$D,3,0),"Unmapped")</f>
        <v>Petrol</v>
      </c>
      <c r="O701">
        <f>IFERROR(VLOOKUP(L701,Model_Assumptions!$A:$D,4,0),0)</f>
        <v>850000</v>
      </c>
      <c r="P701">
        <f>IFERROR(VLOOKUP(J701,Source_Assumptions!$A:$C,3,0),0)</f>
        <v>150</v>
      </c>
    </row>
    <row r="702" spans="1:16" x14ac:dyDescent="0.3">
      <c r="A702">
        <f>Raw_Data!A702</f>
        <v>701</v>
      </c>
      <c r="B702" s="2">
        <f>Raw_Data!B702</f>
        <v>45131</v>
      </c>
      <c r="C702">
        <f>YEAR(Raw_Data!B702)</f>
        <v>2023</v>
      </c>
      <c r="D702" t="str">
        <f>IF(MONTH(Raw_Data!B702)&gt;=4,YEAR(Raw_Data!B702)&amp;"-"&amp;RIGHT(YEAR(Raw_Data!B702)+1,2),YEAR(Raw_Data!B702)-1&amp;"-"&amp;RIGHT(YEAR(Raw_Data!B702),2))</f>
        <v>2023-24</v>
      </c>
      <c r="E702" t="str">
        <f>"Q"&amp;ROUNDUP(MONTH(Raw_Data!B702)/3,0)</f>
        <v>Q3</v>
      </c>
      <c r="F702" t="str">
        <f>TEXT(Raw_Data!B702,"mmm")</f>
        <v>Jul</v>
      </c>
      <c r="G702" t="str">
        <f>TEXT(Raw_Data!B702,"ddd")</f>
        <v>Mon</v>
      </c>
      <c r="H702" t="str">
        <f>Raw_Data!D702</f>
        <v>Invoiced</v>
      </c>
      <c r="I702" t="str">
        <f>Raw_Data!F702</f>
        <v>Walk-in Showroom</v>
      </c>
      <c r="J702" t="str">
        <f>Raw_Data!G702</f>
        <v>Adver. (TVC/Print/Hoarding/FM)</v>
      </c>
      <c r="K702" t="str">
        <f>IFERROR(VLOOKUP(J702,Source_Assumptions!$A:$C,2,0),"Unmapped")</f>
        <v>Traditional Advertising</v>
      </c>
      <c r="L702" t="str">
        <f>Raw_Data!H702</f>
        <v>5TH GEN CITY PE</v>
      </c>
      <c r="M702" t="str">
        <f>IFERROR(VLOOKUP(L702,Model_Assumptions!$A:$D,2,0),"Unmapped")</f>
        <v>Mid-size Sedan</v>
      </c>
      <c r="N702" t="str">
        <f>IFERROR(VLOOKUP(L702,Model_Assumptions!$A:$D,3,0),"Unmapped")</f>
        <v>Petrol</v>
      </c>
      <c r="O702">
        <f>IFERROR(VLOOKUP(L702,Model_Assumptions!$A:$D,4,0),0)</f>
        <v>1250000</v>
      </c>
      <c r="P702">
        <f>IFERROR(VLOOKUP(J702,Source_Assumptions!$A:$C,3,0),0)</f>
        <v>1200</v>
      </c>
    </row>
    <row r="703" spans="1:16" x14ac:dyDescent="0.3">
      <c r="A703">
        <f>Raw_Data!A703</f>
        <v>702</v>
      </c>
      <c r="B703" s="2">
        <f>Raw_Data!B703</f>
        <v>45131</v>
      </c>
      <c r="C703">
        <f>YEAR(Raw_Data!B703)</f>
        <v>2023</v>
      </c>
      <c r="D703" t="str">
        <f>IF(MONTH(Raw_Data!B703)&gt;=4,YEAR(Raw_Data!B703)&amp;"-"&amp;RIGHT(YEAR(Raw_Data!B703)+1,2),YEAR(Raw_Data!B703)-1&amp;"-"&amp;RIGHT(YEAR(Raw_Data!B703),2))</f>
        <v>2023-24</v>
      </c>
      <c r="E703" t="str">
        <f>"Q"&amp;ROUNDUP(MONTH(Raw_Data!B703)/3,0)</f>
        <v>Q3</v>
      </c>
      <c r="F703" t="str">
        <f>TEXT(Raw_Data!B703,"mmm")</f>
        <v>Jul</v>
      </c>
      <c r="G703" t="str">
        <f>TEXT(Raw_Data!B703,"ddd")</f>
        <v>Mon</v>
      </c>
      <c r="H703" t="str">
        <f>Raw_Data!D703</f>
        <v>Invoiced</v>
      </c>
      <c r="I703" t="str">
        <f>Raw_Data!F703</f>
        <v>SMS/ Tele-Out</v>
      </c>
      <c r="J703" t="str">
        <f>Raw_Data!G703</f>
        <v>I-BAP Referral</v>
      </c>
      <c r="K703" t="str">
        <f>IFERROR(VLOOKUP(J703,Source_Assumptions!$A:$C,2,0),"Unmapped")</f>
        <v>Referral (Insurance/Banking Partner)</v>
      </c>
      <c r="L703" t="str">
        <f>Raw_Data!H703</f>
        <v>5TH GEN CITY PE</v>
      </c>
      <c r="M703" t="str">
        <f>IFERROR(VLOOKUP(L703,Model_Assumptions!$A:$D,2,0),"Unmapped")</f>
        <v>Mid-size Sedan</v>
      </c>
      <c r="N703" t="str">
        <f>IFERROR(VLOOKUP(L703,Model_Assumptions!$A:$D,3,0),"Unmapped")</f>
        <v>Petrol</v>
      </c>
      <c r="O703">
        <f>IFERROR(VLOOKUP(L703,Model_Assumptions!$A:$D,4,0),0)</f>
        <v>1250000</v>
      </c>
      <c r="P703">
        <f>IFERROR(VLOOKUP(J703,Source_Assumptions!$A:$C,3,0),0)</f>
        <v>150</v>
      </c>
    </row>
    <row r="704" spans="1:16" x14ac:dyDescent="0.3">
      <c r="A704">
        <f>Raw_Data!A704</f>
        <v>703</v>
      </c>
      <c r="B704" s="2">
        <f>Raw_Data!B704</f>
        <v>45132</v>
      </c>
      <c r="C704">
        <f>YEAR(Raw_Data!B704)</f>
        <v>2023</v>
      </c>
      <c r="D704" t="str">
        <f>IF(MONTH(Raw_Data!B704)&gt;=4,YEAR(Raw_Data!B704)&amp;"-"&amp;RIGHT(YEAR(Raw_Data!B704)+1,2),YEAR(Raw_Data!B704)-1&amp;"-"&amp;RIGHT(YEAR(Raw_Data!B704),2))</f>
        <v>2023-24</v>
      </c>
      <c r="E704" t="str">
        <f>"Q"&amp;ROUNDUP(MONTH(Raw_Data!B704)/3,0)</f>
        <v>Q3</v>
      </c>
      <c r="F704" t="str">
        <f>TEXT(Raw_Data!B704,"mmm")</f>
        <v>Jul</v>
      </c>
      <c r="G704" t="str">
        <f>TEXT(Raw_Data!B704,"ddd")</f>
        <v>Tue</v>
      </c>
      <c r="H704" t="str">
        <f>Raw_Data!D704</f>
        <v>Invoiced</v>
      </c>
      <c r="I704" t="str">
        <f>Raw_Data!F704</f>
        <v>Tele-in</v>
      </c>
      <c r="J704" t="str">
        <f>Raw_Data!G704</f>
        <v>Dealer Webpage Tele-In</v>
      </c>
      <c r="K704" t="str">
        <f>IFERROR(VLOOKUP(J704,Source_Assumptions!$A:$C,2,0),"Unmapped")</f>
        <v>Digital - Owned</v>
      </c>
      <c r="L704" t="str">
        <f>Raw_Data!H704</f>
        <v>AMAZE Petrol</v>
      </c>
      <c r="M704" t="str">
        <f>IFERROR(VLOOKUP(L704,Model_Assumptions!$A:$D,2,0),"Unmapped")</f>
        <v>Sub-4m Sedan</v>
      </c>
      <c r="N704" t="str">
        <f>IFERROR(VLOOKUP(L704,Model_Assumptions!$A:$D,3,0),"Unmapped")</f>
        <v>Petrol</v>
      </c>
      <c r="O704">
        <f>IFERROR(VLOOKUP(L704,Model_Assumptions!$A:$D,4,0),0)</f>
        <v>850000</v>
      </c>
      <c r="P704">
        <f>IFERROR(VLOOKUP(J704,Source_Assumptions!$A:$C,3,0),0)</f>
        <v>300</v>
      </c>
    </row>
    <row r="705" spans="1:16" x14ac:dyDescent="0.3">
      <c r="A705">
        <f>Raw_Data!A705</f>
        <v>704</v>
      </c>
      <c r="B705" s="2">
        <f>Raw_Data!B705</f>
        <v>45132</v>
      </c>
      <c r="C705">
        <f>YEAR(Raw_Data!B705)</f>
        <v>2023</v>
      </c>
      <c r="D705" t="str">
        <f>IF(MONTH(Raw_Data!B705)&gt;=4,YEAR(Raw_Data!B705)&amp;"-"&amp;RIGHT(YEAR(Raw_Data!B705)+1,2),YEAR(Raw_Data!B705)-1&amp;"-"&amp;RIGHT(YEAR(Raw_Data!B705),2))</f>
        <v>2023-24</v>
      </c>
      <c r="E705" t="str">
        <f>"Q"&amp;ROUNDUP(MONTH(Raw_Data!B705)/3,0)</f>
        <v>Q3</v>
      </c>
      <c r="F705" t="str">
        <f>TEXT(Raw_Data!B705,"mmm")</f>
        <v>Jul</v>
      </c>
      <c r="G705" t="str">
        <f>TEXT(Raw_Data!B705,"ddd")</f>
        <v>Tue</v>
      </c>
      <c r="H705" t="str">
        <f>Raw_Data!D705</f>
        <v>Invoiced</v>
      </c>
      <c r="I705" t="str">
        <f>Raw_Data!F705</f>
        <v>Tele-in</v>
      </c>
      <c r="J705" t="str">
        <f>Raw_Data!G705</f>
        <v>Dealer Webpage Tele-In</v>
      </c>
      <c r="K705" t="str">
        <f>IFERROR(VLOOKUP(J705,Source_Assumptions!$A:$C,2,0),"Unmapped")</f>
        <v>Digital - Owned</v>
      </c>
      <c r="L705" t="str">
        <f>Raw_Data!H705</f>
        <v>AMAZE Petrol</v>
      </c>
      <c r="M705" t="str">
        <f>IFERROR(VLOOKUP(L705,Model_Assumptions!$A:$D,2,0),"Unmapped")</f>
        <v>Sub-4m Sedan</v>
      </c>
      <c r="N705" t="str">
        <f>IFERROR(VLOOKUP(L705,Model_Assumptions!$A:$D,3,0),"Unmapped")</f>
        <v>Petrol</v>
      </c>
      <c r="O705">
        <f>IFERROR(VLOOKUP(L705,Model_Assumptions!$A:$D,4,0),0)</f>
        <v>850000</v>
      </c>
      <c r="P705">
        <f>IFERROR(VLOOKUP(J705,Source_Assumptions!$A:$C,3,0),0)</f>
        <v>300</v>
      </c>
    </row>
    <row r="706" spans="1:16" x14ac:dyDescent="0.3">
      <c r="A706">
        <f>Raw_Data!A706</f>
        <v>705</v>
      </c>
      <c r="B706" s="2">
        <f>Raw_Data!B706</f>
        <v>45133</v>
      </c>
      <c r="C706">
        <f>YEAR(Raw_Data!B706)</f>
        <v>2023</v>
      </c>
      <c r="D706" t="str">
        <f>IF(MONTH(Raw_Data!B706)&gt;=4,YEAR(Raw_Data!B706)&amp;"-"&amp;RIGHT(YEAR(Raw_Data!B706)+1,2),YEAR(Raw_Data!B706)-1&amp;"-"&amp;RIGHT(YEAR(Raw_Data!B706),2))</f>
        <v>2023-24</v>
      </c>
      <c r="E706" t="str">
        <f>"Q"&amp;ROUNDUP(MONTH(Raw_Data!B706)/3,0)</f>
        <v>Q3</v>
      </c>
      <c r="F706" t="str">
        <f>TEXT(Raw_Data!B706,"mmm")</f>
        <v>Jul</v>
      </c>
      <c r="G706" t="str">
        <f>TEXT(Raw_Data!B706,"ddd")</f>
        <v>Wed</v>
      </c>
      <c r="H706" t="str">
        <f>Raw_Data!D706</f>
        <v>Invoiced</v>
      </c>
      <c r="I706" t="str">
        <f>Raw_Data!F706</f>
        <v>SMS/ Tele-Out</v>
      </c>
      <c r="J706" t="str">
        <f>Raw_Data!G706</f>
        <v>Database Activity(Teleout/SMS)</v>
      </c>
      <c r="K706" t="str">
        <f>IFERROR(VLOOKUP(J706,Source_Assumptions!$A:$C,2,0),"Unmapped")</f>
        <v>Outbound/Database</v>
      </c>
      <c r="L706" t="str">
        <f>Raw_Data!H706</f>
        <v>5TH GEN CITY PE</v>
      </c>
      <c r="M706" t="str">
        <f>IFERROR(VLOOKUP(L706,Model_Assumptions!$A:$D,2,0),"Unmapped")</f>
        <v>Mid-size Sedan</v>
      </c>
      <c r="N706" t="str">
        <f>IFERROR(VLOOKUP(L706,Model_Assumptions!$A:$D,3,0),"Unmapped")</f>
        <v>Petrol</v>
      </c>
      <c r="O706">
        <f>IFERROR(VLOOKUP(L706,Model_Assumptions!$A:$D,4,0),0)</f>
        <v>1250000</v>
      </c>
      <c r="P706">
        <f>IFERROR(VLOOKUP(J706,Source_Assumptions!$A:$C,3,0),0)</f>
        <v>250</v>
      </c>
    </row>
    <row r="707" spans="1:16" x14ac:dyDescent="0.3">
      <c r="A707">
        <f>Raw_Data!A707</f>
        <v>706</v>
      </c>
      <c r="B707" s="2">
        <f>Raw_Data!B707</f>
        <v>45133</v>
      </c>
      <c r="C707">
        <f>YEAR(Raw_Data!B707)</f>
        <v>2023</v>
      </c>
      <c r="D707" t="str">
        <f>IF(MONTH(Raw_Data!B707)&gt;=4,YEAR(Raw_Data!B707)&amp;"-"&amp;RIGHT(YEAR(Raw_Data!B707)+1,2),YEAR(Raw_Data!B707)-1&amp;"-"&amp;RIGHT(YEAR(Raw_Data!B707),2))</f>
        <v>2023-24</v>
      </c>
      <c r="E707" t="str">
        <f>"Q"&amp;ROUNDUP(MONTH(Raw_Data!B707)/3,0)</f>
        <v>Q3</v>
      </c>
      <c r="F707" t="str">
        <f>TEXT(Raw_Data!B707,"mmm")</f>
        <v>Jul</v>
      </c>
      <c r="G707" t="str">
        <f>TEXT(Raw_Data!B707,"ddd")</f>
        <v>Wed</v>
      </c>
      <c r="H707" t="str">
        <f>Raw_Data!D707</f>
        <v>Invoiced</v>
      </c>
      <c r="I707" t="str">
        <f>Raw_Data!F707</f>
        <v>Tele-in</v>
      </c>
      <c r="J707" t="str">
        <f>Raw_Data!G707</f>
        <v>Dealer Webpage Tele-In</v>
      </c>
      <c r="K707" t="str">
        <f>IFERROR(VLOOKUP(J707,Source_Assumptions!$A:$C,2,0),"Unmapped")</f>
        <v>Digital - Owned</v>
      </c>
      <c r="L707" t="str">
        <f>Raw_Data!H707</f>
        <v>AMAZE Petrol</v>
      </c>
      <c r="M707" t="str">
        <f>IFERROR(VLOOKUP(L707,Model_Assumptions!$A:$D,2,0),"Unmapped")</f>
        <v>Sub-4m Sedan</v>
      </c>
      <c r="N707" t="str">
        <f>IFERROR(VLOOKUP(L707,Model_Assumptions!$A:$D,3,0),"Unmapped")</f>
        <v>Petrol</v>
      </c>
      <c r="O707">
        <f>IFERROR(VLOOKUP(L707,Model_Assumptions!$A:$D,4,0),0)</f>
        <v>850000</v>
      </c>
      <c r="P707">
        <f>IFERROR(VLOOKUP(J707,Source_Assumptions!$A:$C,3,0),0)</f>
        <v>300</v>
      </c>
    </row>
    <row r="708" spans="1:16" x14ac:dyDescent="0.3">
      <c r="A708">
        <f>Raw_Data!A708</f>
        <v>707</v>
      </c>
      <c r="B708" s="2">
        <f>Raw_Data!B708</f>
        <v>45134</v>
      </c>
      <c r="C708">
        <f>YEAR(Raw_Data!B708)</f>
        <v>2023</v>
      </c>
      <c r="D708" t="str">
        <f>IF(MONTH(Raw_Data!B708)&gt;=4,YEAR(Raw_Data!B708)&amp;"-"&amp;RIGHT(YEAR(Raw_Data!B708)+1,2),YEAR(Raw_Data!B708)-1&amp;"-"&amp;RIGHT(YEAR(Raw_Data!B708),2))</f>
        <v>2023-24</v>
      </c>
      <c r="E708" t="str">
        <f>"Q"&amp;ROUNDUP(MONTH(Raw_Data!B708)/3,0)</f>
        <v>Q3</v>
      </c>
      <c r="F708" t="str">
        <f>TEXT(Raw_Data!B708,"mmm")</f>
        <v>Jul</v>
      </c>
      <c r="G708" t="str">
        <f>TEXT(Raw_Data!B708,"ddd")</f>
        <v>Thu</v>
      </c>
      <c r="H708" t="str">
        <f>Raw_Data!D708</f>
        <v>Invoiced</v>
      </c>
      <c r="I708" t="str">
        <f>Raw_Data!F708</f>
        <v>SMS/ Tele-Out</v>
      </c>
      <c r="J708" t="str">
        <f>Raw_Data!G708</f>
        <v>I-BAP Referral</v>
      </c>
      <c r="K708" t="str">
        <f>IFERROR(VLOOKUP(J708,Source_Assumptions!$A:$C,2,0),"Unmapped")</f>
        <v>Referral (Insurance/Banking Partner)</v>
      </c>
      <c r="L708" t="str">
        <f>Raw_Data!H708</f>
        <v>AMAZE Petrol</v>
      </c>
      <c r="M708" t="str">
        <f>IFERROR(VLOOKUP(L708,Model_Assumptions!$A:$D,2,0),"Unmapped")</f>
        <v>Sub-4m Sedan</v>
      </c>
      <c r="N708" t="str">
        <f>IFERROR(VLOOKUP(L708,Model_Assumptions!$A:$D,3,0),"Unmapped")</f>
        <v>Petrol</v>
      </c>
      <c r="O708">
        <f>IFERROR(VLOOKUP(L708,Model_Assumptions!$A:$D,4,0),0)</f>
        <v>850000</v>
      </c>
      <c r="P708">
        <f>IFERROR(VLOOKUP(J708,Source_Assumptions!$A:$C,3,0),0)</f>
        <v>150</v>
      </c>
    </row>
    <row r="709" spans="1:16" x14ac:dyDescent="0.3">
      <c r="A709">
        <f>Raw_Data!A709</f>
        <v>708</v>
      </c>
      <c r="B709" s="2">
        <f>Raw_Data!B709</f>
        <v>45134</v>
      </c>
      <c r="C709">
        <f>YEAR(Raw_Data!B709)</f>
        <v>2023</v>
      </c>
      <c r="D709" t="str">
        <f>IF(MONTH(Raw_Data!B709)&gt;=4,YEAR(Raw_Data!B709)&amp;"-"&amp;RIGHT(YEAR(Raw_Data!B709)+1,2),YEAR(Raw_Data!B709)-1&amp;"-"&amp;RIGHT(YEAR(Raw_Data!B709),2))</f>
        <v>2023-24</v>
      </c>
      <c r="E709" t="str">
        <f>"Q"&amp;ROUNDUP(MONTH(Raw_Data!B709)/3,0)</f>
        <v>Q3</v>
      </c>
      <c r="F709" t="str">
        <f>TEXT(Raw_Data!B709,"mmm")</f>
        <v>Jul</v>
      </c>
      <c r="G709" t="str">
        <f>TEXT(Raw_Data!B709,"ddd")</f>
        <v>Thu</v>
      </c>
      <c r="H709" t="str">
        <f>Raw_Data!D709</f>
        <v>Invoiced</v>
      </c>
      <c r="I709" t="str">
        <f>Raw_Data!F709</f>
        <v>Walk-in Showroom</v>
      </c>
      <c r="J709" t="str">
        <f>Raw_Data!G709</f>
        <v>Adver. (TVC/Print/Hoarding/FM)</v>
      </c>
      <c r="K709" t="str">
        <f>IFERROR(VLOOKUP(J709,Source_Assumptions!$A:$C,2,0),"Unmapped")</f>
        <v>Traditional Advertising</v>
      </c>
      <c r="L709" t="str">
        <f>Raw_Data!H709</f>
        <v>AMAZE Petrol</v>
      </c>
      <c r="M709" t="str">
        <f>IFERROR(VLOOKUP(L709,Model_Assumptions!$A:$D,2,0),"Unmapped")</f>
        <v>Sub-4m Sedan</v>
      </c>
      <c r="N709" t="str">
        <f>IFERROR(VLOOKUP(L709,Model_Assumptions!$A:$D,3,0),"Unmapped")</f>
        <v>Petrol</v>
      </c>
      <c r="O709">
        <f>IFERROR(VLOOKUP(L709,Model_Assumptions!$A:$D,4,0),0)</f>
        <v>850000</v>
      </c>
      <c r="P709">
        <f>IFERROR(VLOOKUP(J709,Source_Assumptions!$A:$C,3,0),0)</f>
        <v>1200</v>
      </c>
    </row>
    <row r="710" spans="1:16" x14ac:dyDescent="0.3">
      <c r="A710">
        <f>Raw_Data!A710</f>
        <v>709</v>
      </c>
      <c r="B710" s="2">
        <f>Raw_Data!B710</f>
        <v>45135</v>
      </c>
      <c r="C710">
        <f>YEAR(Raw_Data!B710)</f>
        <v>2023</v>
      </c>
      <c r="D710" t="str">
        <f>IF(MONTH(Raw_Data!B710)&gt;=4,YEAR(Raw_Data!B710)&amp;"-"&amp;RIGHT(YEAR(Raw_Data!B710)+1,2),YEAR(Raw_Data!B710)-1&amp;"-"&amp;RIGHT(YEAR(Raw_Data!B710),2))</f>
        <v>2023-24</v>
      </c>
      <c r="E710" t="str">
        <f>"Q"&amp;ROUNDUP(MONTH(Raw_Data!B710)/3,0)</f>
        <v>Q3</v>
      </c>
      <c r="F710" t="str">
        <f>TEXT(Raw_Data!B710,"mmm")</f>
        <v>Jul</v>
      </c>
      <c r="G710" t="str">
        <f>TEXT(Raw_Data!B710,"ddd")</f>
        <v>Fri</v>
      </c>
      <c r="H710" t="str">
        <f>Raw_Data!D710</f>
        <v>Invoiced</v>
      </c>
      <c r="I710" t="str">
        <f>Raw_Data!F710</f>
        <v>SMS/ Tele-Out</v>
      </c>
      <c r="J710" t="str">
        <f>Raw_Data!G710</f>
        <v>Database Activity(Teleout/SMS)</v>
      </c>
      <c r="K710" t="str">
        <f>IFERROR(VLOOKUP(J710,Source_Assumptions!$A:$C,2,0),"Unmapped")</f>
        <v>Outbound/Database</v>
      </c>
      <c r="L710" t="str">
        <f>Raw_Data!H710</f>
        <v>5TH GEN CITY PE</v>
      </c>
      <c r="M710" t="str">
        <f>IFERROR(VLOOKUP(L710,Model_Assumptions!$A:$D,2,0),"Unmapped")</f>
        <v>Mid-size Sedan</v>
      </c>
      <c r="N710" t="str">
        <f>IFERROR(VLOOKUP(L710,Model_Assumptions!$A:$D,3,0),"Unmapped")</f>
        <v>Petrol</v>
      </c>
      <c r="O710">
        <f>IFERROR(VLOOKUP(L710,Model_Assumptions!$A:$D,4,0),0)</f>
        <v>1250000</v>
      </c>
      <c r="P710">
        <f>IFERROR(VLOOKUP(J710,Source_Assumptions!$A:$C,3,0),0)</f>
        <v>250</v>
      </c>
    </row>
    <row r="711" spans="1:16" x14ac:dyDescent="0.3">
      <c r="A711">
        <f>Raw_Data!A711</f>
        <v>710</v>
      </c>
      <c r="B711" s="2">
        <f>Raw_Data!B711</f>
        <v>45135</v>
      </c>
      <c r="C711">
        <f>YEAR(Raw_Data!B711)</f>
        <v>2023</v>
      </c>
      <c r="D711" t="str">
        <f>IF(MONTH(Raw_Data!B711)&gt;=4,YEAR(Raw_Data!B711)&amp;"-"&amp;RIGHT(YEAR(Raw_Data!B711)+1,2),YEAR(Raw_Data!B711)-1&amp;"-"&amp;RIGHT(YEAR(Raw_Data!B711),2))</f>
        <v>2023-24</v>
      </c>
      <c r="E711" t="str">
        <f>"Q"&amp;ROUNDUP(MONTH(Raw_Data!B711)/3,0)</f>
        <v>Q3</v>
      </c>
      <c r="F711" t="str">
        <f>TEXT(Raw_Data!B711,"mmm")</f>
        <v>Jul</v>
      </c>
      <c r="G711" t="str">
        <f>TEXT(Raw_Data!B711,"ddd")</f>
        <v>Fri</v>
      </c>
      <c r="H711" t="str">
        <f>Raw_Data!D711</f>
        <v>Invoiced</v>
      </c>
      <c r="I711" t="str">
        <f>Raw_Data!F711</f>
        <v>Walk-in Showroom</v>
      </c>
      <c r="J711" t="str">
        <f>Raw_Data!G711</f>
        <v>Adver. (TVC/Print/Hoarding/FM)</v>
      </c>
      <c r="K711" t="str">
        <f>IFERROR(VLOOKUP(J711,Source_Assumptions!$A:$C,2,0),"Unmapped")</f>
        <v>Traditional Advertising</v>
      </c>
      <c r="L711" t="str">
        <f>Raw_Data!H711</f>
        <v>AMAZE Petrol</v>
      </c>
      <c r="M711" t="str">
        <f>IFERROR(VLOOKUP(L711,Model_Assumptions!$A:$D,2,0),"Unmapped")</f>
        <v>Sub-4m Sedan</v>
      </c>
      <c r="N711" t="str">
        <f>IFERROR(VLOOKUP(L711,Model_Assumptions!$A:$D,3,0),"Unmapped")</f>
        <v>Petrol</v>
      </c>
      <c r="O711">
        <f>IFERROR(VLOOKUP(L711,Model_Assumptions!$A:$D,4,0),0)</f>
        <v>850000</v>
      </c>
      <c r="P711">
        <f>IFERROR(VLOOKUP(J711,Source_Assumptions!$A:$C,3,0),0)</f>
        <v>1200</v>
      </c>
    </row>
    <row r="712" spans="1:16" x14ac:dyDescent="0.3">
      <c r="A712">
        <f>Raw_Data!A712</f>
        <v>711</v>
      </c>
      <c r="B712" s="2">
        <f>Raw_Data!B712</f>
        <v>45135</v>
      </c>
      <c r="C712">
        <f>YEAR(Raw_Data!B712)</f>
        <v>2023</v>
      </c>
      <c r="D712" t="str">
        <f>IF(MONTH(Raw_Data!B712)&gt;=4,YEAR(Raw_Data!B712)&amp;"-"&amp;RIGHT(YEAR(Raw_Data!B712)+1,2),YEAR(Raw_Data!B712)-1&amp;"-"&amp;RIGHT(YEAR(Raw_Data!B712),2))</f>
        <v>2023-24</v>
      </c>
      <c r="E712" t="str">
        <f>"Q"&amp;ROUNDUP(MONTH(Raw_Data!B712)/3,0)</f>
        <v>Q3</v>
      </c>
      <c r="F712" t="str">
        <f>TEXT(Raw_Data!B712,"mmm")</f>
        <v>Jul</v>
      </c>
      <c r="G712" t="str">
        <f>TEXT(Raw_Data!B712,"ddd")</f>
        <v>Fri</v>
      </c>
      <c r="H712" t="str">
        <f>Raw_Data!D712</f>
        <v>Invoiced</v>
      </c>
      <c r="I712" t="str">
        <f>Raw_Data!F712</f>
        <v>Tele-in</v>
      </c>
      <c r="J712" t="str">
        <f>Raw_Data!G712</f>
        <v>Dealer Webpage Tele-In</v>
      </c>
      <c r="K712" t="str">
        <f>IFERROR(VLOOKUP(J712,Source_Assumptions!$A:$C,2,0),"Unmapped")</f>
        <v>Digital - Owned</v>
      </c>
      <c r="L712" t="str">
        <f>Raw_Data!H712</f>
        <v>AMAZE Petrol</v>
      </c>
      <c r="M712" t="str">
        <f>IFERROR(VLOOKUP(L712,Model_Assumptions!$A:$D,2,0),"Unmapped")</f>
        <v>Sub-4m Sedan</v>
      </c>
      <c r="N712" t="str">
        <f>IFERROR(VLOOKUP(L712,Model_Assumptions!$A:$D,3,0),"Unmapped")</f>
        <v>Petrol</v>
      </c>
      <c r="O712">
        <f>IFERROR(VLOOKUP(L712,Model_Assumptions!$A:$D,4,0),0)</f>
        <v>850000</v>
      </c>
      <c r="P712">
        <f>IFERROR(VLOOKUP(J712,Source_Assumptions!$A:$C,3,0),0)</f>
        <v>300</v>
      </c>
    </row>
    <row r="713" spans="1:16" x14ac:dyDescent="0.3">
      <c r="A713">
        <f>Raw_Data!A713</f>
        <v>712</v>
      </c>
      <c r="B713" s="2">
        <f>Raw_Data!B713</f>
        <v>45136</v>
      </c>
      <c r="C713">
        <f>YEAR(Raw_Data!B713)</f>
        <v>2023</v>
      </c>
      <c r="D713" t="str">
        <f>IF(MONTH(Raw_Data!B713)&gt;=4,YEAR(Raw_Data!B713)&amp;"-"&amp;RIGHT(YEAR(Raw_Data!B713)+1,2),YEAR(Raw_Data!B713)-1&amp;"-"&amp;RIGHT(YEAR(Raw_Data!B713),2))</f>
        <v>2023-24</v>
      </c>
      <c r="E713" t="str">
        <f>"Q"&amp;ROUNDUP(MONTH(Raw_Data!B713)/3,0)</f>
        <v>Q3</v>
      </c>
      <c r="F713" t="str">
        <f>TEXT(Raw_Data!B713,"mmm")</f>
        <v>Jul</v>
      </c>
      <c r="G713" t="str">
        <f>TEXT(Raw_Data!B713,"ddd")</f>
        <v>Sat</v>
      </c>
      <c r="H713" t="str">
        <f>Raw_Data!D713</f>
        <v>Invoiced</v>
      </c>
      <c r="I713" t="str">
        <f>Raw_Data!F713</f>
        <v>Tele-in</v>
      </c>
      <c r="J713" t="str">
        <f>Raw_Data!G713</f>
        <v>I-BAP Referral</v>
      </c>
      <c r="K713" t="str">
        <f>IFERROR(VLOOKUP(J713,Source_Assumptions!$A:$C,2,0),"Unmapped")</f>
        <v>Referral (Insurance/Banking Partner)</v>
      </c>
      <c r="L713" t="str">
        <f>Raw_Data!H713</f>
        <v>5TH GEN CITY PE</v>
      </c>
      <c r="M713" t="str">
        <f>IFERROR(VLOOKUP(L713,Model_Assumptions!$A:$D,2,0),"Unmapped")</f>
        <v>Mid-size Sedan</v>
      </c>
      <c r="N713" t="str">
        <f>IFERROR(VLOOKUP(L713,Model_Assumptions!$A:$D,3,0),"Unmapped")</f>
        <v>Petrol</v>
      </c>
      <c r="O713">
        <f>IFERROR(VLOOKUP(L713,Model_Assumptions!$A:$D,4,0),0)</f>
        <v>1250000</v>
      </c>
      <c r="P713">
        <f>IFERROR(VLOOKUP(J713,Source_Assumptions!$A:$C,3,0),0)</f>
        <v>150</v>
      </c>
    </row>
    <row r="714" spans="1:16" x14ac:dyDescent="0.3">
      <c r="A714">
        <f>Raw_Data!A714</f>
        <v>713</v>
      </c>
      <c r="B714" s="2">
        <f>Raw_Data!B714</f>
        <v>45136</v>
      </c>
      <c r="C714">
        <f>YEAR(Raw_Data!B714)</f>
        <v>2023</v>
      </c>
      <c r="D714" t="str">
        <f>IF(MONTH(Raw_Data!B714)&gt;=4,YEAR(Raw_Data!B714)&amp;"-"&amp;RIGHT(YEAR(Raw_Data!B714)+1,2),YEAR(Raw_Data!B714)-1&amp;"-"&amp;RIGHT(YEAR(Raw_Data!B714),2))</f>
        <v>2023-24</v>
      </c>
      <c r="E714" t="str">
        <f>"Q"&amp;ROUNDUP(MONTH(Raw_Data!B714)/3,0)</f>
        <v>Q3</v>
      </c>
      <c r="F714" t="str">
        <f>TEXT(Raw_Data!B714,"mmm")</f>
        <v>Jul</v>
      </c>
      <c r="G714" t="str">
        <f>TEXT(Raw_Data!B714,"ddd")</f>
        <v>Sat</v>
      </c>
      <c r="H714" t="str">
        <f>Raw_Data!D714</f>
        <v>Invoiced</v>
      </c>
      <c r="I714" t="str">
        <f>Raw_Data!F714</f>
        <v>Walk-in Showroom</v>
      </c>
      <c r="J714" t="str">
        <f>Raw_Data!G714</f>
        <v>Adver. (TVC/Print/Hoarding/FM)</v>
      </c>
      <c r="K714" t="str">
        <f>IFERROR(VLOOKUP(J714,Source_Assumptions!$A:$C,2,0),"Unmapped")</f>
        <v>Traditional Advertising</v>
      </c>
      <c r="L714" t="str">
        <f>Raw_Data!H714</f>
        <v>AMAZE Petrol</v>
      </c>
      <c r="M714" t="str">
        <f>IFERROR(VLOOKUP(L714,Model_Assumptions!$A:$D,2,0),"Unmapped")</f>
        <v>Sub-4m Sedan</v>
      </c>
      <c r="N714" t="str">
        <f>IFERROR(VLOOKUP(L714,Model_Assumptions!$A:$D,3,0),"Unmapped")</f>
        <v>Petrol</v>
      </c>
      <c r="O714">
        <f>IFERROR(VLOOKUP(L714,Model_Assumptions!$A:$D,4,0),0)</f>
        <v>850000</v>
      </c>
      <c r="P714">
        <f>IFERROR(VLOOKUP(J714,Source_Assumptions!$A:$C,3,0),0)</f>
        <v>1200</v>
      </c>
    </row>
    <row r="715" spans="1:16" x14ac:dyDescent="0.3">
      <c r="A715">
        <f>Raw_Data!A715</f>
        <v>714</v>
      </c>
      <c r="B715" s="2">
        <f>Raw_Data!B715</f>
        <v>45138</v>
      </c>
      <c r="C715">
        <f>YEAR(Raw_Data!B715)</f>
        <v>2023</v>
      </c>
      <c r="D715" t="str">
        <f>IF(MONTH(Raw_Data!B715)&gt;=4,YEAR(Raw_Data!B715)&amp;"-"&amp;RIGHT(YEAR(Raw_Data!B715)+1,2),YEAR(Raw_Data!B715)-1&amp;"-"&amp;RIGHT(YEAR(Raw_Data!B715),2))</f>
        <v>2023-24</v>
      </c>
      <c r="E715" t="str">
        <f>"Q"&amp;ROUNDUP(MONTH(Raw_Data!B715)/3,0)</f>
        <v>Q3</v>
      </c>
      <c r="F715" t="str">
        <f>TEXT(Raw_Data!B715,"mmm")</f>
        <v>Jul</v>
      </c>
      <c r="G715" t="str">
        <f>TEXT(Raw_Data!B715,"ddd")</f>
        <v>Mon</v>
      </c>
      <c r="H715" t="str">
        <f>Raw_Data!D715</f>
        <v>Invoiced</v>
      </c>
      <c r="I715" t="str">
        <f>Raw_Data!F715</f>
        <v>Tele-in</v>
      </c>
      <c r="J715" t="str">
        <f>Raw_Data!G715</f>
        <v>Dealer Webpage Tele-In</v>
      </c>
      <c r="K715" t="str">
        <f>IFERROR(VLOOKUP(J715,Source_Assumptions!$A:$C,2,0),"Unmapped")</f>
        <v>Digital - Owned</v>
      </c>
      <c r="L715" t="str">
        <f>Raw_Data!H715</f>
        <v>5TH GEN CITY PE</v>
      </c>
      <c r="M715" t="str">
        <f>IFERROR(VLOOKUP(L715,Model_Assumptions!$A:$D,2,0),"Unmapped")</f>
        <v>Mid-size Sedan</v>
      </c>
      <c r="N715" t="str">
        <f>IFERROR(VLOOKUP(L715,Model_Assumptions!$A:$D,3,0),"Unmapped")</f>
        <v>Petrol</v>
      </c>
      <c r="O715">
        <f>IFERROR(VLOOKUP(L715,Model_Assumptions!$A:$D,4,0),0)</f>
        <v>1250000</v>
      </c>
      <c r="P715">
        <f>IFERROR(VLOOKUP(J715,Source_Assumptions!$A:$C,3,0),0)</f>
        <v>300</v>
      </c>
    </row>
    <row r="716" spans="1:16" x14ac:dyDescent="0.3">
      <c r="A716">
        <f>Raw_Data!A716</f>
        <v>715</v>
      </c>
      <c r="B716" s="2">
        <f>Raw_Data!B716</f>
        <v>45138</v>
      </c>
      <c r="C716">
        <f>YEAR(Raw_Data!B716)</f>
        <v>2023</v>
      </c>
      <c r="D716" t="str">
        <f>IF(MONTH(Raw_Data!B716)&gt;=4,YEAR(Raw_Data!B716)&amp;"-"&amp;RIGHT(YEAR(Raw_Data!B716)+1,2),YEAR(Raw_Data!B716)-1&amp;"-"&amp;RIGHT(YEAR(Raw_Data!B716),2))</f>
        <v>2023-24</v>
      </c>
      <c r="E716" t="str">
        <f>"Q"&amp;ROUNDUP(MONTH(Raw_Data!B716)/3,0)</f>
        <v>Q3</v>
      </c>
      <c r="F716" t="str">
        <f>TEXT(Raw_Data!B716,"mmm")</f>
        <v>Jul</v>
      </c>
      <c r="G716" t="str">
        <f>TEXT(Raw_Data!B716,"ddd")</f>
        <v>Mon</v>
      </c>
      <c r="H716" t="str">
        <f>Raw_Data!D716</f>
        <v>Invoiced</v>
      </c>
      <c r="I716" t="str">
        <f>Raw_Data!F716</f>
        <v>SMS/ Tele-Out</v>
      </c>
      <c r="J716" t="str">
        <f>Raw_Data!G716</f>
        <v>Database Activity(Teleout/SMS)</v>
      </c>
      <c r="K716" t="str">
        <f>IFERROR(VLOOKUP(J716,Source_Assumptions!$A:$C,2,0),"Unmapped")</f>
        <v>Outbound/Database</v>
      </c>
      <c r="L716" t="str">
        <f>Raw_Data!H716</f>
        <v>AMAZE Petrol</v>
      </c>
      <c r="M716" t="str">
        <f>IFERROR(VLOOKUP(L716,Model_Assumptions!$A:$D,2,0),"Unmapped")</f>
        <v>Sub-4m Sedan</v>
      </c>
      <c r="N716" t="str">
        <f>IFERROR(VLOOKUP(L716,Model_Assumptions!$A:$D,3,0),"Unmapped")</f>
        <v>Petrol</v>
      </c>
      <c r="O716">
        <f>IFERROR(VLOOKUP(L716,Model_Assumptions!$A:$D,4,0),0)</f>
        <v>850000</v>
      </c>
      <c r="P716">
        <f>IFERROR(VLOOKUP(J716,Source_Assumptions!$A:$C,3,0),0)</f>
        <v>250</v>
      </c>
    </row>
    <row r="717" spans="1:16" x14ac:dyDescent="0.3">
      <c r="A717">
        <f>Raw_Data!A717</f>
        <v>716</v>
      </c>
      <c r="B717" s="2">
        <f>Raw_Data!B717</f>
        <v>45138</v>
      </c>
      <c r="C717">
        <f>YEAR(Raw_Data!B717)</f>
        <v>2023</v>
      </c>
      <c r="D717" t="str">
        <f>IF(MONTH(Raw_Data!B717)&gt;=4,YEAR(Raw_Data!B717)&amp;"-"&amp;RIGHT(YEAR(Raw_Data!B717)+1,2),YEAR(Raw_Data!B717)-1&amp;"-"&amp;RIGHT(YEAR(Raw_Data!B717),2))</f>
        <v>2023-24</v>
      </c>
      <c r="E717" t="str">
        <f>"Q"&amp;ROUNDUP(MONTH(Raw_Data!B717)/3,0)</f>
        <v>Q3</v>
      </c>
      <c r="F717" t="str">
        <f>TEXT(Raw_Data!B717,"mmm")</f>
        <v>Jul</v>
      </c>
      <c r="G717" t="str">
        <f>TEXT(Raw_Data!B717,"ddd")</f>
        <v>Mon</v>
      </c>
      <c r="H717" t="str">
        <f>Raw_Data!D717</f>
        <v>Invoiced</v>
      </c>
      <c r="I717" t="str">
        <f>Raw_Data!F717</f>
        <v>Tele-in</v>
      </c>
      <c r="J717" t="str">
        <f>Raw_Data!G717</f>
        <v>Referral-CAM</v>
      </c>
      <c r="K717" t="str">
        <f>IFERROR(VLOOKUP(J717,Source_Assumptions!$A:$C,2,0),"Unmapped")</f>
        <v>Referral</v>
      </c>
      <c r="L717" t="str">
        <f>Raw_Data!H717</f>
        <v>AMAZE Petrol</v>
      </c>
      <c r="M717" t="str">
        <f>IFERROR(VLOOKUP(L717,Model_Assumptions!$A:$D,2,0),"Unmapped")</f>
        <v>Sub-4m Sedan</v>
      </c>
      <c r="N717" t="str">
        <f>IFERROR(VLOOKUP(L717,Model_Assumptions!$A:$D,3,0),"Unmapped")</f>
        <v>Petrol</v>
      </c>
      <c r="O717">
        <f>IFERROR(VLOOKUP(L717,Model_Assumptions!$A:$D,4,0),0)</f>
        <v>850000</v>
      </c>
      <c r="P717">
        <f>IFERROR(VLOOKUP(J717,Source_Assumptions!$A:$C,3,0),0)</f>
        <v>150</v>
      </c>
    </row>
    <row r="718" spans="1:16" x14ac:dyDescent="0.3">
      <c r="A718">
        <f>Raw_Data!A718</f>
        <v>717</v>
      </c>
      <c r="B718" s="2">
        <f>Raw_Data!B718</f>
        <v>45138</v>
      </c>
      <c r="C718">
        <f>YEAR(Raw_Data!B718)</f>
        <v>2023</v>
      </c>
      <c r="D718" t="str">
        <f>IF(MONTH(Raw_Data!B718)&gt;=4,YEAR(Raw_Data!B718)&amp;"-"&amp;RIGHT(YEAR(Raw_Data!B718)+1,2),YEAR(Raw_Data!B718)-1&amp;"-"&amp;RIGHT(YEAR(Raw_Data!B718),2))</f>
        <v>2023-24</v>
      </c>
      <c r="E718" t="str">
        <f>"Q"&amp;ROUNDUP(MONTH(Raw_Data!B718)/3,0)</f>
        <v>Q3</v>
      </c>
      <c r="F718" t="str">
        <f>TEXT(Raw_Data!B718,"mmm")</f>
        <v>Jul</v>
      </c>
      <c r="G718" t="str">
        <f>TEXT(Raw_Data!B718,"ddd")</f>
        <v>Mon</v>
      </c>
      <c r="H718" t="str">
        <f>Raw_Data!D718</f>
        <v>Invoiced</v>
      </c>
      <c r="I718" t="str">
        <f>Raw_Data!F718</f>
        <v>SMS/ Tele-Out</v>
      </c>
      <c r="J718" t="str">
        <f>Raw_Data!G718</f>
        <v>Database Activity(Teleout/SMS)</v>
      </c>
      <c r="K718" t="str">
        <f>IFERROR(VLOOKUP(J718,Source_Assumptions!$A:$C,2,0),"Unmapped")</f>
        <v>Outbound/Database</v>
      </c>
      <c r="L718" t="str">
        <f>Raw_Data!H718</f>
        <v>AMAZE Petrol</v>
      </c>
      <c r="M718" t="str">
        <f>IFERROR(VLOOKUP(L718,Model_Assumptions!$A:$D,2,0),"Unmapped")</f>
        <v>Sub-4m Sedan</v>
      </c>
      <c r="N718" t="str">
        <f>IFERROR(VLOOKUP(L718,Model_Assumptions!$A:$D,3,0),"Unmapped")</f>
        <v>Petrol</v>
      </c>
      <c r="O718">
        <f>IFERROR(VLOOKUP(L718,Model_Assumptions!$A:$D,4,0),0)</f>
        <v>850000</v>
      </c>
      <c r="P718">
        <f>IFERROR(VLOOKUP(J718,Source_Assumptions!$A:$C,3,0),0)</f>
        <v>250</v>
      </c>
    </row>
    <row r="719" spans="1:16" x14ac:dyDescent="0.3">
      <c r="A719">
        <f>Raw_Data!A719</f>
        <v>718</v>
      </c>
      <c r="B719" s="2">
        <f>Raw_Data!B719</f>
        <v>45138</v>
      </c>
      <c r="C719">
        <f>YEAR(Raw_Data!B719)</f>
        <v>2023</v>
      </c>
      <c r="D719" t="str">
        <f>IF(MONTH(Raw_Data!B719)&gt;=4,YEAR(Raw_Data!B719)&amp;"-"&amp;RIGHT(YEAR(Raw_Data!B719)+1,2),YEAR(Raw_Data!B719)-1&amp;"-"&amp;RIGHT(YEAR(Raw_Data!B719),2))</f>
        <v>2023-24</v>
      </c>
      <c r="E719" t="str">
        <f>"Q"&amp;ROUNDUP(MONTH(Raw_Data!B719)/3,0)</f>
        <v>Q3</v>
      </c>
      <c r="F719" t="str">
        <f>TEXT(Raw_Data!B719,"mmm")</f>
        <v>Jul</v>
      </c>
      <c r="G719" t="str">
        <f>TEXT(Raw_Data!B719,"ddd")</f>
        <v>Mon</v>
      </c>
      <c r="H719" t="str">
        <f>Raw_Data!D719</f>
        <v>Invoiced</v>
      </c>
      <c r="I719" t="str">
        <f>Raw_Data!F719</f>
        <v>Tele-in</v>
      </c>
      <c r="J719" t="str">
        <f>Raw_Data!G719</f>
        <v>Dealer Webpage Tele-In</v>
      </c>
      <c r="K719" t="str">
        <f>IFERROR(VLOOKUP(J719,Source_Assumptions!$A:$C,2,0),"Unmapped")</f>
        <v>Digital - Owned</v>
      </c>
      <c r="L719" t="str">
        <f>Raw_Data!H719</f>
        <v>AMAZE Petrol</v>
      </c>
      <c r="M719" t="str">
        <f>IFERROR(VLOOKUP(L719,Model_Assumptions!$A:$D,2,0),"Unmapped")</f>
        <v>Sub-4m Sedan</v>
      </c>
      <c r="N719" t="str">
        <f>IFERROR(VLOOKUP(L719,Model_Assumptions!$A:$D,3,0),"Unmapped")</f>
        <v>Petrol</v>
      </c>
      <c r="O719">
        <f>IFERROR(VLOOKUP(L719,Model_Assumptions!$A:$D,4,0),0)</f>
        <v>850000</v>
      </c>
      <c r="P719">
        <f>IFERROR(VLOOKUP(J719,Source_Assumptions!$A:$C,3,0),0)</f>
        <v>300</v>
      </c>
    </row>
    <row r="720" spans="1:16" x14ac:dyDescent="0.3">
      <c r="A720">
        <f>Raw_Data!A720</f>
        <v>719</v>
      </c>
      <c r="B720" s="2">
        <f>Raw_Data!B720</f>
        <v>45142</v>
      </c>
      <c r="C720">
        <f>YEAR(Raw_Data!B720)</f>
        <v>2023</v>
      </c>
      <c r="D720" t="str">
        <f>IF(MONTH(Raw_Data!B720)&gt;=4,YEAR(Raw_Data!B720)&amp;"-"&amp;RIGHT(YEAR(Raw_Data!B720)+1,2),YEAR(Raw_Data!B720)-1&amp;"-"&amp;RIGHT(YEAR(Raw_Data!B720),2))</f>
        <v>2023-24</v>
      </c>
      <c r="E720" t="str">
        <f>"Q"&amp;ROUNDUP(MONTH(Raw_Data!B720)/3,0)</f>
        <v>Q3</v>
      </c>
      <c r="F720" t="str">
        <f>TEXT(Raw_Data!B720,"mmm")</f>
        <v>Aug</v>
      </c>
      <c r="G720" t="str">
        <f>TEXT(Raw_Data!B720,"ddd")</f>
        <v>Fri</v>
      </c>
      <c r="H720" t="str">
        <f>Raw_Data!D720</f>
        <v>Invoiced</v>
      </c>
      <c r="I720" t="str">
        <f>Raw_Data!F720</f>
        <v>Walk-in Showroom</v>
      </c>
      <c r="J720" t="str">
        <f>Raw_Data!G720</f>
        <v>Adver. (TVC/Print/Hoarding/FM)</v>
      </c>
      <c r="K720" t="str">
        <f>IFERROR(VLOOKUP(J720,Source_Assumptions!$A:$C,2,0),"Unmapped")</f>
        <v>Traditional Advertising</v>
      </c>
      <c r="L720" t="str">
        <f>Raw_Data!H720</f>
        <v>5TH GEN CITY PE</v>
      </c>
      <c r="M720" t="str">
        <f>IFERROR(VLOOKUP(L720,Model_Assumptions!$A:$D,2,0),"Unmapped")</f>
        <v>Mid-size Sedan</v>
      </c>
      <c r="N720" t="str">
        <f>IFERROR(VLOOKUP(L720,Model_Assumptions!$A:$D,3,0),"Unmapped")</f>
        <v>Petrol</v>
      </c>
      <c r="O720">
        <f>IFERROR(VLOOKUP(L720,Model_Assumptions!$A:$D,4,0),0)</f>
        <v>1250000</v>
      </c>
      <c r="P720">
        <f>IFERROR(VLOOKUP(J720,Source_Assumptions!$A:$C,3,0),0)</f>
        <v>1200</v>
      </c>
    </row>
    <row r="721" spans="1:16" x14ac:dyDescent="0.3">
      <c r="A721">
        <f>Raw_Data!A721</f>
        <v>720</v>
      </c>
      <c r="B721" s="2">
        <f>Raw_Data!B721</f>
        <v>45145</v>
      </c>
      <c r="C721">
        <f>YEAR(Raw_Data!B721)</f>
        <v>2023</v>
      </c>
      <c r="D721" t="str">
        <f>IF(MONTH(Raw_Data!B721)&gt;=4,YEAR(Raw_Data!B721)&amp;"-"&amp;RIGHT(YEAR(Raw_Data!B721)+1,2),YEAR(Raw_Data!B721)-1&amp;"-"&amp;RIGHT(YEAR(Raw_Data!B721),2))</f>
        <v>2023-24</v>
      </c>
      <c r="E721" t="str">
        <f>"Q"&amp;ROUNDUP(MONTH(Raw_Data!B721)/3,0)</f>
        <v>Q3</v>
      </c>
      <c r="F721" t="str">
        <f>TEXT(Raw_Data!B721,"mmm")</f>
        <v>Aug</v>
      </c>
      <c r="G721" t="str">
        <f>TEXT(Raw_Data!B721,"ddd")</f>
        <v>Mon</v>
      </c>
      <c r="H721" t="str">
        <f>Raw_Data!D721</f>
        <v>Invoiced</v>
      </c>
      <c r="I721" t="str">
        <f>Raw_Data!F721</f>
        <v>SMS/ Tele-Out</v>
      </c>
      <c r="J721" t="str">
        <f>Raw_Data!G721</f>
        <v>Database Activity(Teleout/SMS)</v>
      </c>
      <c r="K721" t="str">
        <f>IFERROR(VLOOKUP(J721,Source_Assumptions!$A:$C,2,0),"Unmapped")</f>
        <v>Outbound/Database</v>
      </c>
      <c r="L721" t="str">
        <f>Raw_Data!H721</f>
        <v>AMAZE Petrol</v>
      </c>
      <c r="M721" t="str">
        <f>IFERROR(VLOOKUP(L721,Model_Assumptions!$A:$D,2,0),"Unmapped")</f>
        <v>Sub-4m Sedan</v>
      </c>
      <c r="N721" t="str">
        <f>IFERROR(VLOOKUP(L721,Model_Assumptions!$A:$D,3,0),"Unmapped")</f>
        <v>Petrol</v>
      </c>
      <c r="O721">
        <f>IFERROR(VLOOKUP(L721,Model_Assumptions!$A:$D,4,0),0)</f>
        <v>850000</v>
      </c>
      <c r="P721">
        <f>IFERROR(VLOOKUP(J721,Source_Assumptions!$A:$C,3,0),0)</f>
        <v>250</v>
      </c>
    </row>
    <row r="722" spans="1:16" x14ac:dyDescent="0.3">
      <c r="A722">
        <f>Raw_Data!A722</f>
        <v>721</v>
      </c>
      <c r="B722" s="2">
        <f>Raw_Data!B722</f>
        <v>45145</v>
      </c>
      <c r="C722">
        <f>YEAR(Raw_Data!B722)</f>
        <v>2023</v>
      </c>
      <c r="D722" t="str">
        <f>IF(MONTH(Raw_Data!B722)&gt;=4,YEAR(Raw_Data!B722)&amp;"-"&amp;RIGHT(YEAR(Raw_Data!B722)+1,2),YEAR(Raw_Data!B722)-1&amp;"-"&amp;RIGHT(YEAR(Raw_Data!B722),2))</f>
        <v>2023-24</v>
      </c>
      <c r="E722" t="str">
        <f>"Q"&amp;ROUNDUP(MONTH(Raw_Data!B722)/3,0)</f>
        <v>Q3</v>
      </c>
      <c r="F722" t="str">
        <f>TEXT(Raw_Data!B722,"mmm")</f>
        <v>Aug</v>
      </c>
      <c r="G722" t="str">
        <f>TEXT(Raw_Data!B722,"ddd")</f>
        <v>Mon</v>
      </c>
      <c r="H722" t="str">
        <f>Raw_Data!D722</f>
        <v>Invoiced</v>
      </c>
      <c r="I722" t="str">
        <f>Raw_Data!F722</f>
        <v>Tele-in</v>
      </c>
      <c r="J722" t="str">
        <f>Raw_Data!G722</f>
        <v>Referral-CAM</v>
      </c>
      <c r="K722" t="str">
        <f>IFERROR(VLOOKUP(J722,Source_Assumptions!$A:$C,2,0),"Unmapped")</f>
        <v>Referral</v>
      </c>
      <c r="L722" t="str">
        <f>Raw_Data!H722</f>
        <v>5TH GEN CITY e:HEV</v>
      </c>
      <c r="M722" t="str">
        <f>IFERROR(VLOOKUP(L722,Model_Assumptions!$A:$D,2,0),"Unmapped")</f>
        <v>Mid-size Sedan</v>
      </c>
      <c r="N722" t="str">
        <f>IFERROR(VLOOKUP(L722,Model_Assumptions!$A:$D,3,0),"Unmapped")</f>
        <v>Hybrid</v>
      </c>
      <c r="O722">
        <f>IFERROR(VLOOKUP(L722,Model_Assumptions!$A:$D,4,0),0)</f>
        <v>1950000</v>
      </c>
      <c r="P722">
        <f>IFERROR(VLOOKUP(J722,Source_Assumptions!$A:$C,3,0),0)</f>
        <v>150</v>
      </c>
    </row>
    <row r="723" spans="1:16" x14ac:dyDescent="0.3">
      <c r="A723">
        <f>Raw_Data!A723</f>
        <v>722</v>
      </c>
      <c r="B723" s="2">
        <f>Raw_Data!B723</f>
        <v>45147</v>
      </c>
      <c r="C723">
        <f>YEAR(Raw_Data!B723)</f>
        <v>2023</v>
      </c>
      <c r="D723" t="str">
        <f>IF(MONTH(Raw_Data!B723)&gt;=4,YEAR(Raw_Data!B723)&amp;"-"&amp;RIGHT(YEAR(Raw_Data!B723)+1,2),YEAR(Raw_Data!B723)-1&amp;"-"&amp;RIGHT(YEAR(Raw_Data!B723),2))</f>
        <v>2023-24</v>
      </c>
      <c r="E723" t="str">
        <f>"Q"&amp;ROUNDUP(MONTH(Raw_Data!B723)/3,0)</f>
        <v>Q3</v>
      </c>
      <c r="F723" t="str">
        <f>TEXT(Raw_Data!B723,"mmm")</f>
        <v>Aug</v>
      </c>
      <c r="G723" t="str">
        <f>TEXT(Raw_Data!B723,"ddd")</f>
        <v>Wed</v>
      </c>
      <c r="H723" t="str">
        <f>Raw_Data!D723</f>
        <v>Invoiced</v>
      </c>
      <c r="I723" t="str">
        <f>Raw_Data!F723</f>
        <v>Walk-in Showroom</v>
      </c>
      <c r="J723" t="str">
        <f>Raw_Data!G723</f>
        <v>Adver. (TVC/Print/Hoarding/FM)</v>
      </c>
      <c r="K723" t="str">
        <f>IFERROR(VLOOKUP(J723,Source_Assumptions!$A:$C,2,0),"Unmapped")</f>
        <v>Traditional Advertising</v>
      </c>
      <c r="L723" t="str">
        <f>Raw_Data!H723</f>
        <v>AMAZE Petrol</v>
      </c>
      <c r="M723" t="str">
        <f>IFERROR(VLOOKUP(L723,Model_Assumptions!$A:$D,2,0),"Unmapped")</f>
        <v>Sub-4m Sedan</v>
      </c>
      <c r="N723" t="str">
        <f>IFERROR(VLOOKUP(L723,Model_Assumptions!$A:$D,3,0),"Unmapped")</f>
        <v>Petrol</v>
      </c>
      <c r="O723">
        <f>IFERROR(VLOOKUP(L723,Model_Assumptions!$A:$D,4,0),0)</f>
        <v>850000</v>
      </c>
      <c r="P723">
        <f>IFERROR(VLOOKUP(J723,Source_Assumptions!$A:$C,3,0),0)</f>
        <v>1200</v>
      </c>
    </row>
    <row r="724" spans="1:16" x14ac:dyDescent="0.3">
      <c r="A724">
        <f>Raw_Data!A724</f>
        <v>723</v>
      </c>
      <c r="B724" s="2">
        <f>Raw_Data!B724</f>
        <v>45147</v>
      </c>
      <c r="C724">
        <f>YEAR(Raw_Data!B724)</f>
        <v>2023</v>
      </c>
      <c r="D724" t="str">
        <f>IF(MONTH(Raw_Data!B724)&gt;=4,YEAR(Raw_Data!B724)&amp;"-"&amp;RIGHT(YEAR(Raw_Data!B724)+1,2),YEAR(Raw_Data!B724)-1&amp;"-"&amp;RIGHT(YEAR(Raw_Data!B724),2))</f>
        <v>2023-24</v>
      </c>
      <c r="E724" t="str">
        <f>"Q"&amp;ROUNDUP(MONTH(Raw_Data!B724)/3,0)</f>
        <v>Q3</v>
      </c>
      <c r="F724" t="str">
        <f>TEXT(Raw_Data!B724,"mmm")</f>
        <v>Aug</v>
      </c>
      <c r="G724" t="str">
        <f>TEXT(Raw_Data!B724,"ddd")</f>
        <v>Wed</v>
      </c>
      <c r="H724" t="str">
        <f>Raw_Data!D724</f>
        <v>Invoiced</v>
      </c>
      <c r="I724" t="str">
        <f>Raw_Data!F724</f>
        <v>Web Lead</v>
      </c>
      <c r="J724" t="str">
        <f>Raw_Data!G724</f>
        <v>Web</v>
      </c>
      <c r="K724" t="str">
        <f>IFERROR(VLOOKUP(J724,Source_Assumptions!$A:$C,2,0),"Unmapped")</f>
        <v>Digital - Owned</v>
      </c>
      <c r="L724" t="str">
        <f>Raw_Data!H724</f>
        <v>5TH GEN CITY PE</v>
      </c>
      <c r="M724" t="str">
        <f>IFERROR(VLOOKUP(L724,Model_Assumptions!$A:$D,2,0),"Unmapped")</f>
        <v>Mid-size Sedan</v>
      </c>
      <c r="N724" t="str">
        <f>IFERROR(VLOOKUP(L724,Model_Assumptions!$A:$D,3,0),"Unmapped")</f>
        <v>Petrol</v>
      </c>
      <c r="O724">
        <f>IFERROR(VLOOKUP(L724,Model_Assumptions!$A:$D,4,0),0)</f>
        <v>1250000</v>
      </c>
      <c r="P724">
        <f>IFERROR(VLOOKUP(J724,Source_Assumptions!$A:$C,3,0),0)</f>
        <v>300</v>
      </c>
    </row>
    <row r="725" spans="1:16" x14ac:dyDescent="0.3">
      <c r="A725">
        <f>Raw_Data!A725</f>
        <v>724</v>
      </c>
      <c r="B725" s="2">
        <f>Raw_Data!B725</f>
        <v>45147</v>
      </c>
      <c r="C725">
        <f>YEAR(Raw_Data!B725)</f>
        <v>2023</v>
      </c>
      <c r="D725" t="str">
        <f>IF(MONTH(Raw_Data!B725)&gt;=4,YEAR(Raw_Data!B725)&amp;"-"&amp;RIGHT(YEAR(Raw_Data!B725)+1,2),YEAR(Raw_Data!B725)-1&amp;"-"&amp;RIGHT(YEAR(Raw_Data!B725),2))</f>
        <v>2023-24</v>
      </c>
      <c r="E725" t="str">
        <f>"Q"&amp;ROUNDUP(MONTH(Raw_Data!B725)/3,0)</f>
        <v>Q3</v>
      </c>
      <c r="F725" t="str">
        <f>TEXT(Raw_Data!B725,"mmm")</f>
        <v>Aug</v>
      </c>
      <c r="G725" t="str">
        <f>TEXT(Raw_Data!B725,"ddd")</f>
        <v>Wed</v>
      </c>
      <c r="H725" t="str">
        <f>Raw_Data!D725</f>
        <v>Invoiced</v>
      </c>
      <c r="I725" t="str">
        <f>Raw_Data!F725</f>
        <v>Tele-in</v>
      </c>
      <c r="J725" t="str">
        <f>Raw_Data!G725</f>
        <v>Referral-CAM</v>
      </c>
      <c r="K725" t="str">
        <f>IFERROR(VLOOKUP(J725,Source_Assumptions!$A:$C,2,0),"Unmapped")</f>
        <v>Referral</v>
      </c>
      <c r="L725" t="str">
        <f>Raw_Data!H725</f>
        <v>5TH GEN CITY PE</v>
      </c>
      <c r="M725" t="str">
        <f>IFERROR(VLOOKUP(L725,Model_Assumptions!$A:$D,2,0),"Unmapped")</f>
        <v>Mid-size Sedan</v>
      </c>
      <c r="N725" t="str">
        <f>IFERROR(VLOOKUP(L725,Model_Assumptions!$A:$D,3,0),"Unmapped")</f>
        <v>Petrol</v>
      </c>
      <c r="O725">
        <f>IFERROR(VLOOKUP(L725,Model_Assumptions!$A:$D,4,0),0)</f>
        <v>1250000</v>
      </c>
      <c r="P725">
        <f>IFERROR(VLOOKUP(J725,Source_Assumptions!$A:$C,3,0),0)</f>
        <v>150</v>
      </c>
    </row>
    <row r="726" spans="1:16" x14ac:dyDescent="0.3">
      <c r="A726">
        <f>Raw_Data!A726</f>
        <v>725</v>
      </c>
      <c r="B726" s="2">
        <f>Raw_Data!B726</f>
        <v>45148</v>
      </c>
      <c r="C726">
        <f>YEAR(Raw_Data!B726)</f>
        <v>2023</v>
      </c>
      <c r="D726" t="str">
        <f>IF(MONTH(Raw_Data!B726)&gt;=4,YEAR(Raw_Data!B726)&amp;"-"&amp;RIGHT(YEAR(Raw_Data!B726)+1,2),YEAR(Raw_Data!B726)-1&amp;"-"&amp;RIGHT(YEAR(Raw_Data!B726),2))</f>
        <v>2023-24</v>
      </c>
      <c r="E726" t="str">
        <f>"Q"&amp;ROUNDUP(MONTH(Raw_Data!B726)/3,0)</f>
        <v>Q3</v>
      </c>
      <c r="F726" t="str">
        <f>TEXT(Raw_Data!B726,"mmm")</f>
        <v>Aug</v>
      </c>
      <c r="G726" t="str">
        <f>TEXT(Raw_Data!B726,"ddd")</f>
        <v>Thu</v>
      </c>
      <c r="H726" t="str">
        <f>Raw_Data!D726</f>
        <v>Invoiced</v>
      </c>
      <c r="I726" t="str">
        <f>Raw_Data!F726</f>
        <v>Tele-in</v>
      </c>
      <c r="J726" t="str">
        <f>Raw_Data!G726</f>
        <v>Dealer Webpage Tele-In</v>
      </c>
      <c r="K726" t="str">
        <f>IFERROR(VLOOKUP(J726,Source_Assumptions!$A:$C,2,0),"Unmapped")</f>
        <v>Digital - Owned</v>
      </c>
      <c r="L726" t="str">
        <f>Raw_Data!H726</f>
        <v>5TH GEN CITY PE</v>
      </c>
      <c r="M726" t="str">
        <f>IFERROR(VLOOKUP(L726,Model_Assumptions!$A:$D,2,0),"Unmapped")</f>
        <v>Mid-size Sedan</v>
      </c>
      <c r="N726" t="str">
        <f>IFERROR(VLOOKUP(L726,Model_Assumptions!$A:$D,3,0),"Unmapped")</f>
        <v>Petrol</v>
      </c>
      <c r="O726">
        <f>IFERROR(VLOOKUP(L726,Model_Assumptions!$A:$D,4,0),0)</f>
        <v>1250000</v>
      </c>
      <c r="P726">
        <f>IFERROR(VLOOKUP(J726,Source_Assumptions!$A:$C,3,0),0)</f>
        <v>300</v>
      </c>
    </row>
    <row r="727" spans="1:16" x14ac:dyDescent="0.3">
      <c r="A727">
        <f>Raw_Data!A727</f>
        <v>726</v>
      </c>
      <c r="B727" s="2">
        <f>Raw_Data!B727</f>
        <v>45149</v>
      </c>
      <c r="C727">
        <f>YEAR(Raw_Data!B727)</f>
        <v>2023</v>
      </c>
      <c r="D727" t="str">
        <f>IF(MONTH(Raw_Data!B727)&gt;=4,YEAR(Raw_Data!B727)&amp;"-"&amp;RIGHT(YEAR(Raw_Data!B727)+1,2),YEAR(Raw_Data!B727)-1&amp;"-"&amp;RIGHT(YEAR(Raw_Data!B727),2))</f>
        <v>2023-24</v>
      </c>
      <c r="E727" t="str">
        <f>"Q"&amp;ROUNDUP(MONTH(Raw_Data!B727)/3,0)</f>
        <v>Q3</v>
      </c>
      <c r="F727" t="str">
        <f>TEXT(Raw_Data!B727,"mmm")</f>
        <v>Aug</v>
      </c>
      <c r="G727" t="str">
        <f>TEXT(Raw_Data!B727,"ddd")</f>
        <v>Fri</v>
      </c>
      <c r="H727" t="str">
        <f>Raw_Data!D727</f>
        <v>Invoiced</v>
      </c>
      <c r="I727" t="str">
        <f>Raw_Data!F727</f>
        <v>SMS/ Tele-Out</v>
      </c>
      <c r="J727" t="str">
        <f>Raw_Data!G727</f>
        <v>Database Activity(Teleout/SMS)</v>
      </c>
      <c r="K727" t="str">
        <f>IFERROR(VLOOKUP(J727,Source_Assumptions!$A:$C,2,0),"Unmapped")</f>
        <v>Outbound/Database</v>
      </c>
      <c r="L727" t="str">
        <f>Raw_Data!H727</f>
        <v>AMAZE Petrol</v>
      </c>
      <c r="M727" t="str">
        <f>IFERROR(VLOOKUP(L727,Model_Assumptions!$A:$D,2,0),"Unmapped")</f>
        <v>Sub-4m Sedan</v>
      </c>
      <c r="N727" t="str">
        <f>IFERROR(VLOOKUP(L727,Model_Assumptions!$A:$D,3,0),"Unmapped")</f>
        <v>Petrol</v>
      </c>
      <c r="O727">
        <f>IFERROR(VLOOKUP(L727,Model_Assumptions!$A:$D,4,0),0)</f>
        <v>850000</v>
      </c>
      <c r="P727">
        <f>IFERROR(VLOOKUP(J727,Source_Assumptions!$A:$C,3,0),0)</f>
        <v>250</v>
      </c>
    </row>
    <row r="728" spans="1:16" x14ac:dyDescent="0.3">
      <c r="A728">
        <f>Raw_Data!A728</f>
        <v>727</v>
      </c>
      <c r="B728" s="2">
        <f>Raw_Data!B728</f>
        <v>45152</v>
      </c>
      <c r="C728">
        <f>YEAR(Raw_Data!B728)</f>
        <v>2023</v>
      </c>
      <c r="D728" t="str">
        <f>IF(MONTH(Raw_Data!B728)&gt;=4,YEAR(Raw_Data!B728)&amp;"-"&amp;RIGHT(YEAR(Raw_Data!B728)+1,2),YEAR(Raw_Data!B728)-1&amp;"-"&amp;RIGHT(YEAR(Raw_Data!B728),2))</f>
        <v>2023-24</v>
      </c>
      <c r="E728" t="str">
        <f>"Q"&amp;ROUNDUP(MONTH(Raw_Data!B728)/3,0)</f>
        <v>Q3</v>
      </c>
      <c r="F728" t="str">
        <f>TEXT(Raw_Data!B728,"mmm")</f>
        <v>Aug</v>
      </c>
      <c r="G728" t="str">
        <f>TEXT(Raw_Data!B728,"ddd")</f>
        <v>Mon</v>
      </c>
      <c r="H728" t="str">
        <f>Raw_Data!D728</f>
        <v>Invoiced</v>
      </c>
      <c r="I728" t="str">
        <f>Raw_Data!F728</f>
        <v>Web Lead</v>
      </c>
      <c r="J728" t="str">
        <f>Raw_Data!G728</f>
        <v>Web</v>
      </c>
      <c r="K728" t="str">
        <f>IFERROR(VLOOKUP(J728,Source_Assumptions!$A:$C,2,0),"Unmapped")</f>
        <v>Digital - Owned</v>
      </c>
      <c r="L728" t="str">
        <f>Raw_Data!H728</f>
        <v>5TH GEN CITY PE</v>
      </c>
      <c r="M728" t="str">
        <f>IFERROR(VLOOKUP(L728,Model_Assumptions!$A:$D,2,0),"Unmapped")</f>
        <v>Mid-size Sedan</v>
      </c>
      <c r="N728" t="str">
        <f>IFERROR(VLOOKUP(L728,Model_Assumptions!$A:$D,3,0),"Unmapped")</f>
        <v>Petrol</v>
      </c>
      <c r="O728">
        <f>IFERROR(VLOOKUP(L728,Model_Assumptions!$A:$D,4,0),0)</f>
        <v>1250000</v>
      </c>
      <c r="P728">
        <f>IFERROR(VLOOKUP(J728,Source_Assumptions!$A:$C,3,0),0)</f>
        <v>300</v>
      </c>
    </row>
    <row r="729" spans="1:16" x14ac:dyDescent="0.3">
      <c r="A729">
        <f>Raw_Data!A729</f>
        <v>728</v>
      </c>
      <c r="B729" s="2">
        <f>Raw_Data!B729</f>
        <v>45154</v>
      </c>
      <c r="C729">
        <f>YEAR(Raw_Data!B729)</f>
        <v>2023</v>
      </c>
      <c r="D729" t="str">
        <f>IF(MONTH(Raw_Data!B729)&gt;=4,YEAR(Raw_Data!B729)&amp;"-"&amp;RIGHT(YEAR(Raw_Data!B729)+1,2),YEAR(Raw_Data!B729)-1&amp;"-"&amp;RIGHT(YEAR(Raw_Data!B729),2))</f>
        <v>2023-24</v>
      </c>
      <c r="E729" t="str">
        <f>"Q"&amp;ROUNDUP(MONTH(Raw_Data!B729)/3,0)</f>
        <v>Q3</v>
      </c>
      <c r="F729" t="str">
        <f>TEXT(Raw_Data!B729,"mmm")</f>
        <v>Aug</v>
      </c>
      <c r="G729" t="str">
        <f>TEXT(Raw_Data!B729,"ddd")</f>
        <v>Wed</v>
      </c>
      <c r="H729" t="str">
        <f>Raw_Data!D729</f>
        <v>Invoiced</v>
      </c>
      <c r="I729" t="str">
        <f>Raw_Data!F729</f>
        <v>Tele-in</v>
      </c>
      <c r="J729" t="str">
        <f>Raw_Data!G729</f>
        <v>Dealer Webpage Tele-In</v>
      </c>
      <c r="K729" t="str">
        <f>IFERROR(VLOOKUP(J729,Source_Assumptions!$A:$C,2,0),"Unmapped")</f>
        <v>Digital - Owned</v>
      </c>
      <c r="L729" t="str">
        <f>Raw_Data!H729</f>
        <v>AMAZE Petrol</v>
      </c>
      <c r="M729" t="str">
        <f>IFERROR(VLOOKUP(L729,Model_Assumptions!$A:$D,2,0),"Unmapped")</f>
        <v>Sub-4m Sedan</v>
      </c>
      <c r="N729" t="str">
        <f>IFERROR(VLOOKUP(L729,Model_Assumptions!$A:$D,3,0),"Unmapped")</f>
        <v>Petrol</v>
      </c>
      <c r="O729">
        <f>IFERROR(VLOOKUP(L729,Model_Assumptions!$A:$D,4,0),0)</f>
        <v>850000</v>
      </c>
      <c r="P729">
        <f>IFERROR(VLOOKUP(J729,Source_Assumptions!$A:$C,3,0),0)</f>
        <v>300</v>
      </c>
    </row>
    <row r="730" spans="1:16" x14ac:dyDescent="0.3">
      <c r="A730">
        <f>Raw_Data!A730</f>
        <v>729</v>
      </c>
      <c r="B730" s="2">
        <f>Raw_Data!B730</f>
        <v>45154</v>
      </c>
      <c r="C730">
        <f>YEAR(Raw_Data!B730)</f>
        <v>2023</v>
      </c>
      <c r="D730" t="str">
        <f>IF(MONTH(Raw_Data!B730)&gt;=4,YEAR(Raw_Data!B730)&amp;"-"&amp;RIGHT(YEAR(Raw_Data!B730)+1,2),YEAR(Raw_Data!B730)-1&amp;"-"&amp;RIGHT(YEAR(Raw_Data!B730),2))</f>
        <v>2023-24</v>
      </c>
      <c r="E730" t="str">
        <f>"Q"&amp;ROUNDUP(MONTH(Raw_Data!B730)/3,0)</f>
        <v>Q3</v>
      </c>
      <c r="F730" t="str">
        <f>TEXT(Raw_Data!B730,"mmm")</f>
        <v>Aug</v>
      </c>
      <c r="G730" t="str">
        <f>TEXT(Raw_Data!B730,"ddd")</f>
        <v>Wed</v>
      </c>
      <c r="H730" t="str">
        <f>Raw_Data!D730</f>
        <v>Invoiced</v>
      </c>
      <c r="I730" t="str">
        <f>Raw_Data!F730</f>
        <v>Walk-in Showroom</v>
      </c>
      <c r="J730" t="str">
        <f>Raw_Data!G730</f>
        <v>Adver. (TVC/Print/Hoarding/FM)</v>
      </c>
      <c r="K730" t="str">
        <f>IFERROR(VLOOKUP(J730,Source_Assumptions!$A:$C,2,0),"Unmapped")</f>
        <v>Traditional Advertising</v>
      </c>
      <c r="L730" t="str">
        <f>Raw_Data!H730</f>
        <v>5TH GEN CITY PE</v>
      </c>
      <c r="M730" t="str">
        <f>IFERROR(VLOOKUP(L730,Model_Assumptions!$A:$D,2,0),"Unmapped")</f>
        <v>Mid-size Sedan</v>
      </c>
      <c r="N730" t="str">
        <f>IFERROR(VLOOKUP(L730,Model_Assumptions!$A:$D,3,0),"Unmapped")</f>
        <v>Petrol</v>
      </c>
      <c r="O730">
        <f>IFERROR(VLOOKUP(L730,Model_Assumptions!$A:$D,4,0),0)</f>
        <v>1250000</v>
      </c>
      <c r="P730">
        <f>IFERROR(VLOOKUP(J730,Source_Assumptions!$A:$C,3,0),0)</f>
        <v>1200</v>
      </c>
    </row>
    <row r="731" spans="1:16" x14ac:dyDescent="0.3">
      <c r="A731">
        <f>Raw_Data!A731</f>
        <v>730</v>
      </c>
      <c r="B731" s="2">
        <f>Raw_Data!B731</f>
        <v>45154</v>
      </c>
      <c r="C731">
        <f>YEAR(Raw_Data!B731)</f>
        <v>2023</v>
      </c>
      <c r="D731" t="str">
        <f>IF(MONTH(Raw_Data!B731)&gt;=4,YEAR(Raw_Data!B731)&amp;"-"&amp;RIGHT(YEAR(Raw_Data!B731)+1,2),YEAR(Raw_Data!B731)-1&amp;"-"&amp;RIGHT(YEAR(Raw_Data!B731),2))</f>
        <v>2023-24</v>
      </c>
      <c r="E731" t="str">
        <f>"Q"&amp;ROUNDUP(MONTH(Raw_Data!B731)/3,0)</f>
        <v>Q3</v>
      </c>
      <c r="F731" t="str">
        <f>TEXT(Raw_Data!B731,"mmm")</f>
        <v>Aug</v>
      </c>
      <c r="G731" t="str">
        <f>TEXT(Raw_Data!B731,"ddd")</f>
        <v>Wed</v>
      </c>
      <c r="H731" t="str">
        <f>Raw_Data!D731</f>
        <v>Invoiced</v>
      </c>
      <c r="I731" t="str">
        <f>Raw_Data!F731</f>
        <v>Tele-in</v>
      </c>
      <c r="J731" t="str">
        <f>Raw_Data!G731</f>
        <v>Referral-CAM</v>
      </c>
      <c r="K731" t="str">
        <f>IFERROR(VLOOKUP(J731,Source_Assumptions!$A:$C,2,0),"Unmapped")</f>
        <v>Referral</v>
      </c>
      <c r="L731" t="str">
        <f>Raw_Data!H731</f>
        <v>AMAZE Petrol</v>
      </c>
      <c r="M731" t="str">
        <f>IFERROR(VLOOKUP(L731,Model_Assumptions!$A:$D,2,0),"Unmapped")</f>
        <v>Sub-4m Sedan</v>
      </c>
      <c r="N731" t="str">
        <f>IFERROR(VLOOKUP(L731,Model_Assumptions!$A:$D,3,0),"Unmapped")</f>
        <v>Petrol</v>
      </c>
      <c r="O731">
        <f>IFERROR(VLOOKUP(L731,Model_Assumptions!$A:$D,4,0),0)</f>
        <v>850000</v>
      </c>
      <c r="P731">
        <f>IFERROR(VLOOKUP(J731,Source_Assumptions!$A:$C,3,0),0)</f>
        <v>150</v>
      </c>
    </row>
    <row r="732" spans="1:16" x14ac:dyDescent="0.3">
      <c r="A732">
        <f>Raw_Data!A732</f>
        <v>731</v>
      </c>
      <c r="B732" s="2">
        <f>Raw_Data!B732</f>
        <v>45155</v>
      </c>
      <c r="C732">
        <f>YEAR(Raw_Data!B732)</f>
        <v>2023</v>
      </c>
      <c r="D732" t="str">
        <f>IF(MONTH(Raw_Data!B732)&gt;=4,YEAR(Raw_Data!B732)&amp;"-"&amp;RIGHT(YEAR(Raw_Data!B732)+1,2),YEAR(Raw_Data!B732)-1&amp;"-"&amp;RIGHT(YEAR(Raw_Data!B732),2))</f>
        <v>2023-24</v>
      </c>
      <c r="E732" t="str">
        <f>"Q"&amp;ROUNDUP(MONTH(Raw_Data!B732)/3,0)</f>
        <v>Q3</v>
      </c>
      <c r="F732" t="str">
        <f>TEXT(Raw_Data!B732,"mmm")</f>
        <v>Aug</v>
      </c>
      <c r="G732" t="str">
        <f>TEXT(Raw_Data!B732,"ddd")</f>
        <v>Thu</v>
      </c>
      <c r="H732" t="str">
        <f>Raw_Data!D732</f>
        <v>Invoiced</v>
      </c>
      <c r="I732" t="str">
        <f>Raw_Data!F732</f>
        <v>Walk-in Showroom</v>
      </c>
      <c r="J732" t="str">
        <f>Raw_Data!G732</f>
        <v>Adver. (TVC/Print/Hoarding/FM)</v>
      </c>
      <c r="K732" t="str">
        <f>IFERROR(VLOOKUP(J732,Source_Assumptions!$A:$C,2,0),"Unmapped")</f>
        <v>Traditional Advertising</v>
      </c>
      <c r="L732" t="str">
        <f>Raw_Data!H732</f>
        <v>AMAZE Petrol</v>
      </c>
      <c r="M732" t="str">
        <f>IFERROR(VLOOKUP(L732,Model_Assumptions!$A:$D,2,0),"Unmapped")</f>
        <v>Sub-4m Sedan</v>
      </c>
      <c r="N732" t="str">
        <f>IFERROR(VLOOKUP(L732,Model_Assumptions!$A:$D,3,0),"Unmapped")</f>
        <v>Petrol</v>
      </c>
      <c r="O732">
        <f>IFERROR(VLOOKUP(L732,Model_Assumptions!$A:$D,4,0),0)</f>
        <v>850000</v>
      </c>
      <c r="P732">
        <f>IFERROR(VLOOKUP(J732,Source_Assumptions!$A:$C,3,0),0)</f>
        <v>1200</v>
      </c>
    </row>
    <row r="733" spans="1:16" x14ac:dyDescent="0.3">
      <c r="A733">
        <f>Raw_Data!A733</f>
        <v>732</v>
      </c>
      <c r="B733" s="2">
        <f>Raw_Data!B733</f>
        <v>45156</v>
      </c>
      <c r="C733">
        <f>YEAR(Raw_Data!B733)</f>
        <v>2023</v>
      </c>
      <c r="D733" t="str">
        <f>IF(MONTH(Raw_Data!B733)&gt;=4,YEAR(Raw_Data!B733)&amp;"-"&amp;RIGHT(YEAR(Raw_Data!B733)+1,2),YEAR(Raw_Data!B733)-1&amp;"-"&amp;RIGHT(YEAR(Raw_Data!B733),2))</f>
        <v>2023-24</v>
      </c>
      <c r="E733" t="str">
        <f>"Q"&amp;ROUNDUP(MONTH(Raw_Data!B733)/3,0)</f>
        <v>Q3</v>
      </c>
      <c r="F733" t="str">
        <f>TEXT(Raw_Data!B733,"mmm")</f>
        <v>Aug</v>
      </c>
      <c r="G733" t="str">
        <f>TEXT(Raw_Data!B733,"ddd")</f>
        <v>Fri</v>
      </c>
      <c r="H733" t="str">
        <f>Raw_Data!D733</f>
        <v>Invoiced</v>
      </c>
      <c r="I733" t="str">
        <f>Raw_Data!F733</f>
        <v>Walk-in Showroom</v>
      </c>
      <c r="J733" t="str">
        <f>Raw_Data!G733</f>
        <v>Adver. (TVC/Print/Hoarding/FM)</v>
      </c>
      <c r="K733" t="str">
        <f>IFERROR(VLOOKUP(J733,Source_Assumptions!$A:$C,2,0),"Unmapped")</f>
        <v>Traditional Advertising</v>
      </c>
      <c r="L733" t="str">
        <f>Raw_Data!H733</f>
        <v>AMAZE Petrol</v>
      </c>
      <c r="M733" t="str">
        <f>IFERROR(VLOOKUP(L733,Model_Assumptions!$A:$D,2,0),"Unmapped")</f>
        <v>Sub-4m Sedan</v>
      </c>
      <c r="N733" t="str">
        <f>IFERROR(VLOOKUP(L733,Model_Assumptions!$A:$D,3,0),"Unmapped")</f>
        <v>Petrol</v>
      </c>
      <c r="O733">
        <f>IFERROR(VLOOKUP(L733,Model_Assumptions!$A:$D,4,0),0)</f>
        <v>850000</v>
      </c>
      <c r="P733">
        <f>IFERROR(VLOOKUP(J733,Source_Assumptions!$A:$C,3,0),0)</f>
        <v>1200</v>
      </c>
    </row>
    <row r="734" spans="1:16" x14ac:dyDescent="0.3">
      <c r="A734">
        <f>Raw_Data!A734</f>
        <v>733</v>
      </c>
      <c r="B734" s="2">
        <f>Raw_Data!B734</f>
        <v>45157</v>
      </c>
      <c r="C734">
        <f>YEAR(Raw_Data!B734)</f>
        <v>2023</v>
      </c>
      <c r="D734" t="str">
        <f>IF(MONTH(Raw_Data!B734)&gt;=4,YEAR(Raw_Data!B734)&amp;"-"&amp;RIGHT(YEAR(Raw_Data!B734)+1,2),YEAR(Raw_Data!B734)-1&amp;"-"&amp;RIGHT(YEAR(Raw_Data!B734),2))</f>
        <v>2023-24</v>
      </c>
      <c r="E734" t="str">
        <f>"Q"&amp;ROUNDUP(MONTH(Raw_Data!B734)/3,0)</f>
        <v>Q3</v>
      </c>
      <c r="F734" t="str">
        <f>TEXT(Raw_Data!B734,"mmm")</f>
        <v>Aug</v>
      </c>
      <c r="G734" t="str">
        <f>TEXT(Raw_Data!B734,"ddd")</f>
        <v>Sat</v>
      </c>
      <c r="H734" t="str">
        <f>Raw_Data!D734</f>
        <v>Invoiced</v>
      </c>
      <c r="I734" t="str">
        <f>Raw_Data!F734</f>
        <v>Web Lead</v>
      </c>
      <c r="J734" t="str">
        <f>Raw_Data!G734</f>
        <v>Web_Facebook</v>
      </c>
      <c r="K734" t="str">
        <f>IFERROR(VLOOKUP(J734,Source_Assumptions!$A:$C,2,0),"Unmapped")</f>
        <v>Digital - Paid Social</v>
      </c>
      <c r="L734" t="str">
        <f>Raw_Data!H734</f>
        <v>AMAZE Petrol</v>
      </c>
      <c r="M734" t="str">
        <f>IFERROR(VLOOKUP(L734,Model_Assumptions!$A:$D,2,0),"Unmapped")</f>
        <v>Sub-4m Sedan</v>
      </c>
      <c r="N734" t="str">
        <f>IFERROR(VLOOKUP(L734,Model_Assumptions!$A:$D,3,0),"Unmapped")</f>
        <v>Petrol</v>
      </c>
      <c r="O734">
        <f>IFERROR(VLOOKUP(L734,Model_Assumptions!$A:$D,4,0),0)</f>
        <v>850000</v>
      </c>
      <c r="P734">
        <f>IFERROR(VLOOKUP(J734,Source_Assumptions!$A:$C,3,0),0)</f>
        <v>600</v>
      </c>
    </row>
    <row r="735" spans="1:16" x14ac:dyDescent="0.3">
      <c r="A735">
        <f>Raw_Data!A735</f>
        <v>734</v>
      </c>
      <c r="B735" s="2">
        <f>Raw_Data!B735</f>
        <v>45157</v>
      </c>
      <c r="C735">
        <f>YEAR(Raw_Data!B735)</f>
        <v>2023</v>
      </c>
      <c r="D735" t="str">
        <f>IF(MONTH(Raw_Data!B735)&gt;=4,YEAR(Raw_Data!B735)&amp;"-"&amp;RIGHT(YEAR(Raw_Data!B735)+1,2),YEAR(Raw_Data!B735)-1&amp;"-"&amp;RIGHT(YEAR(Raw_Data!B735),2))</f>
        <v>2023-24</v>
      </c>
      <c r="E735" t="str">
        <f>"Q"&amp;ROUNDUP(MONTH(Raw_Data!B735)/3,0)</f>
        <v>Q3</v>
      </c>
      <c r="F735" t="str">
        <f>TEXT(Raw_Data!B735,"mmm")</f>
        <v>Aug</v>
      </c>
      <c r="G735" t="str">
        <f>TEXT(Raw_Data!B735,"ddd")</f>
        <v>Sat</v>
      </c>
      <c r="H735" t="str">
        <f>Raw_Data!D735</f>
        <v>Invoiced</v>
      </c>
      <c r="I735" t="str">
        <f>Raw_Data!F735</f>
        <v>Web Lead</v>
      </c>
      <c r="J735" t="str">
        <f>Raw_Data!G735</f>
        <v>Web</v>
      </c>
      <c r="K735" t="str">
        <f>IFERROR(VLOOKUP(J735,Source_Assumptions!$A:$C,2,0),"Unmapped")</f>
        <v>Digital - Owned</v>
      </c>
      <c r="L735" t="str">
        <f>Raw_Data!H735</f>
        <v>5TH GEN CITY PE</v>
      </c>
      <c r="M735" t="str">
        <f>IFERROR(VLOOKUP(L735,Model_Assumptions!$A:$D,2,0),"Unmapped")</f>
        <v>Mid-size Sedan</v>
      </c>
      <c r="N735" t="str">
        <f>IFERROR(VLOOKUP(L735,Model_Assumptions!$A:$D,3,0),"Unmapped")</f>
        <v>Petrol</v>
      </c>
      <c r="O735">
        <f>IFERROR(VLOOKUP(L735,Model_Assumptions!$A:$D,4,0),0)</f>
        <v>1250000</v>
      </c>
      <c r="P735">
        <f>IFERROR(VLOOKUP(J735,Source_Assumptions!$A:$C,3,0),0)</f>
        <v>300</v>
      </c>
    </row>
    <row r="736" spans="1:16" x14ac:dyDescent="0.3">
      <c r="A736">
        <f>Raw_Data!A736</f>
        <v>735</v>
      </c>
      <c r="B736" s="2">
        <f>Raw_Data!B736</f>
        <v>45159</v>
      </c>
      <c r="C736">
        <f>YEAR(Raw_Data!B736)</f>
        <v>2023</v>
      </c>
      <c r="D736" t="str">
        <f>IF(MONTH(Raw_Data!B736)&gt;=4,YEAR(Raw_Data!B736)&amp;"-"&amp;RIGHT(YEAR(Raw_Data!B736)+1,2),YEAR(Raw_Data!B736)-1&amp;"-"&amp;RIGHT(YEAR(Raw_Data!B736),2))</f>
        <v>2023-24</v>
      </c>
      <c r="E736" t="str">
        <f>"Q"&amp;ROUNDUP(MONTH(Raw_Data!B736)/3,0)</f>
        <v>Q3</v>
      </c>
      <c r="F736" t="str">
        <f>TEXT(Raw_Data!B736,"mmm")</f>
        <v>Aug</v>
      </c>
      <c r="G736" t="str">
        <f>TEXT(Raw_Data!B736,"ddd")</f>
        <v>Mon</v>
      </c>
      <c r="H736" t="str">
        <f>Raw_Data!D736</f>
        <v>Invoiced</v>
      </c>
      <c r="I736" t="str">
        <f>Raw_Data!F736</f>
        <v>Walk-in Showroom</v>
      </c>
      <c r="J736" t="str">
        <f>Raw_Data!G736</f>
        <v>Adver. (TVC/Print/Hoarding/FM)</v>
      </c>
      <c r="K736" t="str">
        <f>IFERROR(VLOOKUP(J736,Source_Assumptions!$A:$C,2,0),"Unmapped")</f>
        <v>Traditional Advertising</v>
      </c>
      <c r="L736" t="str">
        <f>Raw_Data!H736</f>
        <v>AMAZE Petrol</v>
      </c>
      <c r="M736" t="str">
        <f>IFERROR(VLOOKUP(L736,Model_Assumptions!$A:$D,2,0),"Unmapped")</f>
        <v>Sub-4m Sedan</v>
      </c>
      <c r="N736" t="str">
        <f>IFERROR(VLOOKUP(L736,Model_Assumptions!$A:$D,3,0),"Unmapped")</f>
        <v>Petrol</v>
      </c>
      <c r="O736">
        <f>IFERROR(VLOOKUP(L736,Model_Assumptions!$A:$D,4,0),0)</f>
        <v>850000</v>
      </c>
      <c r="P736">
        <f>IFERROR(VLOOKUP(J736,Source_Assumptions!$A:$C,3,0),0)</f>
        <v>1200</v>
      </c>
    </row>
    <row r="737" spans="1:16" x14ac:dyDescent="0.3">
      <c r="A737">
        <f>Raw_Data!A737</f>
        <v>736</v>
      </c>
      <c r="B737" s="2">
        <f>Raw_Data!B737</f>
        <v>45159</v>
      </c>
      <c r="C737">
        <f>YEAR(Raw_Data!B737)</f>
        <v>2023</v>
      </c>
      <c r="D737" t="str">
        <f>IF(MONTH(Raw_Data!B737)&gt;=4,YEAR(Raw_Data!B737)&amp;"-"&amp;RIGHT(YEAR(Raw_Data!B737)+1,2),YEAR(Raw_Data!B737)-1&amp;"-"&amp;RIGHT(YEAR(Raw_Data!B737),2))</f>
        <v>2023-24</v>
      </c>
      <c r="E737" t="str">
        <f>"Q"&amp;ROUNDUP(MONTH(Raw_Data!B737)/3,0)</f>
        <v>Q3</v>
      </c>
      <c r="F737" t="str">
        <f>TEXT(Raw_Data!B737,"mmm")</f>
        <v>Aug</v>
      </c>
      <c r="G737" t="str">
        <f>TEXT(Raw_Data!B737,"ddd")</f>
        <v>Mon</v>
      </c>
      <c r="H737" t="str">
        <f>Raw_Data!D737</f>
        <v>Invoiced</v>
      </c>
      <c r="I737" t="str">
        <f>Raw_Data!F737</f>
        <v>Web Lead</v>
      </c>
      <c r="J737" t="str">
        <f>Raw_Data!G737</f>
        <v>Web_Facebook</v>
      </c>
      <c r="K737" t="str">
        <f>IFERROR(VLOOKUP(J737,Source_Assumptions!$A:$C,2,0),"Unmapped")</f>
        <v>Digital - Paid Social</v>
      </c>
      <c r="L737" t="str">
        <f>Raw_Data!H737</f>
        <v>AMAZE Petrol</v>
      </c>
      <c r="M737" t="str">
        <f>IFERROR(VLOOKUP(L737,Model_Assumptions!$A:$D,2,0),"Unmapped")</f>
        <v>Sub-4m Sedan</v>
      </c>
      <c r="N737" t="str">
        <f>IFERROR(VLOOKUP(L737,Model_Assumptions!$A:$D,3,0),"Unmapped")</f>
        <v>Petrol</v>
      </c>
      <c r="O737">
        <f>IFERROR(VLOOKUP(L737,Model_Assumptions!$A:$D,4,0),0)</f>
        <v>850000</v>
      </c>
      <c r="P737">
        <f>IFERROR(VLOOKUP(J737,Source_Assumptions!$A:$C,3,0),0)</f>
        <v>600</v>
      </c>
    </row>
    <row r="738" spans="1:16" x14ac:dyDescent="0.3">
      <c r="A738">
        <f>Raw_Data!A738</f>
        <v>737</v>
      </c>
      <c r="B738" s="2">
        <f>Raw_Data!B738</f>
        <v>45159</v>
      </c>
      <c r="C738">
        <f>YEAR(Raw_Data!B738)</f>
        <v>2023</v>
      </c>
      <c r="D738" t="str">
        <f>IF(MONTH(Raw_Data!B738)&gt;=4,YEAR(Raw_Data!B738)&amp;"-"&amp;RIGHT(YEAR(Raw_Data!B738)+1,2),YEAR(Raw_Data!B738)-1&amp;"-"&amp;RIGHT(YEAR(Raw_Data!B738),2))</f>
        <v>2023-24</v>
      </c>
      <c r="E738" t="str">
        <f>"Q"&amp;ROUNDUP(MONTH(Raw_Data!B738)/3,0)</f>
        <v>Q3</v>
      </c>
      <c r="F738" t="str">
        <f>TEXT(Raw_Data!B738,"mmm")</f>
        <v>Aug</v>
      </c>
      <c r="G738" t="str">
        <f>TEXT(Raw_Data!B738,"ddd")</f>
        <v>Mon</v>
      </c>
      <c r="H738" t="str">
        <f>Raw_Data!D738</f>
        <v>Invoiced</v>
      </c>
      <c r="I738" t="str">
        <f>Raw_Data!F738</f>
        <v>Walk-in Showroom</v>
      </c>
      <c r="J738" t="str">
        <f>Raw_Data!G738</f>
        <v>Adver. (TVC/Print/Hoarding/FM)</v>
      </c>
      <c r="K738" t="str">
        <f>IFERROR(VLOOKUP(J738,Source_Assumptions!$A:$C,2,0),"Unmapped")</f>
        <v>Traditional Advertising</v>
      </c>
      <c r="L738" t="str">
        <f>Raw_Data!H738</f>
        <v>5TH GEN CITY PE</v>
      </c>
      <c r="M738" t="str">
        <f>IFERROR(VLOOKUP(L738,Model_Assumptions!$A:$D,2,0),"Unmapped")</f>
        <v>Mid-size Sedan</v>
      </c>
      <c r="N738" t="str">
        <f>IFERROR(VLOOKUP(L738,Model_Assumptions!$A:$D,3,0),"Unmapped")</f>
        <v>Petrol</v>
      </c>
      <c r="O738">
        <f>IFERROR(VLOOKUP(L738,Model_Assumptions!$A:$D,4,0),0)</f>
        <v>1250000</v>
      </c>
      <c r="P738">
        <f>IFERROR(VLOOKUP(J738,Source_Assumptions!$A:$C,3,0),0)</f>
        <v>1200</v>
      </c>
    </row>
    <row r="739" spans="1:16" x14ac:dyDescent="0.3">
      <c r="A739">
        <f>Raw_Data!A739</f>
        <v>738</v>
      </c>
      <c r="B739" s="2">
        <f>Raw_Data!B739</f>
        <v>45159</v>
      </c>
      <c r="C739">
        <f>YEAR(Raw_Data!B739)</f>
        <v>2023</v>
      </c>
      <c r="D739" t="str">
        <f>IF(MONTH(Raw_Data!B739)&gt;=4,YEAR(Raw_Data!B739)&amp;"-"&amp;RIGHT(YEAR(Raw_Data!B739)+1,2),YEAR(Raw_Data!B739)-1&amp;"-"&amp;RIGHT(YEAR(Raw_Data!B739),2))</f>
        <v>2023-24</v>
      </c>
      <c r="E739" t="str">
        <f>"Q"&amp;ROUNDUP(MONTH(Raw_Data!B739)/3,0)</f>
        <v>Q3</v>
      </c>
      <c r="F739" t="str">
        <f>TEXT(Raw_Data!B739,"mmm")</f>
        <v>Aug</v>
      </c>
      <c r="G739" t="str">
        <f>TEXT(Raw_Data!B739,"ddd")</f>
        <v>Mon</v>
      </c>
      <c r="H739" t="str">
        <f>Raw_Data!D739</f>
        <v>Invoiced</v>
      </c>
      <c r="I739" t="str">
        <f>Raw_Data!F739</f>
        <v>SMS/ Tele-Out</v>
      </c>
      <c r="J739" t="str">
        <f>Raw_Data!G739</f>
        <v>Database Activity(Teleout/SMS)</v>
      </c>
      <c r="K739" t="str">
        <f>IFERROR(VLOOKUP(J739,Source_Assumptions!$A:$C,2,0),"Unmapped")</f>
        <v>Outbound/Database</v>
      </c>
      <c r="L739" t="str">
        <f>Raw_Data!H739</f>
        <v>5TH GEN CITY PE</v>
      </c>
      <c r="M739" t="str">
        <f>IFERROR(VLOOKUP(L739,Model_Assumptions!$A:$D,2,0),"Unmapped")</f>
        <v>Mid-size Sedan</v>
      </c>
      <c r="N739" t="str">
        <f>IFERROR(VLOOKUP(L739,Model_Assumptions!$A:$D,3,0),"Unmapped")</f>
        <v>Petrol</v>
      </c>
      <c r="O739">
        <f>IFERROR(VLOOKUP(L739,Model_Assumptions!$A:$D,4,0),0)</f>
        <v>1250000</v>
      </c>
      <c r="P739">
        <f>IFERROR(VLOOKUP(J739,Source_Assumptions!$A:$C,3,0),0)</f>
        <v>250</v>
      </c>
    </row>
    <row r="740" spans="1:16" x14ac:dyDescent="0.3">
      <c r="A740">
        <f>Raw_Data!A740</f>
        <v>739</v>
      </c>
      <c r="B740" s="2">
        <f>Raw_Data!B740</f>
        <v>45160</v>
      </c>
      <c r="C740">
        <f>YEAR(Raw_Data!B740)</f>
        <v>2023</v>
      </c>
      <c r="D740" t="str">
        <f>IF(MONTH(Raw_Data!B740)&gt;=4,YEAR(Raw_Data!B740)&amp;"-"&amp;RIGHT(YEAR(Raw_Data!B740)+1,2),YEAR(Raw_Data!B740)-1&amp;"-"&amp;RIGHT(YEAR(Raw_Data!B740),2))</f>
        <v>2023-24</v>
      </c>
      <c r="E740" t="str">
        <f>"Q"&amp;ROUNDUP(MONTH(Raw_Data!B740)/3,0)</f>
        <v>Q3</v>
      </c>
      <c r="F740" t="str">
        <f>TEXT(Raw_Data!B740,"mmm")</f>
        <v>Aug</v>
      </c>
      <c r="G740" t="str">
        <f>TEXT(Raw_Data!B740,"ddd")</f>
        <v>Tue</v>
      </c>
      <c r="H740" t="str">
        <f>Raw_Data!D740</f>
        <v>Invoiced</v>
      </c>
      <c r="I740" t="str">
        <f>Raw_Data!F740</f>
        <v>SMS/ Tele-Out</v>
      </c>
      <c r="J740" t="str">
        <f>Raw_Data!G740</f>
        <v>Database Activity(Teleout/SMS)</v>
      </c>
      <c r="K740" t="str">
        <f>IFERROR(VLOOKUP(J740,Source_Assumptions!$A:$C,2,0),"Unmapped")</f>
        <v>Outbound/Database</v>
      </c>
      <c r="L740" t="str">
        <f>Raw_Data!H740</f>
        <v>AMAZE Petrol</v>
      </c>
      <c r="M740" t="str">
        <f>IFERROR(VLOOKUP(L740,Model_Assumptions!$A:$D,2,0),"Unmapped")</f>
        <v>Sub-4m Sedan</v>
      </c>
      <c r="N740" t="str">
        <f>IFERROR(VLOOKUP(L740,Model_Assumptions!$A:$D,3,0),"Unmapped")</f>
        <v>Petrol</v>
      </c>
      <c r="O740">
        <f>IFERROR(VLOOKUP(L740,Model_Assumptions!$A:$D,4,0),0)</f>
        <v>850000</v>
      </c>
      <c r="P740">
        <f>IFERROR(VLOOKUP(J740,Source_Assumptions!$A:$C,3,0),0)</f>
        <v>250</v>
      </c>
    </row>
    <row r="741" spans="1:16" x14ac:dyDescent="0.3">
      <c r="A741">
        <f>Raw_Data!A741</f>
        <v>740</v>
      </c>
      <c r="B741" s="2">
        <f>Raw_Data!B741</f>
        <v>45160</v>
      </c>
      <c r="C741">
        <f>YEAR(Raw_Data!B741)</f>
        <v>2023</v>
      </c>
      <c r="D741" t="str">
        <f>IF(MONTH(Raw_Data!B741)&gt;=4,YEAR(Raw_Data!B741)&amp;"-"&amp;RIGHT(YEAR(Raw_Data!B741)+1,2),YEAR(Raw_Data!B741)-1&amp;"-"&amp;RIGHT(YEAR(Raw_Data!B741),2))</f>
        <v>2023-24</v>
      </c>
      <c r="E741" t="str">
        <f>"Q"&amp;ROUNDUP(MONTH(Raw_Data!B741)/3,0)</f>
        <v>Q3</v>
      </c>
      <c r="F741" t="str">
        <f>TEXT(Raw_Data!B741,"mmm")</f>
        <v>Aug</v>
      </c>
      <c r="G741" t="str">
        <f>TEXT(Raw_Data!B741,"ddd")</f>
        <v>Tue</v>
      </c>
      <c r="H741" t="str">
        <f>Raw_Data!D741</f>
        <v>Invoiced</v>
      </c>
      <c r="I741" t="str">
        <f>Raw_Data!F741</f>
        <v>Web Lead</v>
      </c>
      <c r="J741" t="str">
        <f>Raw_Data!G741</f>
        <v>Web_Facebook</v>
      </c>
      <c r="K741" t="str">
        <f>IFERROR(VLOOKUP(J741,Source_Assumptions!$A:$C,2,0),"Unmapped")</f>
        <v>Digital - Paid Social</v>
      </c>
      <c r="L741" t="str">
        <f>Raw_Data!H741</f>
        <v>AMAZE Petrol</v>
      </c>
      <c r="M741" t="str">
        <f>IFERROR(VLOOKUP(L741,Model_Assumptions!$A:$D,2,0),"Unmapped")</f>
        <v>Sub-4m Sedan</v>
      </c>
      <c r="N741" t="str">
        <f>IFERROR(VLOOKUP(L741,Model_Assumptions!$A:$D,3,0),"Unmapped")</f>
        <v>Petrol</v>
      </c>
      <c r="O741">
        <f>IFERROR(VLOOKUP(L741,Model_Assumptions!$A:$D,4,0),0)</f>
        <v>850000</v>
      </c>
      <c r="P741">
        <f>IFERROR(VLOOKUP(J741,Source_Assumptions!$A:$C,3,0),0)</f>
        <v>600</v>
      </c>
    </row>
    <row r="742" spans="1:16" x14ac:dyDescent="0.3">
      <c r="A742">
        <f>Raw_Data!A742</f>
        <v>741</v>
      </c>
      <c r="B742" s="2">
        <f>Raw_Data!B742</f>
        <v>45160</v>
      </c>
      <c r="C742">
        <f>YEAR(Raw_Data!B742)</f>
        <v>2023</v>
      </c>
      <c r="D742" t="str">
        <f>IF(MONTH(Raw_Data!B742)&gt;=4,YEAR(Raw_Data!B742)&amp;"-"&amp;RIGHT(YEAR(Raw_Data!B742)+1,2),YEAR(Raw_Data!B742)-1&amp;"-"&amp;RIGHT(YEAR(Raw_Data!B742),2))</f>
        <v>2023-24</v>
      </c>
      <c r="E742" t="str">
        <f>"Q"&amp;ROUNDUP(MONTH(Raw_Data!B742)/3,0)</f>
        <v>Q3</v>
      </c>
      <c r="F742" t="str">
        <f>TEXT(Raw_Data!B742,"mmm")</f>
        <v>Aug</v>
      </c>
      <c r="G742" t="str">
        <f>TEXT(Raw_Data!B742,"ddd")</f>
        <v>Tue</v>
      </c>
      <c r="H742" t="str">
        <f>Raw_Data!D742</f>
        <v>Invoiced</v>
      </c>
      <c r="I742" t="str">
        <f>Raw_Data!F742</f>
        <v>Web Lead</v>
      </c>
      <c r="J742" t="str">
        <f>Raw_Data!G742</f>
        <v>Web_Organic</v>
      </c>
      <c r="K742" t="str">
        <f>IFERROR(VLOOKUP(J742,Source_Assumptions!$A:$C,2,0),"Unmapped")</f>
        <v>Digital - Organic</v>
      </c>
      <c r="L742" t="str">
        <f>Raw_Data!H742</f>
        <v>AMAZE Petrol</v>
      </c>
      <c r="M742" t="str">
        <f>IFERROR(VLOOKUP(L742,Model_Assumptions!$A:$D,2,0),"Unmapped")</f>
        <v>Sub-4m Sedan</v>
      </c>
      <c r="N742" t="str">
        <f>IFERROR(VLOOKUP(L742,Model_Assumptions!$A:$D,3,0),"Unmapped")</f>
        <v>Petrol</v>
      </c>
      <c r="O742">
        <f>IFERROR(VLOOKUP(L742,Model_Assumptions!$A:$D,4,0),0)</f>
        <v>850000</v>
      </c>
      <c r="P742">
        <f>IFERROR(VLOOKUP(J742,Source_Assumptions!$A:$C,3,0),0)</f>
        <v>100</v>
      </c>
    </row>
    <row r="743" spans="1:16" x14ac:dyDescent="0.3">
      <c r="A743">
        <f>Raw_Data!A743</f>
        <v>742</v>
      </c>
      <c r="B743" s="2">
        <f>Raw_Data!B743</f>
        <v>45160</v>
      </c>
      <c r="C743">
        <f>YEAR(Raw_Data!B743)</f>
        <v>2023</v>
      </c>
      <c r="D743" t="str">
        <f>IF(MONTH(Raw_Data!B743)&gt;=4,YEAR(Raw_Data!B743)&amp;"-"&amp;RIGHT(YEAR(Raw_Data!B743)+1,2),YEAR(Raw_Data!B743)-1&amp;"-"&amp;RIGHT(YEAR(Raw_Data!B743),2))</f>
        <v>2023-24</v>
      </c>
      <c r="E743" t="str">
        <f>"Q"&amp;ROUNDUP(MONTH(Raw_Data!B743)/3,0)</f>
        <v>Q3</v>
      </c>
      <c r="F743" t="str">
        <f>TEXT(Raw_Data!B743,"mmm")</f>
        <v>Aug</v>
      </c>
      <c r="G743" t="str">
        <f>TEXT(Raw_Data!B743,"ddd")</f>
        <v>Tue</v>
      </c>
      <c r="H743" t="str">
        <f>Raw_Data!D743</f>
        <v>Invoiced</v>
      </c>
      <c r="I743" t="str">
        <f>Raw_Data!F743</f>
        <v>SMS/ Tele-Out</v>
      </c>
      <c r="J743" t="str">
        <f>Raw_Data!G743</f>
        <v>Database Activity(Teleout/SMS)</v>
      </c>
      <c r="K743" t="str">
        <f>IFERROR(VLOOKUP(J743,Source_Assumptions!$A:$C,2,0),"Unmapped")</f>
        <v>Outbound/Database</v>
      </c>
      <c r="L743" t="str">
        <f>Raw_Data!H743</f>
        <v>5TH GEN CITY PE</v>
      </c>
      <c r="M743" t="str">
        <f>IFERROR(VLOOKUP(L743,Model_Assumptions!$A:$D,2,0),"Unmapped")</f>
        <v>Mid-size Sedan</v>
      </c>
      <c r="N743" t="str">
        <f>IFERROR(VLOOKUP(L743,Model_Assumptions!$A:$D,3,0),"Unmapped")</f>
        <v>Petrol</v>
      </c>
      <c r="O743">
        <f>IFERROR(VLOOKUP(L743,Model_Assumptions!$A:$D,4,0),0)</f>
        <v>1250000</v>
      </c>
      <c r="P743">
        <f>IFERROR(VLOOKUP(J743,Source_Assumptions!$A:$C,3,0),0)</f>
        <v>250</v>
      </c>
    </row>
    <row r="744" spans="1:16" x14ac:dyDescent="0.3">
      <c r="A744">
        <f>Raw_Data!A744</f>
        <v>743</v>
      </c>
      <c r="B744" s="2">
        <f>Raw_Data!B744</f>
        <v>45160</v>
      </c>
      <c r="C744">
        <f>YEAR(Raw_Data!B744)</f>
        <v>2023</v>
      </c>
      <c r="D744" t="str">
        <f>IF(MONTH(Raw_Data!B744)&gt;=4,YEAR(Raw_Data!B744)&amp;"-"&amp;RIGHT(YEAR(Raw_Data!B744)+1,2),YEAR(Raw_Data!B744)-1&amp;"-"&amp;RIGHT(YEAR(Raw_Data!B744),2))</f>
        <v>2023-24</v>
      </c>
      <c r="E744" t="str">
        <f>"Q"&amp;ROUNDUP(MONTH(Raw_Data!B744)/3,0)</f>
        <v>Q3</v>
      </c>
      <c r="F744" t="str">
        <f>TEXT(Raw_Data!B744,"mmm")</f>
        <v>Aug</v>
      </c>
      <c r="G744" t="str">
        <f>TEXT(Raw_Data!B744,"ddd")</f>
        <v>Tue</v>
      </c>
      <c r="H744" t="str">
        <f>Raw_Data!D744</f>
        <v>Invoiced</v>
      </c>
      <c r="I744" t="str">
        <f>Raw_Data!F744</f>
        <v>Tele-in</v>
      </c>
      <c r="J744" t="str">
        <f>Raw_Data!G744</f>
        <v>Referral-CAM</v>
      </c>
      <c r="K744" t="str">
        <f>IFERROR(VLOOKUP(J744,Source_Assumptions!$A:$C,2,0),"Unmapped")</f>
        <v>Referral</v>
      </c>
      <c r="L744" t="str">
        <f>Raw_Data!H744</f>
        <v>AMAZE Petrol</v>
      </c>
      <c r="M744" t="str">
        <f>IFERROR(VLOOKUP(L744,Model_Assumptions!$A:$D,2,0),"Unmapped")</f>
        <v>Sub-4m Sedan</v>
      </c>
      <c r="N744" t="str">
        <f>IFERROR(VLOOKUP(L744,Model_Assumptions!$A:$D,3,0),"Unmapped")</f>
        <v>Petrol</v>
      </c>
      <c r="O744">
        <f>IFERROR(VLOOKUP(L744,Model_Assumptions!$A:$D,4,0),0)</f>
        <v>850000</v>
      </c>
      <c r="P744">
        <f>IFERROR(VLOOKUP(J744,Source_Assumptions!$A:$C,3,0),0)</f>
        <v>150</v>
      </c>
    </row>
    <row r="745" spans="1:16" x14ac:dyDescent="0.3">
      <c r="A745">
        <f>Raw_Data!A745</f>
        <v>744</v>
      </c>
      <c r="B745" s="2">
        <f>Raw_Data!B745</f>
        <v>45161</v>
      </c>
      <c r="C745">
        <f>YEAR(Raw_Data!B745)</f>
        <v>2023</v>
      </c>
      <c r="D745" t="str">
        <f>IF(MONTH(Raw_Data!B745)&gt;=4,YEAR(Raw_Data!B745)&amp;"-"&amp;RIGHT(YEAR(Raw_Data!B745)+1,2),YEAR(Raw_Data!B745)-1&amp;"-"&amp;RIGHT(YEAR(Raw_Data!B745),2))</f>
        <v>2023-24</v>
      </c>
      <c r="E745" t="str">
        <f>"Q"&amp;ROUNDUP(MONTH(Raw_Data!B745)/3,0)</f>
        <v>Q3</v>
      </c>
      <c r="F745" t="str">
        <f>TEXT(Raw_Data!B745,"mmm")</f>
        <v>Aug</v>
      </c>
      <c r="G745" t="str">
        <f>TEXT(Raw_Data!B745,"ddd")</f>
        <v>Wed</v>
      </c>
      <c r="H745" t="str">
        <f>Raw_Data!D745</f>
        <v>Invoiced</v>
      </c>
      <c r="I745" t="str">
        <f>Raw_Data!F745</f>
        <v>Tele-in</v>
      </c>
      <c r="J745" t="str">
        <f>Raw_Data!G745</f>
        <v>Dealer Webpage Tele-In</v>
      </c>
      <c r="K745" t="str">
        <f>IFERROR(VLOOKUP(J745,Source_Assumptions!$A:$C,2,0),"Unmapped")</f>
        <v>Digital - Owned</v>
      </c>
      <c r="L745" t="str">
        <f>Raw_Data!H745</f>
        <v>AMAZE Petrol</v>
      </c>
      <c r="M745" t="str">
        <f>IFERROR(VLOOKUP(L745,Model_Assumptions!$A:$D,2,0),"Unmapped")</f>
        <v>Sub-4m Sedan</v>
      </c>
      <c r="N745" t="str">
        <f>IFERROR(VLOOKUP(L745,Model_Assumptions!$A:$D,3,0),"Unmapped")</f>
        <v>Petrol</v>
      </c>
      <c r="O745">
        <f>IFERROR(VLOOKUP(L745,Model_Assumptions!$A:$D,4,0),0)</f>
        <v>850000</v>
      </c>
      <c r="P745">
        <f>IFERROR(VLOOKUP(J745,Source_Assumptions!$A:$C,3,0),0)</f>
        <v>300</v>
      </c>
    </row>
    <row r="746" spans="1:16" x14ac:dyDescent="0.3">
      <c r="A746">
        <f>Raw_Data!A746</f>
        <v>745</v>
      </c>
      <c r="B746" s="2">
        <f>Raw_Data!B746</f>
        <v>45161</v>
      </c>
      <c r="C746">
        <f>YEAR(Raw_Data!B746)</f>
        <v>2023</v>
      </c>
      <c r="D746" t="str">
        <f>IF(MONTH(Raw_Data!B746)&gt;=4,YEAR(Raw_Data!B746)&amp;"-"&amp;RIGHT(YEAR(Raw_Data!B746)+1,2),YEAR(Raw_Data!B746)-1&amp;"-"&amp;RIGHT(YEAR(Raw_Data!B746),2))</f>
        <v>2023-24</v>
      </c>
      <c r="E746" t="str">
        <f>"Q"&amp;ROUNDUP(MONTH(Raw_Data!B746)/3,0)</f>
        <v>Q3</v>
      </c>
      <c r="F746" t="str">
        <f>TEXT(Raw_Data!B746,"mmm")</f>
        <v>Aug</v>
      </c>
      <c r="G746" t="str">
        <f>TEXT(Raw_Data!B746,"ddd")</f>
        <v>Wed</v>
      </c>
      <c r="H746" t="str">
        <f>Raw_Data!D746</f>
        <v>Invoiced</v>
      </c>
      <c r="I746" t="str">
        <f>Raw_Data!F746</f>
        <v>Web Lead</v>
      </c>
      <c r="J746" t="str">
        <f>Raw_Data!G746</f>
        <v>Web_Organic</v>
      </c>
      <c r="K746" t="str">
        <f>IFERROR(VLOOKUP(J746,Source_Assumptions!$A:$C,2,0),"Unmapped")</f>
        <v>Digital - Organic</v>
      </c>
      <c r="L746" t="str">
        <f>Raw_Data!H746</f>
        <v>AMAZE Petrol</v>
      </c>
      <c r="M746" t="str">
        <f>IFERROR(VLOOKUP(L746,Model_Assumptions!$A:$D,2,0),"Unmapped")</f>
        <v>Sub-4m Sedan</v>
      </c>
      <c r="N746" t="str">
        <f>IFERROR(VLOOKUP(L746,Model_Assumptions!$A:$D,3,0),"Unmapped")</f>
        <v>Petrol</v>
      </c>
      <c r="O746">
        <f>IFERROR(VLOOKUP(L746,Model_Assumptions!$A:$D,4,0),0)</f>
        <v>850000</v>
      </c>
      <c r="P746">
        <f>IFERROR(VLOOKUP(J746,Source_Assumptions!$A:$C,3,0),0)</f>
        <v>100</v>
      </c>
    </row>
    <row r="747" spans="1:16" x14ac:dyDescent="0.3">
      <c r="A747">
        <f>Raw_Data!A747</f>
        <v>746</v>
      </c>
      <c r="B747" s="2">
        <f>Raw_Data!B747</f>
        <v>45162</v>
      </c>
      <c r="C747">
        <f>YEAR(Raw_Data!B747)</f>
        <v>2023</v>
      </c>
      <c r="D747" t="str">
        <f>IF(MONTH(Raw_Data!B747)&gt;=4,YEAR(Raw_Data!B747)&amp;"-"&amp;RIGHT(YEAR(Raw_Data!B747)+1,2),YEAR(Raw_Data!B747)-1&amp;"-"&amp;RIGHT(YEAR(Raw_Data!B747),2))</f>
        <v>2023-24</v>
      </c>
      <c r="E747" t="str">
        <f>"Q"&amp;ROUNDUP(MONTH(Raw_Data!B747)/3,0)</f>
        <v>Q3</v>
      </c>
      <c r="F747" t="str">
        <f>TEXT(Raw_Data!B747,"mmm")</f>
        <v>Aug</v>
      </c>
      <c r="G747" t="str">
        <f>TEXT(Raw_Data!B747,"ddd")</f>
        <v>Thu</v>
      </c>
      <c r="H747" t="str">
        <f>Raw_Data!D747</f>
        <v>Invoiced</v>
      </c>
      <c r="I747" t="str">
        <f>Raw_Data!F747</f>
        <v>Tele-in</v>
      </c>
      <c r="J747" t="str">
        <f>Raw_Data!G747</f>
        <v>Referral-CAM</v>
      </c>
      <c r="K747" t="str">
        <f>IFERROR(VLOOKUP(J747,Source_Assumptions!$A:$C,2,0),"Unmapped")</f>
        <v>Referral</v>
      </c>
      <c r="L747" t="str">
        <f>Raw_Data!H747</f>
        <v>AMAZE Petrol</v>
      </c>
      <c r="M747" t="str">
        <f>IFERROR(VLOOKUP(L747,Model_Assumptions!$A:$D,2,0),"Unmapped")</f>
        <v>Sub-4m Sedan</v>
      </c>
      <c r="N747" t="str">
        <f>IFERROR(VLOOKUP(L747,Model_Assumptions!$A:$D,3,0),"Unmapped")</f>
        <v>Petrol</v>
      </c>
      <c r="O747">
        <f>IFERROR(VLOOKUP(L747,Model_Assumptions!$A:$D,4,0),0)</f>
        <v>850000</v>
      </c>
      <c r="P747">
        <f>IFERROR(VLOOKUP(J747,Source_Assumptions!$A:$C,3,0),0)</f>
        <v>150</v>
      </c>
    </row>
    <row r="748" spans="1:16" x14ac:dyDescent="0.3">
      <c r="A748">
        <f>Raw_Data!A748</f>
        <v>747</v>
      </c>
      <c r="B748" s="2">
        <f>Raw_Data!B748</f>
        <v>45163</v>
      </c>
      <c r="C748">
        <f>YEAR(Raw_Data!B748)</f>
        <v>2023</v>
      </c>
      <c r="D748" t="str">
        <f>IF(MONTH(Raw_Data!B748)&gt;=4,YEAR(Raw_Data!B748)&amp;"-"&amp;RIGHT(YEAR(Raw_Data!B748)+1,2),YEAR(Raw_Data!B748)-1&amp;"-"&amp;RIGHT(YEAR(Raw_Data!B748),2))</f>
        <v>2023-24</v>
      </c>
      <c r="E748" t="str">
        <f>"Q"&amp;ROUNDUP(MONTH(Raw_Data!B748)/3,0)</f>
        <v>Q3</v>
      </c>
      <c r="F748" t="str">
        <f>TEXT(Raw_Data!B748,"mmm")</f>
        <v>Aug</v>
      </c>
      <c r="G748" t="str">
        <f>TEXT(Raw_Data!B748,"ddd")</f>
        <v>Fri</v>
      </c>
      <c r="H748" t="str">
        <f>Raw_Data!D748</f>
        <v>Invoiced</v>
      </c>
      <c r="I748" t="str">
        <f>Raw_Data!F748</f>
        <v>Tele-in</v>
      </c>
      <c r="J748" t="str">
        <f>Raw_Data!G748</f>
        <v>Referral-CAM</v>
      </c>
      <c r="K748" t="str">
        <f>IFERROR(VLOOKUP(J748,Source_Assumptions!$A:$C,2,0),"Unmapped")</f>
        <v>Referral</v>
      </c>
      <c r="L748" t="str">
        <f>Raw_Data!H748</f>
        <v>AMAZE Petrol</v>
      </c>
      <c r="M748" t="str">
        <f>IFERROR(VLOOKUP(L748,Model_Assumptions!$A:$D,2,0),"Unmapped")</f>
        <v>Sub-4m Sedan</v>
      </c>
      <c r="N748" t="str">
        <f>IFERROR(VLOOKUP(L748,Model_Assumptions!$A:$D,3,0),"Unmapped")</f>
        <v>Petrol</v>
      </c>
      <c r="O748">
        <f>IFERROR(VLOOKUP(L748,Model_Assumptions!$A:$D,4,0),0)</f>
        <v>850000</v>
      </c>
      <c r="P748">
        <f>IFERROR(VLOOKUP(J748,Source_Assumptions!$A:$C,3,0),0)</f>
        <v>150</v>
      </c>
    </row>
    <row r="749" spans="1:16" x14ac:dyDescent="0.3">
      <c r="A749">
        <f>Raw_Data!A749</f>
        <v>748</v>
      </c>
      <c r="B749" s="2">
        <f>Raw_Data!B749</f>
        <v>45163</v>
      </c>
      <c r="C749">
        <f>YEAR(Raw_Data!B749)</f>
        <v>2023</v>
      </c>
      <c r="D749" t="str">
        <f>IF(MONTH(Raw_Data!B749)&gt;=4,YEAR(Raw_Data!B749)&amp;"-"&amp;RIGHT(YEAR(Raw_Data!B749)+1,2),YEAR(Raw_Data!B749)-1&amp;"-"&amp;RIGHT(YEAR(Raw_Data!B749),2))</f>
        <v>2023-24</v>
      </c>
      <c r="E749" t="str">
        <f>"Q"&amp;ROUNDUP(MONTH(Raw_Data!B749)/3,0)</f>
        <v>Q3</v>
      </c>
      <c r="F749" t="str">
        <f>TEXT(Raw_Data!B749,"mmm")</f>
        <v>Aug</v>
      </c>
      <c r="G749" t="str">
        <f>TEXT(Raw_Data!B749,"ddd")</f>
        <v>Fri</v>
      </c>
      <c r="H749" t="str">
        <f>Raw_Data!D749</f>
        <v>Invoiced</v>
      </c>
      <c r="I749" t="str">
        <f>Raw_Data!F749</f>
        <v>SMS/ Tele-Out</v>
      </c>
      <c r="J749" t="str">
        <f>Raw_Data!G749</f>
        <v>I-BAP Referral</v>
      </c>
      <c r="K749" t="str">
        <f>IFERROR(VLOOKUP(J749,Source_Assumptions!$A:$C,2,0),"Unmapped")</f>
        <v>Referral (Insurance/Banking Partner)</v>
      </c>
      <c r="L749" t="str">
        <f>Raw_Data!H749</f>
        <v>AMAZE Petrol</v>
      </c>
      <c r="M749" t="str">
        <f>IFERROR(VLOOKUP(L749,Model_Assumptions!$A:$D,2,0),"Unmapped")</f>
        <v>Sub-4m Sedan</v>
      </c>
      <c r="N749" t="str">
        <f>IFERROR(VLOOKUP(L749,Model_Assumptions!$A:$D,3,0),"Unmapped")</f>
        <v>Petrol</v>
      </c>
      <c r="O749">
        <f>IFERROR(VLOOKUP(L749,Model_Assumptions!$A:$D,4,0),0)</f>
        <v>850000</v>
      </c>
      <c r="P749">
        <f>IFERROR(VLOOKUP(J749,Source_Assumptions!$A:$C,3,0),0)</f>
        <v>150</v>
      </c>
    </row>
    <row r="750" spans="1:16" x14ac:dyDescent="0.3">
      <c r="A750">
        <f>Raw_Data!A750</f>
        <v>749</v>
      </c>
      <c r="B750" s="2">
        <f>Raw_Data!B750</f>
        <v>45163</v>
      </c>
      <c r="C750">
        <f>YEAR(Raw_Data!B750)</f>
        <v>2023</v>
      </c>
      <c r="D750" t="str">
        <f>IF(MONTH(Raw_Data!B750)&gt;=4,YEAR(Raw_Data!B750)&amp;"-"&amp;RIGHT(YEAR(Raw_Data!B750)+1,2),YEAR(Raw_Data!B750)-1&amp;"-"&amp;RIGHT(YEAR(Raw_Data!B750),2))</f>
        <v>2023-24</v>
      </c>
      <c r="E750" t="str">
        <f>"Q"&amp;ROUNDUP(MONTH(Raw_Data!B750)/3,0)</f>
        <v>Q3</v>
      </c>
      <c r="F750" t="str">
        <f>TEXT(Raw_Data!B750,"mmm")</f>
        <v>Aug</v>
      </c>
      <c r="G750" t="str">
        <f>TEXT(Raw_Data!B750,"ddd")</f>
        <v>Fri</v>
      </c>
      <c r="H750" t="str">
        <f>Raw_Data!D750</f>
        <v>Invoiced</v>
      </c>
      <c r="I750" t="str">
        <f>Raw_Data!F750</f>
        <v>Web Lead</v>
      </c>
      <c r="J750" t="str">
        <f>Raw_Data!G750</f>
        <v>Web</v>
      </c>
      <c r="K750" t="str">
        <f>IFERROR(VLOOKUP(J750,Source_Assumptions!$A:$C,2,0),"Unmapped")</f>
        <v>Digital - Owned</v>
      </c>
      <c r="L750" t="str">
        <f>Raw_Data!H750</f>
        <v>5TH GEN CITY PE</v>
      </c>
      <c r="M750" t="str">
        <f>IFERROR(VLOOKUP(L750,Model_Assumptions!$A:$D,2,0),"Unmapped")</f>
        <v>Mid-size Sedan</v>
      </c>
      <c r="N750" t="str">
        <f>IFERROR(VLOOKUP(L750,Model_Assumptions!$A:$D,3,0),"Unmapped")</f>
        <v>Petrol</v>
      </c>
      <c r="O750">
        <f>IFERROR(VLOOKUP(L750,Model_Assumptions!$A:$D,4,0),0)</f>
        <v>1250000</v>
      </c>
      <c r="P750">
        <f>IFERROR(VLOOKUP(J750,Source_Assumptions!$A:$C,3,0),0)</f>
        <v>300</v>
      </c>
    </row>
    <row r="751" spans="1:16" x14ac:dyDescent="0.3">
      <c r="A751">
        <f>Raw_Data!A751</f>
        <v>750</v>
      </c>
      <c r="B751" s="2">
        <f>Raw_Data!B751</f>
        <v>45164</v>
      </c>
      <c r="C751">
        <f>YEAR(Raw_Data!B751)</f>
        <v>2023</v>
      </c>
      <c r="D751" t="str">
        <f>IF(MONTH(Raw_Data!B751)&gt;=4,YEAR(Raw_Data!B751)&amp;"-"&amp;RIGHT(YEAR(Raw_Data!B751)+1,2),YEAR(Raw_Data!B751)-1&amp;"-"&amp;RIGHT(YEAR(Raw_Data!B751),2))</f>
        <v>2023-24</v>
      </c>
      <c r="E751" t="str">
        <f>"Q"&amp;ROUNDUP(MONTH(Raw_Data!B751)/3,0)</f>
        <v>Q3</v>
      </c>
      <c r="F751" t="str">
        <f>TEXT(Raw_Data!B751,"mmm")</f>
        <v>Aug</v>
      </c>
      <c r="G751" t="str">
        <f>TEXT(Raw_Data!B751,"ddd")</f>
        <v>Sat</v>
      </c>
      <c r="H751" t="str">
        <f>Raw_Data!D751</f>
        <v>Invoiced</v>
      </c>
      <c r="I751" t="str">
        <f>Raw_Data!F751</f>
        <v>Tele-in</v>
      </c>
      <c r="J751" t="str">
        <f>Raw_Data!G751</f>
        <v>Dealer Webpage Tele-In</v>
      </c>
      <c r="K751" t="str">
        <f>IFERROR(VLOOKUP(J751,Source_Assumptions!$A:$C,2,0),"Unmapped")</f>
        <v>Digital - Owned</v>
      </c>
      <c r="L751" t="str">
        <f>Raw_Data!H751</f>
        <v>AMAZE Petrol</v>
      </c>
      <c r="M751" t="str">
        <f>IFERROR(VLOOKUP(L751,Model_Assumptions!$A:$D,2,0),"Unmapped")</f>
        <v>Sub-4m Sedan</v>
      </c>
      <c r="N751" t="str">
        <f>IFERROR(VLOOKUP(L751,Model_Assumptions!$A:$D,3,0),"Unmapped")</f>
        <v>Petrol</v>
      </c>
      <c r="O751">
        <f>IFERROR(VLOOKUP(L751,Model_Assumptions!$A:$D,4,0),0)</f>
        <v>850000</v>
      </c>
      <c r="P751">
        <f>IFERROR(VLOOKUP(J751,Source_Assumptions!$A:$C,3,0),0)</f>
        <v>300</v>
      </c>
    </row>
    <row r="752" spans="1:16" x14ac:dyDescent="0.3">
      <c r="A752">
        <f>Raw_Data!A752</f>
        <v>751</v>
      </c>
      <c r="B752" s="2">
        <f>Raw_Data!B752</f>
        <v>45168</v>
      </c>
      <c r="C752">
        <f>YEAR(Raw_Data!B752)</f>
        <v>2023</v>
      </c>
      <c r="D752" t="str">
        <f>IF(MONTH(Raw_Data!B752)&gt;=4,YEAR(Raw_Data!B752)&amp;"-"&amp;RIGHT(YEAR(Raw_Data!B752)+1,2),YEAR(Raw_Data!B752)-1&amp;"-"&amp;RIGHT(YEAR(Raw_Data!B752),2))</f>
        <v>2023-24</v>
      </c>
      <c r="E752" t="str">
        <f>"Q"&amp;ROUNDUP(MONTH(Raw_Data!B752)/3,0)</f>
        <v>Q3</v>
      </c>
      <c r="F752" t="str">
        <f>TEXT(Raw_Data!B752,"mmm")</f>
        <v>Aug</v>
      </c>
      <c r="G752" t="str">
        <f>TEXT(Raw_Data!B752,"ddd")</f>
        <v>Wed</v>
      </c>
      <c r="H752" t="str">
        <f>Raw_Data!D752</f>
        <v>Invoiced</v>
      </c>
      <c r="I752" t="str">
        <f>Raw_Data!F752</f>
        <v>SMS/ Tele-Out</v>
      </c>
      <c r="J752" t="str">
        <f>Raw_Data!G752</f>
        <v>Database Activity(Teleout/SMS)</v>
      </c>
      <c r="K752" t="str">
        <f>IFERROR(VLOOKUP(J752,Source_Assumptions!$A:$C,2,0),"Unmapped")</f>
        <v>Outbound/Database</v>
      </c>
      <c r="L752" t="str">
        <f>Raw_Data!H752</f>
        <v>AMAZE Petrol</v>
      </c>
      <c r="M752" t="str">
        <f>IFERROR(VLOOKUP(L752,Model_Assumptions!$A:$D,2,0),"Unmapped")</f>
        <v>Sub-4m Sedan</v>
      </c>
      <c r="N752" t="str">
        <f>IFERROR(VLOOKUP(L752,Model_Assumptions!$A:$D,3,0),"Unmapped")</f>
        <v>Petrol</v>
      </c>
      <c r="O752">
        <f>IFERROR(VLOOKUP(L752,Model_Assumptions!$A:$D,4,0),0)</f>
        <v>850000</v>
      </c>
      <c r="P752">
        <f>IFERROR(VLOOKUP(J752,Source_Assumptions!$A:$C,3,0),0)</f>
        <v>250</v>
      </c>
    </row>
    <row r="753" spans="1:16" x14ac:dyDescent="0.3">
      <c r="A753">
        <f>Raw_Data!A753</f>
        <v>752</v>
      </c>
      <c r="B753" s="2">
        <f>Raw_Data!B753</f>
        <v>45168</v>
      </c>
      <c r="C753">
        <f>YEAR(Raw_Data!B753)</f>
        <v>2023</v>
      </c>
      <c r="D753" t="str">
        <f>IF(MONTH(Raw_Data!B753)&gt;=4,YEAR(Raw_Data!B753)&amp;"-"&amp;RIGHT(YEAR(Raw_Data!B753)+1,2),YEAR(Raw_Data!B753)-1&amp;"-"&amp;RIGHT(YEAR(Raw_Data!B753),2))</f>
        <v>2023-24</v>
      </c>
      <c r="E753" t="str">
        <f>"Q"&amp;ROUNDUP(MONTH(Raw_Data!B753)/3,0)</f>
        <v>Q3</v>
      </c>
      <c r="F753" t="str">
        <f>TEXT(Raw_Data!B753,"mmm")</f>
        <v>Aug</v>
      </c>
      <c r="G753" t="str">
        <f>TEXT(Raw_Data!B753,"ddd")</f>
        <v>Wed</v>
      </c>
      <c r="H753" t="str">
        <f>Raw_Data!D753</f>
        <v>Invoiced</v>
      </c>
      <c r="I753" t="str">
        <f>Raw_Data!F753</f>
        <v>Tele-in</v>
      </c>
      <c r="J753" t="str">
        <f>Raw_Data!G753</f>
        <v>Referral-CAM</v>
      </c>
      <c r="K753" t="str">
        <f>IFERROR(VLOOKUP(J753,Source_Assumptions!$A:$C,2,0),"Unmapped")</f>
        <v>Referral</v>
      </c>
      <c r="L753" t="str">
        <f>Raw_Data!H753</f>
        <v>5TH GEN CITY PE</v>
      </c>
      <c r="M753" t="str">
        <f>IFERROR(VLOOKUP(L753,Model_Assumptions!$A:$D,2,0),"Unmapped")</f>
        <v>Mid-size Sedan</v>
      </c>
      <c r="N753" t="str">
        <f>IFERROR(VLOOKUP(L753,Model_Assumptions!$A:$D,3,0),"Unmapped")</f>
        <v>Petrol</v>
      </c>
      <c r="O753">
        <f>IFERROR(VLOOKUP(L753,Model_Assumptions!$A:$D,4,0),0)</f>
        <v>1250000</v>
      </c>
      <c r="P753">
        <f>IFERROR(VLOOKUP(J753,Source_Assumptions!$A:$C,3,0),0)</f>
        <v>150</v>
      </c>
    </row>
    <row r="754" spans="1:16" x14ac:dyDescent="0.3">
      <c r="A754">
        <f>Raw_Data!A754</f>
        <v>753</v>
      </c>
      <c r="B754" s="2">
        <f>Raw_Data!B754</f>
        <v>45168</v>
      </c>
      <c r="C754">
        <f>YEAR(Raw_Data!B754)</f>
        <v>2023</v>
      </c>
      <c r="D754" t="str">
        <f>IF(MONTH(Raw_Data!B754)&gt;=4,YEAR(Raw_Data!B754)&amp;"-"&amp;RIGHT(YEAR(Raw_Data!B754)+1,2),YEAR(Raw_Data!B754)-1&amp;"-"&amp;RIGHT(YEAR(Raw_Data!B754),2))</f>
        <v>2023-24</v>
      </c>
      <c r="E754" t="str">
        <f>"Q"&amp;ROUNDUP(MONTH(Raw_Data!B754)/3,0)</f>
        <v>Q3</v>
      </c>
      <c r="F754" t="str">
        <f>TEXT(Raw_Data!B754,"mmm")</f>
        <v>Aug</v>
      </c>
      <c r="G754" t="str">
        <f>TEXT(Raw_Data!B754,"ddd")</f>
        <v>Wed</v>
      </c>
      <c r="H754" t="str">
        <f>Raw_Data!D754</f>
        <v>Invoiced</v>
      </c>
      <c r="I754" t="str">
        <f>Raw_Data!F754</f>
        <v>Walk-in Showroom</v>
      </c>
      <c r="J754" t="str">
        <f>Raw_Data!G754</f>
        <v>Adver. (TVC/Print/Hoarding/FM)</v>
      </c>
      <c r="K754" t="str">
        <f>IFERROR(VLOOKUP(J754,Source_Assumptions!$A:$C,2,0),"Unmapped")</f>
        <v>Traditional Advertising</v>
      </c>
      <c r="L754" t="str">
        <f>Raw_Data!H754</f>
        <v>5TH GEN CITY PE</v>
      </c>
      <c r="M754" t="str">
        <f>IFERROR(VLOOKUP(L754,Model_Assumptions!$A:$D,2,0),"Unmapped")</f>
        <v>Mid-size Sedan</v>
      </c>
      <c r="N754" t="str">
        <f>IFERROR(VLOOKUP(L754,Model_Assumptions!$A:$D,3,0),"Unmapped")</f>
        <v>Petrol</v>
      </c>
      <c r="O754">
        <f>IFERROR(VLOOKUP(L754,Model_Assumptions!$A:$D,4,0),0)</f>
        <v>1250000</v>
      </c>
      <c r="P754">
        <f>IFERROR(VLOOKUP(J754,Source_Assumptions!$A:$C,3,0),0)</f>
        <v>1200</v>
      </c>
    </row>
    <row r="755" spans="1:16" x14ac:dyDescent="0.3">
      <c r="A755">
        <f>Raw_Data!A755</f>
        <v>754</v>
      </c>
      <c r="B755" s="2">
        <f>Raw_Data!B755</f>
        <v>45168</v>
      </c>
      <c r="C755">
        <f>YEAR(Raw_Data!B755)</f>
        <v>2023</v>
      </c>
      <c r="D755" t="str">
        <f>IF(MONTH(Raw_Data!B755)&gt;=4,YEAR(Raw_Data!B755)&amp;"-"&amp;RIGHT(YEAR(Raw_Data!B755)+1,2),YEAR(Raw_Data!B755)-1&amp;"-"&amp;RIGHT(YEAR(Raw_Data!B755),2))</f>
        <v>2023-24</v>
      </c>
      <c r="E755" t="str">
        <f>"Q"&amp;ROUNDUP(MONTH(Raw_Data!B755)/3,0)</f>
        <v>Q3</v>
      </c>
      <c r="F755" t="str">
        <f>TEXT(Raw_Data!B755,"mmm")</f>
        <v>Aug</v>
      </c>
      <c r="G755" t="str">
        <f>TEXT(Raw_Data!B755,"ddd")</f>
        <v>Wed</v>
      </c>
      <c r="H755" t="str">
        <f>Raw_Data!D755</f>
        <v>Invoiced</v>
      </c>
      <c r="I755" t="str">
        <f>Raw_Data!F755</f>
        <v>Tele-in</v>
      </c>
      <c r="J755" t="str">
        <f>Raw_Data!G755</f>
        <v>Referral-CAM</v>
      </c>
      <c r="K755" t="str">
        <f>IFERROR(VLOOKUP(J755,Source_Assumptions!$A:$C,2,0),"Unmapped")</f>
        <v>Referral</v>
      </c>
      <c r="L755" t="str">
        <f>Raw_Data!H755</f>
        <v>AMAZE Petrol</v>
      </c>
      <c r="M755" t="str">
        <f>IFERROR(VLOOKUP(L755,Model_Assumptions!$A:$D,2,0),"Unmapped")</f>
        <v>Sub-4m Sedan</v>
      </c>
      <c r="N755" t="str">
        <f>IFERROR(VLOOKUP(L755,Model_Assumptions!$A:$D,3,0),"Unmapped")</f>
        <v>Petrol</v>
      </c>
      <c r="O755">
        <f>IFERROR(VLOOKUP(L755,Model_Assumptions!$A:$D,4,0),0)</f>
        <v>850000</v>
      </c>
      <c r="P755">
        <f>IFERROR(VLOOKUP(J755,Source_Assumptions!$A:$C,3,0),0)</f>
        <v>150</v>
      </c>
    </row>
    <row r="756" spans="1:16" x14ac:dyDescent="0.3">
      <c r="A756">
        <f>Raw_Data!A756</f>
        <v>755</v>
      </c>
      <c r="B756" s="2">
        <f>Raw_Data!B756</f>
        <v>45168</v>
      </c>
      <c r="C756">
        <f>YEAR(Raw_Data!B756)</f>
        <v>2023</v>
      </c>
      <c r="D756" t="str">
        <f>IF(MONTH(Raw_Data!B756)&gt;=4,YEAR(Raw_Data!B756)&amp;"-"&amp;RIGHT(YEAR(Raw_Data!B756)+1,2),YEAR(Raw_Data!B756)-1&amp;"-"&amp;RIGHT(YEAR(Raw_Data!B756),2))</f>
        <v>2023-24</v>
      </c>
      <c r="E756" t="str">
        <f>"Q"&amp;ROUNDUP(MONTH(Raw_Data!B756)/3,0)</f>
        <v>Q3</v>
      </c>
      <c r="F756" t="str">
        <f>TEXT(Raw_Data!B756,"mmm")</f>
        <v>Aug</v>
      </c>
      <c r="G756" t="str">
        <f>TEXT(Raw_Data!B756,"ddd")</f>
        <v>Wed</v>
      </c>
      <c r="H756" t="str">
        <f>Raw_Data!D756</f>
        <v>Invoiced</v>
      </c>
      <c r="I756" t="str">
        <f>Raw_Data!F756</f>
        <v>Walk-in Showroom</v>
      </c>
      <c r="J756" t="str">
        <f>Raw_Data!G756</f>
        <v>Adver. (TVC/Print/Hoarding/FM)</v>
      </c>
      <c r="K756" t="str">
        <f>IFERROR(VLOOKUP(J756,Source_Assumptions!$A:$C,2,0),"Unmapped")</f>
        <v>Traditional Advertising</v>
      </c>
      <c r="L756" t="str">
        <f>Raw_Data!H756</f>
        <v>AMAZE Petrol</v>
      </c>
      <c r="M756" t="str">
        <f>IFERROR(VLOOKUP(L756,Model_Assumptions!$A:$D,2,0),"Unmapped")</f>
        <v>Sub-4m Sedan</v>
      </c>
      <c r="N756" t="str">
        <f>IFERROR(VLOOKUP(L756,Model_Assumptions!$A:$D,3,0),"Unmapped")</f>
        <v>Petrol</v>
      </c>
      <c r="O756">
        <f>IFERROR(VLOOKUP(L756,Model_Assumptions!$A:$D,4,0),0)</f>
        <v>850000</v>
      </c>
      <c r="P756">
        <f>IFERROR(VLOOKUP(J756,Source_Assumptions!$A:$C,3,0),0)</f>
        <v>1200</v>
      </c>
    </row>
    <row r="757" spans="1:16" x14ac:dyDescent="0.3">
      <c r="A757">
        <f>Raw_Data!A757</f>
        <v>756</v>
      </c>
      <c r="B757" s="2">
        <f>Raw_Data!B757</f>
        <v>45168</v>
      </c>
      <c r="C757">
        <f>YEAR(Raw_Data!B757)</f>
        <v>2023</v>
      </c>
      <c r="D757" t="str">
        <f>IF(MONTH(Raw_Data!B757)&gt;=4,YEAR(Raw_Data!B757)&amp;"-"&amp;RIGHT(YEAR(Raw_Data!B757)+1,2),YEAR(Raw_Data!B757)-1&amp;"-"&amp;RIGHT(YEAR(Raw_Data!B757),2))</f>
        <v>2023-24</v>
      </c>
      <c r="E757" t="str">
        <f>"Q"&amp;ROUNDUP(MONTH(Raw_Data!B757)/3,0)</f>
        <v>Q3</v>
      </c>
      <c r="F757" t="str">
        <f>TEXT(Raw_Data!B757,"mmm")</f>
        <v>Aug</v>
      </c>
      <c r="G757" t="str">
        <f>TEXT(Raw_Data!B757,"ddd")</f>
        <v>Wed</v>
      </c>
      <c r="H757" t="str">
        <f>Raw_Data!D757</f>
        <v>Invoiced</v>
      </c>
      <c r="I757" t="str">
        <f>Raw_Data!F757</f>
        <v>SMS/ Tele-Out</v>
      </c>
      <c r="J757" t="str">
        <f>Raw_Data!G757</f>
        <v>Database Activity(Teleout/SMS)</v>
      </c>
      <c r="K757" t="str">
        <f>IFERROR(VLOOKUP(J757,Source_Assumptions!$A:$C,2,0),"Unmapped")</f>
        <v>Outbound/Database</v>
      </c>
      <c r="L757" t="str">
        <f>Raw_Data!H757</f>
        <v>5TH GEN CITY PE</v>
      </c>
      <c r="M757" t="str">
        <f>IFERROR(VLOOKUP(L757,Model_Assumptions!$A:$D,2,0),"Unmapped")</f>
        <v>Mid-size Sedan</v>
      </c>
      <c r="N757" t="str">
        <f>IFERROR(VLOOKUP(L757,Model_Assumptions!$A:$D,3,0),"Unmapped")</f>
        <v>Petrol</v>
      </c>
      <c r="O757">
        <f>IFERROR(VLOOKUP(L757,Model_Assumptions!$A:$D,4,0),0)</f>
        <v>1250000</v>
      </c>
      <c r="P757">
        <f>IFERROR(VLOOKUP(J757,Source_Assumptions!$A:$C,3,0),0)</f>
        <v>250</v>
      </c>
    </row>
    <row r="758" spans="1:16" x14ac:dyDescent="0.3">
      <c r="A758">
        <f>Raw_Data!A758</f>
        <v>757</v>
      </c>
      <c r="B758" s="2">
        <f>Raw_Data!B758</f>
        <v>45168</v>
      </c>
      <c r="C758">
        <f>YEAR(Raw_Data!B758)</f>
        <v>2023</v>
      </c>
      <c r="D758" t="str">
        <f>IF(MONTH(Raw_Data!B758)&gt;=4,YEAR(Raw_Data!B758)&amp;"-"&amp;RIGHT(YEAR(Raw_Data!B758)+1,2),YEAR(Raw_Data!B758)-1&amp;"-"&amp;RIGHT(YEAR(Raw_Data!B758),2))</f>
        <v>2023-24</v>
      </c>
      <c r="E758" t="str">
        <f>"Q"&amp;ROUNDUP(MONTH(Raw_Data!B758)/3,0)</f>
        <v>Q3</v>
      </c>
      <c r="F758" t="str">
        <f>TEXT(Raw_Data!B758,"mmm")</f>
        <v>Aug</v>
      </c>
      <c r="G758" t="str">
        <f>TEXT(Raw_Data!B758,"ddd")</f>
        <v>Wed</v>
      </c>
      <c r="H758" t="str">
        <f>Raw_Data!D758</f>
        <v>Invoiced</v>
      </c>
      <c r="I758" t="str">
        <f>Raw_Data!F758</f>
        <v>SMS/ Tele-Out</v>
      </c>
      <c r="J758" t="str">
        <f>Raw_Data!G758</f>
        <v>Database Activity(Teleout/SMS)</v>
      </c>
      <c r="K758" t="str">
        <f>IFERROR(VLOOKUP(J758,Source_Assumptions!$A:$C,2,0),"Unmapped")</f>
        <v>Outbound/Database</v>
      </c>
      <c r="L758" t="str">
        <f>Raw_Data!H758</f>
        <v>AMAZE Petrol</v>
      </c>
      <c r="M758" t="str">
        <f>IFERROR(VLOOKUP(L758,Model_Assumptions!$A:$D,2,0),"Unmapped")</f>
        <v>Sub-4m Sedan</v>
      </c>
      <c r="N758" t="str">
        <f>IFERROR(VLOOKUP(L758,Model_Assumptions!$A:$D,3,0),"Unmapped")</f>
        <v>Petrol</v>
      </c>
      <c r="O758">
        <f>IFERROR(VLOOKUP(L758,Model_Assumptions!$A:$D,4,0),0)</f>
        <v>850000</v>
      </c>
      <c r="P758">
        <f>IFERROR(VLOOKUP(J758,Source_Assumptions!$A:$C,3,0),0)</f>
        <v>250</v>
      </c>
    </row>
    <row r="759" spans="1:16" x14ac:dyDescent="0.3">
      <c r="A759">
        <f>Raw_Data!A759</f>
        <v>758</v>
      </c>
      <c r="B759" s="2">
        <f>Raw_Data!B759</f>
        <v>45169</v>
      </c>
      <c r="C759">
        <f>YEAR(Raw_Data!B759)</f>
        <v>2023</v>
      </c>
      <c r="D759" t="str">
        <f>IF(MONTH(Raw_Data!B759)&gt;=4,YEAR(Raw_Data!B759)&amp;"-"&amp;RIGHT(YEAR(Raw_Data!B759)+1,2),YEAR(Raw_Data!B759)-1&amp;"-"&amp;RIGHT(YEAR(Raw_Data!B759),2))</f>
        <v>2023-24</v>
      </c>
      <c r="E759" t="str">
        <f>"Q"&amp;ROUNDUP(MONTH(Raw_Data!B759)/3,0)</f>
        <v>Q3</v>
      </c>
      <c r="F759" t="str">
        <f>TEXT(Raw_Data!B759,"mmm")</f>
        <v>Aug</v>
      </c>
      <c r="G759" t="str">
        <f>TEXT(Raw_Data!B759,"ddd")</f>
        <v>Thu</v>
      </c>
      <c r="H759" t="str">
        <f>Raw_Data!D759</f>
        <v>Invoiced</v>
      </c>
      <c r="I759" t="str">
        <f>Raw_Data!F759</f>
        <v>Tele-in</v>
      </c>
      <c r="J759" t="str">
        <f>Raw_Data!G759</f>
        <v>Dealer Webpage Tele-In</v>
      </c>
      <c r="K759" t="str">
        <f>IFERROR(VLOOKUP(J759,Source_Assumptions!$A:$C,2,0),"Unmapped")</f>
        <v>Digital - Owned</v>
      </c>
      <c r="L759" t="str">
        <f>Raw_Data!H759</f>
        <v>AMAZE Petrol</v>
      </c>
      <c r="M759" t="str">
        <f>IFERROR(VLOOKUP(L759,Model_Assumptions!$A:$D,2,0),"Unmapped")</f>
        <v>Sub-4m Sedan</v>
      </c>
      <c r="N759" t="str">
        <f>IFERROR(VLOOKUP(L759,Model_Assumptions!$A:$D,3,0),"Unmapped")</f>
        <v>Petrol</v>
      </c>
      <c r="O759">
        <f>IFERROR(VLOOKUP(L759,Model_Assumptions!$A:$D,4,0),0)</f>
        <v>850000</v>
      </c>
      <c r="P759">
        <f>IFERROR(VLOOKUP(J759,Source_Assumptions!$A:$C,3,0),0)</f>
        <v>300</v>
      </c>
    </row>
    <row r="760" spans="1:16" x14ac:dyDescent="0.3">
      <c r="A760">
        <f>Raw_Data!A760</f>
        <v>759</v>
      </c>
      <c r="B760" s="2">
        <f>Raw_Data!B760</f>
        <v>45174</v>
      </c>
      <c r="C760">
        <f>YEAR(Raw_Data!B760)</f>
        <v>2023</v>
      </c>
      <c r="D760" t="str">
        <f>IF(MONTH(Raw_Data!B760)&gt;=4,YEAR(Raw_Data!B760)&amp;"-"&amp;RIGHT(YEAR(Raw_Data!B760)+1,2),YEAR(Raw_Data!B760)-1&amp;"-"&amp;RIGHT(YEAR(Raw_Data!B760),2))</f>
        <v>2023-24</v>
      </c>
      <c r="E760" t="str">
        <f>"Q"&amp;ROUNDUP(MONTH(Raw_Data!B760)/3,0)</f>
        <v>Q3</v>
      </c>
      <c r="F760" t="str">
        <f>TEXT(Raw_Data!B760,"mmm")</f>
        <v>Sep</v>
      </c>
      <c r="G760" t="str">
        <f>TEXT(Raw_Data!B760,"ddd")</f>
        <v>Tue</v>
      </c>
      <c r="H760" t="str">
        <f>Raw_Data!D760</f>
        <v>Invoiced</v>
      </c>
      <c r="I760" t="str">
        <f>Raw_Data!F760</f>
        <v>Walk-in Showroom</v>
      </c>
      <c r="J760" t="str">
        <f>Raw_Data!G760</f>
        <v>UIO Re-purchase</v>
      </c>
      <c r="K760" t="str">
        <f>IFERROR(VLOOKUP(J760,Source_Assumptions!$A:$C,2,0),"Unmapped")</f>
        <v>Existing Customer</v>
      </c>
      <c r="L760" t="str">
        <f>Raw_Data!H760</f>
        <v>ELEVATE</v>
      </c>
      <c r="M760" t="str">
        <f>IFERROR(VLOOKUP(L760,Model_Assumptions!$A:$D,2,0),"Unmapped")</f>
        <v>Compact SUV</v>
      </c>
      <c r="N760" t="str">
        <f>IFERROR(VLOOKUP(L760,Model_Assumptions!$A:$D,3,0),"Unmapped")</f>
        <v>Petrol</v>
      </c>
      <c r="O760">
        <f>IFERROR(VLOOKUP(L760,Model_Assumptions!$A:$D,4,0),0)</f>
        <v>1300000</v>
      </c>
      <c r="P760">
        <f>IFERROR(VLOOKUP(J760,Source_Assumptions!$A:$C,3,0),0)</f>
        <v>50</v>
      </c>
    </row>
    <row r="761" spans="1:16" x14ac:dyDescent="0.3">
      <c r="A761">
        <f>Raw_Data!A761</f>
        <v>760</v>
      </c>
      <c r="B761" s="2">
        <f>Raw_Data!B761</f>
        <v>45174</v>
      </c>
      <c r="C761">
        <f>YEAR(Raw_Data!B761)</f>
        <v>2023</v>
      </c>
      <c r="D761" t="str">
        <f>IF(MONTH(Raw_Data!B761)&gt;=4,YEAR(Raw_Data!B761)&amp;"-"&amp;RIGHT(YEAR(Raw_Data!B761)+1,2),YEAR(Raw_Data!B761)-1&amp;"-"&amp;RIGHT(YEAR(Raw_Data!B761),2))</f>
        <v>2023-24</v>
      </c>
      <c r="E761" t="str">
        <f>"Q"&amp;ROUNDUP(MONTH(Raw_Data!B761)/3,0)</f>
        <v>Q3</v>
      </c>
      <c r="F761" t="str">
        <f>TEXT(Raw_Data!B761,"mmm")</f>
        <v>Sep</v>
      </c>
      <c r="G761" t="str">
        <f>TEXT(Raw_Data!B761,"ddd")</f>
        <v>Tue</v>
      </c>
      <c r="H761" t="str">
        <f>Raw_Data!D761</f>
        <v>Invoiced</v>
      </c>
      <c r="I761" t="str">
        <f>Raw_Data!F761</f>
        <v>Walk-in Showroom</v>
      </c>
      <c r="J761" t="str">
        <f>Raw_Data!G761</f>
        <v>Adver. (TVC/Print/Hoarding/FM)</v>
      </c>
      <c r="K761" t="str">
        <f>IFERROR(VLOOKUP(J761,Source_Assumptions!$A:$C,2,0),"Unmapped")</f>
        <v>Traditional Advertising</v>
      </c>
      <c r="L761" t="str">
        <f>Raw_Data!H761</f>
        <v>AMAZE Petrol</v>
      </c>
      <c r="M761" t="str">
        <f>IFERROR(VLOOKUP(L761,Model_Assumptions!$A:$D,2,0),"Unmapped")</f>
        <v>Sub-4m Sedan</v>
      </c>
      <c r="N761" t="str">
        <f>IFERROR(VLOOKUP(L761,Model_Assumptions!$A:$D,3,0),"Unmapped")</f>
        <v>Petrol</v>
      </c>
      <c r="O761">
        <f>IFERROR(VLOOKUP(L761,Model_Assumptions!$A:$D,4,0),0)</f>
        <v>850000</v>
      </c>
      <c r="P761">
        <f>IFERROR(VLOOKUP(J761,Source_Assumptions!$A:$C,3,0),0)</f>
        <v>1200</v>
      </c>
    </row>
    <row r="762" spans="1:16" x14ac:dyDescent="0.3">
      <c r="A762">
        <f>Raw_Data!A762</f>
        <v>761</v>
      </c>
      <c r="B762" s="2">
        <f>Raw_Data!B762</f>
        <v>45176</v>
      </c>
      <c r="C762">
        <f>YEAR(Raw_Data!B762)</f>
        <v>2023</v>
      </c>
      <c r="D762" t="str">
        <f>IF(MONTH(Raw_Data!B762)&gt;=4,YEAR(Raw_Data!B762)&amp;"-"&amp;RIGHT(YEAR(Raw_Data!B762)+1,2),YEAR(Raw_Data!B762)-1&amp;"-"&amp;RIGHT(YEAR(Raw_Data!B762),2))</f>
        <v>2023-24</v>
      </c>
      <c r="E762" t="str">
        <f>"Q"&amp;ROUNDUP(MONTH(Raw_Data!B762)/3,0)</f>
        <v>Q3</v>
      </c>
      <c r="F762" t="str">
        <f>TEXT(Raw_Data!B762,"mmm")</f>
        <v>Sep</v>
      </c>
      <c r="G762" t="str">
        <f>TEXT(Raw_Data!B762,"ddd")</f>
        <v>Thu</v>
      </c>
      <c r="H762" t="str">
        <f>Raw_Data!D762</f>
        <v>Invoiced</v>
      </c>
      <c r="I762" t="str">
        <f>Raw_Data!F762</f>
        <v>Web Lead</v>
      </c>
      <c r="J762" t="str">
        <f>Raw_Data!G762</f>
        <v>Dealer Webpage Lead</v>
      </c>
      <c r="K762" t="str">
        <f>IFERROR(VLOOKUP(J762,Source_Assumptions!$A:$C,2,0),"Unmapped")</f>
        <v>Digital - Owned</v>
      </c>
      <c r="L762" t="str">
        <f>Raw_Data!H762</f>
        <v>ELEVATE</v>
      </c>
      <c r="M762" t="str">
        <f>IFERROR(VLOOKUP(L762,Model_Assumptions!$A:$D,2,0),"Unmapped")</f>
        <v>Compact SUV</v>
      </c>
      <c r="N762" t="str">
        <f>IFERROR(VLOOKUP(L762,Model_Assumptions!$A:$D,3,0),"Unmapped")</f>
        <v>Petrol</v>
      </c>
      <c r="O762">
        <f>IFERROR(VLOOKUP(L762,Model_Assumptions!$A:$D,4,0),0)</f>
        <v>1300000</v>
      </c>
      <c r="P762">
        <f>IFERROR(VLOOKUP(J762,Source_Assumptions!$A:$C,3,0),0)</f>
        <v>300</v>
      </c>
    </row>
    <row r="763" spans="1:16" x14ac:dyDescent="0.3">
      <c r="A763">
        <f>Raw_Data!A763</f>
        <v>762</v>
      </c>
      <c r="B763" s="2">
        <f>Raw_Data!B763</f>
        <v>45177</v>
      </c>
      <c r="C763">
        <f>YEAR(Raw_Data!B763)</f>
        <v>2023</v>
      </c>
      <c r="D763" t="str">
        <f>IF(MONTH(Raw_Data!B763)&gt;=4,YEAR(Raw_Data!B763)&amp;"-"&amp;RIGHT(YEAR(Raw_Data!B763)+1,2),YEAR(Raw_Data!B763)-1&amp;"-"&amp;RIGHT(YEAR(Raw_Data!B763),2))</f>
        <v>2023-24</v>
      </c>
      <c r="E763" t="str">
        <f>"Q"&amp;ROUNDUP(MONTH(Raw_Data!B763)/3,0)</f>
        <v>Q3</v>
      </c>
      <c r="F763" t="str">
        <f>TEXT(Raw_Data!B763,"mmm")</f>
        <v>Sep</v>
      </c>
      <c r="G763" t="str">
        <f>TEXT(Raw_Data!B763,"ddd")</f>
        <v>Fri</v>
      </c>
      <c r="H763" t="str">
        <f>Raw_Data!D763</f>
        <v>Invoiced</v>
      </c>
      <c r="I763" t="str">
        <f>Raw_Data!F763</f>
        <v>Walk-in Showroom</v>
      </c>
      <c r="J763" t="str">
        <f>Raw_Data!G763</f>
        <v>Adver. (TVC/Print/Hoarding/FM)</v>
      </c>
      <c r="K763" t="str">
        <f>IFERROR(VLOOKUP(J763,Source_Assumptions!$A:$C,2,0),"Unmapped")</f>
        <v>Traditional Advertising</v>
      </c>
      <c r="L763" t="str">
        <f>Raw_Data!H763</f>
        <v>ELEVATE</v>
      </c>
      <c r="M763" t="str">
        <f>IFERROR(VLOOKUP(L763,Model_Assumptions!$A:$D,2,0),"Unmapped")</f>
        <v>Compact SUV</v>
      </c>
      <c r="N763" t="str">
        <f>IFERROR(VLOOKUP(L763,Model_Assumptions!$A:$D,3,0),"Unmapped")</f>
        <v>Petrol</v>
      </c>
      <c r="O763">
        <f>IFERROR(VLOOKUP(L763,Model_Assumptions!$A:$D,4,0),0)</f>
        <v>1300000</v>
      </c>
      <c r="P763">
        <f>IFERROR(VLOOKUP(J763,Source_Assumptions!$A:$C,3,0),0)</f>
        <v>1200</v>
      </c>
    </row>
    <row r="764" spans="1:16" x14ac:dyDescent="0.3">
      <c r="A764">
        <f>Raw_Data!A764</f>
        <v>763</v>
      </c>
      <c r="B764" s="2">
        <f>Raw_Data!B764</f>
        <v>45178</v>
      </c>
      <c r="C764">
        <f>YEAR(Raw_Data!B764)</f>
        <v>2023</v>
      </c>
      <c r="D764" t="str">
        <f>IF(MONTH(Raw_Data!B764)&gt;=4,YEAR(Raw_Data!B764)&amp;"-"&amp;RIGHT(YEAR(Raw_Data!B764)+1,2),YEAR(Raw_Data!B764)-1&amp;"-"&amp;RIGHT(YEAR(Raw_Data!B764),2))</f>
        <v>2023-24</v>
      </c>
      <c r="E764" t="str">
        <f>"Q"&amp;ROUNDUP(MONTH(Raw_Data!B764)/3,0)</f>
        <v>Q3</v>
      </c>
      <c r="F764" t="str">
        <f>TEXT(Raw_Data!B764,"mmm")</f>
        <v>Sep</v>
      </c>
      <c r="G764" t="str">
        <f>TEXT(Raw_Data!B764,"ddd")</f>
        <v>Sat</v>
      </c>
      <c r="H764" t="str">
        <f>Raw_Data!D764</f>
        <v>Invoiced</v>
      </c>
      <c r="I764" t="str">
        <f>Raw_Data!F764</f>
        <v>Web Lead</v>
      </c>
      <c r="J764" t="str">
        <f>Raw_Data!G764</f>
        <v>Web</v>
      </c>
      <c r="K764" t="str">
        <f>IFERROR(VLOOKUP(J764,Source_Assumptions!$A:$C,2,0),"Unmapped")</f>
        <v>Digital - Owned</v>
      </c>
      <c r="L764" t="str">
        <f>Raw_Data!H764</f>
        <v>ELEVATE</v>
      </c>
      <c r="M764" t="str">
        <f>IFERROR(VLOOKUP(L764,Model_Assumptions!$A:$D,2,0),"Unmapped")</f>
        <v>Compact SUV</v>
      </c>
      <c r="N764" t="str">
        <f>IFERROR(VLOOKUP(L764,Model_Assumptions!$A:$D,3,0),"Unmapped")</f>
        <v>Petrol</v>
      </c>
      <c r="O764">
        <f>IFERROR(VLOOKUP(L764,Model_Assumptions!$A:$D,4,0),0)</f>
        <v>1300000</v>
      </c>
      <c r="P764">
        <f>IFERROR(VLOOKUP(J764,Source_Assumptions!$A:$C,3,0),0)</f>
        <v>300</v>
      </c>
    </row>
    <row r="765" spans="1:16" x14ac:dyDescent="0.3">
      <c r="A765">
        <f>Raw_Data!A765</f>
        <v>764</v>
      </c>
      <c r="B765" s="2">
        <f>Raw_Data!B765</f>
        <v>45181</v>
      </c>
      <c r="C765">
        <f>YEAR(Raw_Data!B765)</f>
        <v>2023</v>
      </c>
      <c r="D765" t="str">
        <f>IF(MONTH(Raw_Data!B765)&gt;=4,YEAR(Raw_Data!B765)&amp;"-"&amp;RIGHT(YEAR(Raw_Data!B765)+1,2),YEAR(Raw_Data!B765)-1&amp;"-"&amp;RIGHT(YEAR(Raw_Data!B765),2))</f>
        <v>2023-24</v>
      </c>
      <c r="E765" t="str">
        <f>"Q"&amp;ROUNDUP(MONTH(Raw_Data!B765)/3,0)</f>
        <v>Q3</v>
      </c>
      <c r="F765" t="str">
        <f>TEXT(Raw_Data!B765,"mmm")</f>
        <v>Sep</v>
      </c>
      <c r="G765" t="str">
        <f>TEXT(Raw_Data!B765,"ddd")</f>
        <v>Tue</v>
      </c>
      <c r="H765" t="str">
        <f>Raw_Data!D765</f>
        <v>Invoiced</v>
      </c>
      <c r="I765" t="str">
        <f>Raw_Data!F765</f>
        <v>Tele-in</v>
      </c>
      <c r="J765" t="str">
        <f>Raw_Data!G765</f>
        <v>Dealer Webpage Tele-In</v>
      </c>
      <c r="K765" t="str">
        <f>IFERROR(VLOOKUP(J765,Source_Assumptions!$A:$C,2,0),"Unmapped")</f>
        <v>Digital - Owned</v>
      </c>
      <c r="L765" t="str">
        <f>Raw_Data!H765</f>
        <v>AMAZE Petrol</v>
      </c>
      <c r="M765" t="str">
        <f>IFERROR(VLOOKUP(L765,Model_Assumptions!$A:$D,2,0),"Unmapped")</f>
        <v>Sub-4m Sedan</v>
      </c>
      <c r="N765" t="str">
        <f>IFERROR(VLOOKUP(L765,Model_Assumptions!$A:$D,3,0),"Unmapped")</f>
        <v>Petrol</v>
      </c>
      <c r="O765">
        <f>IFERROR(VLOOKUP(L765,Model_Assumptions!$A:$D,4,0),0)</f>
        <v>850000</v>
      </c>
      <c r="P765">
        <f>IFERROR(VLOOKUP(J765,Source_Assumptions!$A:$C,3,0),0)</f>
        <v>300</v>
      </c>
    </row>
    <row r="766" spans="1:16" x14ac:dyDescent="0.3">
      <c r="A766">
        <f>Raw_Data!A766</f>
        <v>765</v>
      </c>
      <c r="B766" s="2">
        <f>Raw_Data!B766</f>
        <v>45182</v>
      </c>
      <c r="C766">
        <f>YEAR(Raw_Data!B766)</f>
        <v>2023</v>
      </c>
      <c r="D766" t="str">
        <f>IF(MONTH(Raw_Data!B766)&gt;=4,YEAR(Raw_Data!B766)&amp;"-"&amp;RIGHT(YEAR(Raw_Data!B766)+1,2),YEAR(Raw_Data!B766)-1&amp;"-"&amp;RIGHT(YEAR(Raw_Data!B766),2))</f>
        <v>2023-24</v>
      </c>
      <c r="E766" t="str">
        <f>"Q"&amp;ROUNDUP(MONTH(Raw_Data!B766)/3,0)</f>
        <v>Q3</v>
      </c>
      <c r="F766" t="str">
        <f>TEXT(Raw_Data!B766,"mmm")</f>
        <v>Sep</v>
      </c>
      <c r="G766" t="str">
        <f>TEXT(Raw_Data!B766,"ddd")</f>
        <v>Wed</v>
      </c>
      <c r="H766" t="str">
        <f>Raw_Data!D766</f>
        <v>Invoiced</v>
      </c>
      <c r="I766" t="str">
        <f>Raw_Data!F766</f>
        <v>Tele-in</v>
      </c>
      <c r="J766" t="str">
        <f>Raw_Data!G766</f>
        <v>Dealer Webpage Tele-In</v>
      </c>
      <c r="K766" t="str">
        <f>IFERROR(VLOOKUP(J766,Source_Assumptions!$A:$C,2,0),"Unmapped")</f>
        <v>Digital - Owned</v>
      </c>
      <c r="L766" t="str">
        <f>Raw_Data!H766</f>
        <v>ELEVATE</v>
      </c>
      <c r="M766" t="str">
        <f>IFERROR(VLOOKUP(L766,Model_Assumptions!$A:$D,2,0),"Unmapped")</f>
        <v>Compact SUV</v>
      </c>
      <c r="N766" t="str">
        <f>IFERROR(VLOOKUP(L766,Model_Assumptions!$A:$D,3,0),"Unmapped")</f>
        <v>Petrol</v>
      </c>
      <c r="O766">
        <f>IFERROR(VLOOKUP(L766,Model_Assumptions!$A:$D,4,0),0)</f>
        <v>1300000</v>
      </c>
      <c r="P766">
        <f>IFERROR(VLOOKUP(J766,Source_Assumptions!$A:$C,3,0),0)</f>
        <v>300</v>
      </c>
    </row>
    <row r="767" spans="1:16" x14ac:dyDescent="0.3">
      <c r="A767">
        <f>Raw_Data!A767</f>
        <v>766</v>
      </c>
      <c r="B767" s="2">
        <f>Raw_Data!B767</f>
        <v>45183</v>
      </c>
      <c r="C767">
        <f>YEAR(Raw_Data!B767)</f>
        <v>2023</v>
      </c>
      <c r="D767" t="str">
        <f>IF(MONTH(Raw_Data!B767)&gt;=4,YEAR(Raw_Data!B767)&amp;"-"&amp;RIGHT(YEAR(Raw_Data!B767)+1,2),YEAR(Raw_Data!B767)-1&amp;"-"&amp;RIGHT(YEAR(Raw_Data!B767),2))</f>
        <v>2023-24</v>
      </c>
      <c r="E767" t="str">
        <f>"Q"&amp;ROUNDUP(MONTH(Raw_Data!B767)/3,0)</f>
        <v>Q3</v>
      </c>
      <c r="F767" t="str">
        <f>TEXT(Raw_Data!B767,"mmm")</f>
        <v>Sep</v>
      </c>
      <c r="G767" t="str">
        <f>TEXT(Raw_Data!B767,"ddd")</f>
        <v>Thu</v>
      </c>
      <c r="H767" t="str">
        <f>Raw_Data!D767</f>
        <v>Invoiced</v>
      </c>
      <c r="I767" t="str">
        <f>Raw_Data!F767</f>
        <v>Walk-in Event</v>
      </c>
      <c r="J767" t="str">
        <f>Raw_Data!G767</f>
        <v>Adver. (TVC/Print/Hoarding/FM)</v>
      </c>
      <c r="K767" t="str">
        <f>IFERROR(VLOOKUP(J767,Source_Assumptions!$A:$C,2,0),"Unmapped")</f>
        <v>Traditional Advertising</v>
      </c>
      <c r="L767" t="str">
        <f>Raw_Data!H767</f>
        <v>AMAZE Petrol</v>
      </c>
      <c r="M767" t="str">
        <f>IFERROR(VLOOKUP(L767,Model_Assumptions!$A:$D,2,0),"Unmapped")</f>
        <v>Sub-4m Sedan</v>
      </c>
      <c r="N767" t="str">
        <f>IFERROR(VLOOKUP(L767,Model_Assumptions!$A:$D,3,0),"Unmapped")</f>
        <v>Petrol</v>
      </c>
      <c r="O767">
        <f>IFERROR(VLOOKUP(L767,Model_Assumptions!$A:$D,4,0),0)</f>
        <v>850000</v>
      </c>
      <c r="P767">
        <f>IFERROR(VLOOKUP(J767,Source_Assumptions!$A:$C,3,0),0)</f>
        <v>1200</v>
      </c>
    </row>
    <row r="768" spans="1:16" x14ac:dyDescent="0.3">
      <c r="A768">
        <f>Raw_Data!A768</f>
        <v>767</v>
      </c>
      <c r="B768" s="2">
        <f>Raw_Data!B768</f>
        <v>45183</v>
      </c>
      <c r="C768">
        <f>YEAR(Raw_Data!B768)</f>
        <v>2023</v>
      </c>
      <c r="D768" t="str">
        <f>IF(MONTH(Raw_Data!B768)&gt;=4,YEAR(Raw_Data!B768)&amp;"-"&amp;RIGHT(YEAR(Raw_Data!B768)+1,2),YEAR(Raw_Data!B768)-1&amp;"-"&amp;RIGHT(YEAR(Raw_Data!B768),2))</f>
        <v>2023-24</v>
      </c>
      <c r="E768" t="str">
        <f>"Q"&amp;ROUNDUP(MONTH(Raw_Data!B768)/3,0)</f>
        <v>Q3</v>
      </c>
      <c r="F768" t="str">
        <f>TEXT(Raw_Data!B768,"mmm")</f>
        <v>Sep</v>
      </c>
      <c r="G768" t="str">
        <f>TEXT(Raw_Data!B768,"ddd")</f>
        <v>Thu</v>
      </c>
      <c r="H768" t="str">
        <f>Raw_Data!D768</f>
        <v>Invoiced</v>
      </c>
      <c r="I768" t="str">
        <f>Raw_Data!F768</f>
        <v>Walk-in Showroom</v>
      </c>
      <c r="J768" t="str">
        <f>Raw_Data!G768</f>
        <v>Adver. (TVC/Print/Hoarding/FM)</v>
      </c>
      <c r="K768" t="str">
        <f>IFERROR(VLOOKUP(J768,Source_Assumptions!$A:$C,2,0),"Unmapped")</f>
        <v>Traditional Advertising</v>
      </c>
      <c r="L768" t="str">
        <f>Raw_Data!H768</f>
        <v>5TH GEN CITY PE</v>
      </c>
      <c r="M768" t="str">
        <f>IFERROR(VLOOKUP(L768,Model_Assumptions!$A:$D,2,0),"Unmapped")</f>
        <v>Mid-size Sedan</v>
      </c>
      <c r="N768" t="str">
        <f>IFERROR(VLOOKUP(L768,Model_Assumptions!$A:$D,3,0),"Unmapped")</f>
        <v>Petrol</v>
      </c>
      <c r="O768">
        <f>IFERROR(VLOOKUP(L768,Model_Assumptions!$A:$D,4,0),0)</f>
        <v>1250000</v>
      </c>
      <c r="P768">
        <f>IFERROR(VLOOKUP(J768,Source_Assumptions!$A:$C,3,0),0)</f>
        <v>1200</v>
      </c>
    </row>
    <row r="769" spans="1:16" x14ac:dyDescent="0.3">
      <c r="A769">
        <f>Raw_Data!A769</f>
        <v>768</v>
      </c>
      <c r="B769" s="2">
        <f>Raw_Data!B769</f>
        <v>45183</v>
      </c>
      <c r="C769">
        <f>YEAR(Raw_Data!B769)</f>
        <v>2023</v>
      </c>
      <c r="D769" t="str">
        <f>IF(MONTH(Raw_Data!B769)&gt;=4,YEAR(Raw_Data!B769)&amp;"-"&amp;RIGHT(YEAR(Raw_Data!B769)+1,2),YEAR(Raw_Data!B769)-1&amp;"-"&amp;RIGHT(YEAR(Raw_Data!B769),2))</f>
        <v>2023-24</v>
      </c>
      <c r="E769" t="str">
        <f>"Q"&amp;ROUNDUP(MONTH(Raw_Data!B769)/3,0)</f>
        <v>Q3</v>
      </c>
      <c r="F769" t="str">
        <f>TEXT(Raw_Data!B769,"mmm")</f>
        <v>Sep</v>
      </c>
      <c r="G769" t="str">
        <f>TEXT(Raw_Data!B769,"ddd")</f>
        <v>Thu</v>
      </c>
      <c r="H769" t="str">
        <f>Raw_Data!D769</f>
        <v>Invoiced</v>
      </c>
      <c r="I769" t="str">
        <f>Raw_Data!F769</f>
        <v>Tele-in</v>
      </c>
      <c r="J769" t="str">
        <f>Raw_Data!G769</f>
        <v>Dealer Webpage Tele-In</v>
      </c>
      <c r="K769" t="str">
        <f>IFERROR(VLOOKUP(J769,Source_Assumptions!$A:$C,2,0),"Unmapped")</f>
        <v>Digital - Owned</v>
      </c>
      <c r="L769" t="str">
        <f>Raw_Data!H769</f>
        <v>5TH GEN CITY PE</v>
      </c>
      <c r="M769" t="str">
        <f>IFERROR(VLOOKUP(L769,Model_Assumptions!$A:$D,2,0),"Unmapped")</f>
        <v>Mid-size Sedan</v>
      </c>
      <c r="N769" t="str">
        <f>IFERROR(VLOOKUP(L769,Model_Assumptions!$A:$D,3,0),"Unmapped")</f>
        <v>Petrol</v>
      </c>
      <c r="O769">
        <f>IFERROR(VLOOKUP(L769,Model_Assumptions!$A:$D,4,0),0)</f>
        <v>1250000</v>
      </c>
      <c r="P769">
        <f>IFERROR(VLOOKUP(J769,Source_Assumptions!$A:$C,3,0),0)</f>
        <v>300</v>
      </c>
    </row>
    <row r="770" spans="1:16" x14ac:dyDescent="0.3">
      <c r="A770">
        <f>Raw_Data!A770</f>
        <v>769</v>
      </c>
      <c r="B770" s="2">
        <f>Raw_Data!B770</f>
        <v>45183</v>
      </c>
      <c r="C770">
        <f>YEAR(Raw_Data!B770)</f>
        <v>2023</v>
      </c>
      <c r="D770" t="str">
        <f>IF(MONTH(Raw_Data!B770)&gt;=4,YEAR(Raw_Data!B770)&amp;"-"&amp;RIGHT(YEAR(Raw_Data!B770)+1,2),YEAR(Raw_Data!B770)-1&amp;"-"&amp;RIGHT(YEAR(Raw_Data!B770),2))</f>
        <v>2023-24</v>
      </c>
      <c r="E770" t="str">
        <f>"Q"&amp;ROUNDUP(MONTH(Raw_Data!B770)/3,0)</f>
        <v>Q3</v>
      </c>
      <c r="F770" t="str">
        <f>TEXT(Raw_Data!B770,"mmm")</f>
        <v>Sep</v>
      </c>
      <c r="G770" t="str">
        <f>TEXT(Raw_Data!B770,"ddd")</f>
        <v>Thu</v>
      </c>
      <c r="H770" t="str">
        <f>Raw_Data!D770</f>
        <v>Invoiced</v>
      </c>
      <c r="I770" t="str">
        <f>Raw_Data!F770</f>
        <v>Walk-in Showroom</v>
      </c>
      <c r="J770" t="str">
        <f>Raw_Data!G770</f>
        <v>Adver. (TVC/Print/Hoarding/FM)</v>
      </c>
      <c r="K770" t="str">
        <f>IFERROR(VLOOKUP(J770,Source_Assumptions!$A:$C,2,0),"Unmapped")</f>
        <v>Traditional Advertising</v>
      </c>
      <c r="L770" t="str">
        <f>Raw_Data!H770</f>
        <v>AMAZE Petrol</v>
      </c>
      <c r="M770" t="str">
        <f>IFERROR(VLOOKUP(L770,Model_Assumptions!$A:$D,2,0),"Unmapped")</f>
        <v>Sub-4m Sedan</v>
      </c>
      <c r="N770" t="str">
        <f>IFERROR(VLOOKUP(L770,Model_Assumptions!$A:$D,3,0),"Unmapped")</f>
        <v>Petrol</v>
      </c>
      <c r="O770">
        <f>IFERROR(VLOOKUP(L770,Model_Assumptions!$A:$D,4,0),0)</f>
        <v>850000</v>
      </c>
      <c r="P770">
        <f>IFERROR(VLOOKUP(J770,Source_Assumptions!$A:$C,3,0),0)</f>
        <v>1200</v>
      </c>
    </row>
    <row r="771" spans="1:16" x14ac:dyDescent="0.3">
      <c r="A771">
        <f>Raw_Data!A771</f>
        <v>770</v>
      </c>
      <c r="B771" s="2">
        <f>Raw_Data!B771</f>
        <v>45184</v>
      </c>
      <c r="C771">
        <f>YEAR(Raw_Data!B771)</f>
        <v>2023</v>
      </c>
      <c r="D771" t="str">
        <f>IF(MONTH(Raw_Data!B771)&gt;=4,YEAR(Raw_Data!B771)&amp;"-"&amp;RIGHT(YEAR(Raw_Data!B771)+1,2),YEAR(Raw_Data!B771)-1&amp;"-"&amp;RIGHT(YEAR(Raw_Data!B771),2))</f>
        <v>2023-24</v>
      </c>
      <c r="E771" t="str">
        <f>"Q"&amp;ROUNDUP(MONTH(Raw_Data!B771)/3,0)</f>
        <v>Q3</v>
      </c>
      <c r="F771" t="str">
        <f>TEXT(Raw_Data!B771,"mmm")</f>
        <v>Sep</v>
      </c>
      <c r="G771" t="str">
        <f>TEXT(Raw_Data!B771,"ddd")</f>
        <v>Fri</v>
      </c>
      <c r="H771" t="str">
        <f>Raw_Data!D771</f>
        <v>Invoiced</v>
      </c>
      <c r="I771" t="str">
        <f>Raw_Data!F771</f>
        <v>SMS/ Tele-Out</v>
      </c>
      <c r="J771" t="str">
        <f>Raw_Data!G771</f>
        <v>I-BAP Referral</v>
      </c>
      <c r="K771" t="str">
        <f>IFERROR(VLOOKUP(J771,Source_Assumptions!$A:$C,2,0),"Unmapped")</f>
        <v>Referral (Insurance/Banking Partner)</v>
      </c>
      <c r="L771" t="str">
        <f>Raw_Data!H771</f>
        <v>AMAZE Petrol</v>
      </c>
      <c r="M771" t="str">
        <f>IFERROR(VLOOKUP(L771,Model_Assumptions!$A:$D,2,0),"Unmapped")</f>
        <v>Sub-4m Sedan</v>
      </c>
      <c r="N771" t="str">
        <f>IFERROR(VLOOKUP(L771,Model_Assumptions!$A:$D,3,0),"Unmapped")</f>
        <v>Petrol</v>
      </c>
      <c r="O771">
        <f>IFERROR(VLOOKUP(L771,Model_Assumptions!$A:$D,4,0),0)</f>
        <v>850000</v>
      </c>
      <c r="P771">
        <f>IFERROR(VLOOKUP(J771,Source_Assumptions!$A:$C,3,0),0)</f>
        <v>150</v>
      </c>
    </row>
    <row r="772" spans="1:16" x14ac:dyDescent="0.3">
      <c r="A772">
        <f>Raw_Data!A772</f>
        <v>771</v>
      </c>
      <c r="B772" s="2">
        <f>Raw_Data!B772</f>
        <v>45184</v>
      </c>
      <c r="C772">
        <f>YEAR(Raw_Data!B772)</f>
        <v>2023</v>
      </c>
      <c r="D772" t="str">
        <f>IF(MONTH(Raw_Data!B772)&gt;=4,YEAR(Raw_Data!B772)&amp;"-"&amp;RIGHT(YEAR(Raw_Data!B772)+1,2),YEAR(Raw_Data!B772)-1&amp;"-"&amp;RIGHT(YEAR(Raw_Data!B772),2))</f>
        <v>2023-24</v>
      </c>
      <c r="E772" t="str">
        <f>"Q"&amp;ROUNDUP(MONTH(Raw_Data!B772)/3,0)</f>
        <v>Q3</v>
      </c>
      <c r="F772" t="str">
        <f>TEXT(Raw_Data!B772,"mmm")</f>
        <v>Sep</v>
      </c>
      <c r="G772" t="str">
        <f>TEXT(Raw_Data!B772,"ddd")</f>
        <v>Fri</v>
      </c>
      <c r="H772" t="str">
        <f>Raw_Data!D772</f>
        <v>Invoiced</v>
      </c>
      <c r="I772" t="str">
        <f>Raw_Data!F772</f>
        <v>SMS/ Tele-Out</v>
      </c>
      <c r="J772" t="str">
        <f>Raw_Data!G772</f>
        <v>Referral-CAM</v>
      </c>
      <c r="K772" t="str">
        <f>IFERROR(VLOOKUP(J772,Source_Assumptions!$A:$C,2,0),"Unmapped")</f>
        <v>Referral</v>
      </c>
      <c r="L772" t="str">
        <f>Raw_Data!H772</f>
        <v>AMAZE Petrol</v>
      </c>
      <c r="M772" t="str">
        <f>IFERROR(VLOOKUP(L772,Model_Assumptions!$A:$D,2,0),"Unmapped")</f>
        <v>Sub-4m Sedan</v>
      </c>
      <c r="N772" t="str">
        <f>IFERROR(VLOOKUP(L772,Model_Assumptions!$A:$D,3,0),"Unmapped")</f>
        <v>Petrol</v>
      </c>
      <c r="O772">
        <f>IFERROR(VLOOKUP(L772,Model_Assumptions!$A:$D,4,0),0)</f>
        <v>850000</v>
      </c>
      <c r="P772">
        <f>IFERROR(VLOOKUP(J772,Source_Assumptions!$A:$C,3,0),0)</f>
        <v>150</v>
      </c>
    </row>
    <row r="773" spans="1:16" x14ac:dyDescent="0.3">
      <c r="A773">
        <f>Raw_Data!A773</f>
        <v>772</v>
      </c>
      <c r="B773" s="2">
        <f>Raw_Data!B773</f>
        <v>45185</v>
      </c>
      <c r="C773">
        <f>YEAR(Raw_Data!B773)</f>
        <v>2023</v>
      </c>
      <c r="D773" t="str">
        <f>IF(MONTH(Raw_Data!B773)&gt;=4,YEAR(Raw_Data!B773)&amp;"-"&amp;RIGHT(YEAR(Raw_Data!B773)+1,2),YEAR(Raw_Data!B773)-1&amp;"-"&amp;RIGHT(YEAR(Raw_Data!B773),2))</f>
        <v>2023-24</v>
      </c>
      <c r="E773" t="str">
        <f>"Q"&amp;ROUNDUP(MONTH(Raw_Data!B773)/3,0)</f>
        <v>Q3</v>
      </c>
      <c r="F773" t="str">
        <f>TEXT(Raw_Data!B773,"mmm")</f>
        <v>Sep</v>
      </c>
      <c r="G773" t="str">
        <f>TEXT(Raw_Data!B773,"ddd")</f>
        <v>Sat</v>
      </c>
      <c r="H773" t="str">
        <f>Raw_Data!D773</f>
        <v>Invoiced</v>
      </c>
      <c r="I773" t="str">
        <f>Raw_Data!F773</f>
        <v>SMS/ Tele-Out</v>
      </c>
      <c r="J773" t="str">
        <f>Raw_Data!G773</f>
        <v>I-BAP Referral</v>
      </c>
      <c r="K773" t="str">
        <f>IFERROR(VLOOKUP(J773,Source_Assumptions!$A:$C,2,0),"Unmapped")</f>
        <v>Referral (Insurance/Banking Partner)</v>
      </c>
      <c r="L773" t="str">
        <f>Raw_Data!H773</f>
        <v>AMAZE Petrol</v>
      </c>
      <c r="M773" t="str">
        <f>IFERROR(VLOOKUP(L773,Model_Assumptions!$A:$D,2,0),"Unmapped")</f>
        <v>Sub-4m Sedan</v>
      </c>
      <c r="N773" t="str">
        <f>IFERROR(VLOOKUP(L773,Model_Assumptions!$A:$D,3,0),"Unmapped")</f>
        <v>Petrol</v>
      </c>
      <c r="O773">
        <f>IFERROR(VLOOKUP(L773,Model_Assumptions!$A:$D,4,0),0)</f>
        <v>850000</v>
      </c>
      <c r="P773">
        <f>IFERROR(VLOOKUP(J773,Source_Assumptions!$A:$C,3,0),0)</f>
        <v>150</v>
      </c>
    </row>
    <row r="774" spans="1:16" x14ac:dyDescent="0.3">
      <c r="A774">
        <f>Raw_Data!A774</f>
        <v>773</v>
      </c>
      <c r="B774" s="2">
        <f>Raw_Data!B774</f>
        <v>45185</v>
      </c>
      <c r="C774">
        <f>YEAR(Raw_Data!B774)</f>
        <v>2023</v>
      </c>
      <c r="D774" t="str">
        <f>IF(MONTH(Raw_Data!B774)&gt;=4,YEAR(Raw_Data!B774)&amp;"-"&amp;RIGHT(YEAR(Raw_Data!B774)+1,2),YEAR(Raw_Data!B774)-1&amp;"-"&amp;RIGHT(YEAR(Raw_Data!B774),2))</f>
        <v>2023-24</v>
      </c>
      <c r="E774" t="str">
        <f>"Q"&amp;ROUNDUP(MONTH(Raw_Data!B774)/3,0)</f>
        <v>Q3</v>
      </c>
      <c r="F774" t="str">
        <f>TEXT(Raw_Data!B774,"mmm")</f>
        <v>Sep</v>
      </c>
      <c r="G774" t="str">
        <f>TEXT(Raw_Data!B774,"ddd")</f>
        <v>Sat</v>
      </c>
      <c r="H774" t="str">
        <f>Raw_Data!D774</f>
        <v>Invoiced</v>
      </c>
      <c r="I774" t="str">
        <f>Raw_Data!F774</f>
        <v>Walk-in Showroom</v>
      </c>
      <c r="J774" t="str">
        <f>Raw_Data!G774</f>
        <v>Adver. (TVC/Print/Hoarding/FM)</v>
      </c>
      <c r="K774" t="str">
        <f>IFERROR(VLOOKUP(J774,Source_Assumptions!$A:$C,2,0),"Unmapped")</f>
        <v>Traditional Advertising</v>
      </c>
      <c r="L774" t="str">
        <f>Raw_Data!H774</f>
        <v>5TH GEN CITY PE</v>
      </c>
      <c r="M774" t="str">
        <f>IFERROR(VLOOKUP(L774,Model_Assumptions!$A:$D,2,0),"Unmapped")</f>
        <v>Mid-size Sedan</v>
      </c>
      <c r="N774" t="str">
        <f>IFERROR(VLOOKUP(L774,Model_Assumptions!$A:$D,3,0),"Unmapped")</f>
        <v>Petrol</v>
      </c>
      <c r="O774">
        <f>IFERROR(VLOOKUP(L774,Model_Assumptions!$A:$D,4,0),0)</f>
        <v>1250000</v>
      </c>
      <c r="P774">
        <f>IFERROR(VLOOKUP(J774,Source_Assumptions!$A:$C,3,0),0)</f>
        <v>1200</v>
      </c>
    </row>
    <row r="775" spans="1:16" x14ac:dyDescent="0.3">
      <c r="A775">
        <f>Raw_Data!A775</f>
        <v>774</v>
      </c>
      <c r="B775" s="2">
        <f>Raw_Data!B775</f>
        <v>45185</v>
      </c>
      <c r="C775">
        <f>YEAR(Raw_Data!B775)</f>
        <v>2023</v>
      </c>
      <c r="D775" t="str">
        <f>IF(MONTH(Raw_Data!B775)&gt;=4,YEAR(Raw_Data!B775)&amp;"-"&amp;RIGHT(YEAR(Raw_Data!B775)+1,2),YEAR(Raw_Data!B775)-1&amp;"-"&amp;RIGHT(YEAR(Raw_Data!B775),2))</f>
        <v>2023-24</v>
      </c>
      <c r="E775" t="str">
        <f>"Q"&amp;ROUNDUP(MONTH(Raw_Data!B775)/3,0)</f>
        <v>Q3</v>
      </c>
      <c r="F775" t="str">
        <f>TEXT(Raw_Data!B775,"mmm")</f>
        <v>Sep</v>
      </c>
      <c r="G775" t="str">
        <f>TEXT(Raw_Data!B775,"ddd")</f>
        <v>Sat</v>
      </c>
      <c r="H775" t="str">
        <f>Raw_Data!D775</f>
        <v>Invoiced</v>
      </c>
      <c r="I775" t="str">
        <f>Raw_Data!F775</f>
        <v>SMS/ Tele-Out</v>
      </c>
      <c r="J775" t="str">
        <f>Raw_Data!G775</f>
        <v>I-BAP Referral</v>
      </c>
      <c r="K775" t="str">
        <f>IFERROR(VLOOKUP(J775,Source_Assumptions!$A:$C,2,0),"Unmapped")</f>
        <v>Referral (Insurance/Banking Partner)</v>
      </c>
      <c r="L775" t="str">
        <f>Raw_Data!H775</f>
        <v>AMAZE Petrol</v>
      </c>
      <c r="M775" t="str">
        <f>IFERROR(VLOOKUP(L775,Model_Assumptions!$A:$D,2,0),"Unmapped")</f>
        <v>Sub-4m Sedan</v>
      </c>
      <c r="N775" t="str">
        <f>IFERROR(VLOOKUP(L775,Model_Assumptions!$A:$D,3,0),"Unmapped")</f>
        <v>Petrol</v>
      </c>
      <c r="O775">
        <f>IFERROR(VLOOKUP(L775,Model_Assumptions!$A:$D,4,0),0)</f>
        <v>850000</v>
      </c>
      <c r="P775">
        <f>IFERROR(VLOOKUP(J775,Source_Assumptions!$A:$C,3,0),0)</f>
        <v>150</v>
      </c>
    </row>
    <row r="776" spans="1:16" x14ac:dyDescent="0.3">
      <c r="A776">
        <f>Raw_Data!A776</f>
        <v>775</v>
      </c>
      <c r="B776" s="2">
        <f>Raw_Data!B776</f>
        <v>45185</v>
      </c>
      <c r="C776">
        <f>YEAR(Raw_Data!B776)</f>
        <v>2023</v>
      </c>
      <c r="D776" t="str">
        <f>IF(MONTH(Raw_Data!B776)&gt;=4,YEAR(Raw_Data!B776)&amp;"-"&amp;RIGHT(YEAR(Raw_Data!B776)+1,2),YEAR(Raw_Data!B776)-1&amp;"-"&amp;RIGHT(YEAR(Raw_Data!B776),2))</f>
        <v>2023-24</v>
      </c>
      <c r="E776" t="str">
        <f>"Q"&amp;ROUNDUP(MONTH(Raw_Data!B776)/3,0)</f>
        <v>Q3</v>
      </c>
      <c r="F776" t="str">
        <f>TEXT(Raw_Data!B776,"mmm")</f>
        <v>Sep</v>
      </c>
      <c r="G776" t="str">
        <f>TEXT(Raw_Data!B776,"ddd")</f>
        <v>Sat</v>
      </c>
      <c r="H776" t="str">
        <f>Raw_Data!D776</f>
        <v>Invoiced</v>
      </c>
      <c r="I776" t="str">
        <f>Raw_Data!F776</f>
        <v>SMS/ Tele-Out</v>
      </c>
      <c r="J776" t="str">
        <f>Raw_Data!G776</f>
        <v>Database Activity(Teleout/SMS)</v>
      </c>
      <c r="K776" t="str">
        <f>IFERROR(VLOOKUP(J776,Source_Assumptions!$A:$C,2,0),"Unmapped")</f>
        <v>Outbound/Database</v>
      </c>
      <c r="L776" t="str">
        <f>Raw_Data!H776</f>
        <v>AMAZE Petrol</v>
      </c>
      <c r="M776" t="str">
        <f>IFERROR(VLOOKUP(L776,Model_Assumptions!$A:$D,2,0),"Unmapped")</f>
        <v>Sub-4m Sedan</v>
      </c>
      <c r="N776" t="str">
        <f>IFERROR(VLOOKUP(L776,Model_Assumptions!$A:$D,3,0),"Unmapped")</f>
        <v>Petrol</v>
      </c>
      <c r="O776">
        <f>IFERROR(VLOOKUP(L776,Model_Assumptions!$A:$D,4,0),0)</f>
        <v>850000</v>
      </c>
      <c r="P776">
        <f>IFERROR(VLOOKUP(J776,Source_Assumptions!$A:$C,3,0),0)</f>
        <v>250</v>
      </c>
    </row>
    <row r="777" spans="1:16" x14ac:dyDescent="0.3">
      <c r="A777">
        <f>Raw_Data!A777</f>
        <v>776</v>
      </c>
      <c r="B777" s="2">
        <f>Raw_Data!B777</f>
        <v>45187</v>
      </c>
      <c r="C777">
        <f>YEAR(Raw_Data!B777)</f>
        <v>2023</v>
      </c>
      <c r="D777" t="str">
        <f>IF(MONTH(Raw_Data!B777)&gt;=4,YEAR(Raw_Data!B777)&amp;"-"&amp;RIGHT(YEAR(Raw_Data!B777)+1,2),YEAR(Raw_Data!B777)-1&amp;"-"&amp;RIGHT(YEAR(Raw_Data!B777),2))</f>
        <v>2023-24</v>
      </c>
      <c r="E777" t="str">
        <f>"Q"&amp;ROUNDUP(MONTH(Raw_Data!B777)/3,0)</f>
        <v>Q3</v>
      </c>
      <c r="F777" t="str">
        <f>TEXT(Raw_Data!B777,"mmm")</f>
        <v>Sep</v>
      </c>
      <c r="G777" t="str">
        <f>TEXT(Raw_Data!B777,"ddd")</f>
        <v>Mon</v>
      </c>
      <c r="H777" t="str">
        <f>Raw_Data!D777</f>
        <v>Invoiced</v>
      </c>
      <c r="I777" t="str">
        <f>Raw_Data!F777</f>
        <v>SMS/ Tele-Out</v>
      </c>
      <c r="J777" t="str">
        <f>Raw_Data!G777</f>
        <v>Database Activity(Teleout/SMS)</v>
      </c>
      <c r="K777" t="str">
        <f>IFERROR(VLOOKUP(J777,Source_Assumptions!$A:$C,2,0),"Unmapped")</f>
        <v>Outbound/Database</v>
      </c>
      <c r="L777" t="str">
        <f>Raw_Data!H777</f>
        <v>ELEVATE</v>
      </c>
      <c r="M777" t="str">
        <f>IFERROR(VLOOKUP(L777,Model_Assumptions!$A:$D,2,0),"Unmapped")</f>
        <v>Compact SUV</v>
      </c>
      <c r="N777" t="str">
        <f>IFERROR(VLOOKUP(L777,Model_Assumptions!$A:$D,3,0),"Unmapped")</f>
        <v>Petrol</v>
      </c>
      <c r="O777">
        <f>IFERROR(VLOOKUP(L777,Model_Assumptions!$A:$D,4,0),0)</f>
        <v>1300000</v>
      </c>
      <c r="P777">
        <f>IFERROR(VLOOKUP(J777,Source_Assumptions!$A:$C,3,0),0)</f>
        <v>250</v>
      </c>
    </row>
    <row r="778" spans="1:16" x14ac:dyDescent="0.3">
      <c r="A778">
        <f>Raw_Data!A778</f>
        <v>777</v>
      </c>
      <c r="B778" s="2">
        <f>Raw_Data!B778</f>
        <v>45187</v>
      </c>
      <c r="C778">
        <f>YEAR(Raw_Data!B778)</f>
        <v>2023</v>
      </c>
      <c r="D778" t="str">
        <f>IF(MONTH(Raw_Data!B778)&gt;=4,YEAR(Raw_Data!B778)&amp;"-"&amp;RIGHT(YEAR(Raw_Data!B778)+1,2),YEAR(Raw_Data!B778)-1&amp;"-"&amp;RIGHT(YEAR(Raw_Data!B778),2))</f>
        <v>2023-24</v>
      </c>
      <c r="E778" t="str">
        <f>"Q"&amp;ROUNDUP(MONTH(Raw_Data!B778)/3,0)</f>
        <v>Q3</v>
      </c>
      <c r="F778" t="str">
        <f>TEXT(Raw_Data!B778,"mmm")</f>
        <v>Sep</v>
      </c>
      <c r="G778" t="str">
        <f>TEXT(Raw_Data!B778,"ddd")</f>
        <v>Mon</v>
      </c>
      <c r="H778" t="str">
        <f>Raw_Data!D778</f>
        <v>Invoiced</v>
      </c>
      <c r="I778" t="str">
        <f>Raw_Data!F778</f>
        <v>Web Lead</v>
      </c>
      <c r="J778" t="str">
        <f>Raw_Data!G778</f>
        <v>Web</v>
      </c>
      <c r="K778" t="str">
        <f>IFERROR(VLOOKUP(J778,Source_Assumptions!$A:$C,2,0),"Unmapped")</f>
        <v>Digital - Owned</v>
      </c>
      <c r="L778" t="str">
        <f>Raw_Data!H778</f>
        <v>ELEVATE</v>
      </c>
      <c r="M778" t="str">
        <f>IFERROR(VLOOKUP(L778,Model_Assumptions!$A:$D,2,0),"Unmapped")</f>
        <v>Compact SUV</v>
      </c>
      <c r="N778" t="str">
        <f>IFERROR(VLOOKUP(L778,Model_Assumptions!$A:$D,3,0),"Unmapped")</f>
        <v>Petrol</v>
      </c>
      <c r="O778">
        <f>IFERROR(VLOOKUP(L778,Model_Assumptions!$A:$D,4,0),0)</f>
        <v>1300000</v>
      </c>
      <c r="P778">
        <f>IFERROR(VLOOKUP(J778,Source_Assumptions!$A:$C,3,0),0)</f>
        <v>300</v>
      </c>
    </row>
    <row r="779" spans="1:16" x14ac:dyDescent="0.3">
      <c r="A779">
        <f>Raw_Data!A779</f>
        <v>778</v>
      </c>
      <c r="B779" s="2">
        <f>Raw_Data!B779</f>
        <v>45187</v>
      </c>
      <c r="C779">
        <f>YEAR(Raw_Data!B779)</f>
        <v>2023</v>
      </c>
      <c r="D779" t="str">
        <f>IF(MONTH(Raw_Data!B779)&gt;=4,YEAR(Raw_Data!B779)&amp;"-"&amp;RIGHT(YEAR(Raw_Data!B779)+1,2),YEAR(Raw_Data!B779)-1&amp;"-"&amp;RIGHT(YEAR(Raw_Data!B779),2))</f>
        <v>2023-24</v>
      </c>
      <c r="E779" t="str">
        <f>"Q"&amp;ROUNDUP(MONTH(Raw_Data!B779)/3,0)</f>
        <v>Q3</v>
      </c>
      <c r="F779" t="str">
        <f>TEXT(Raw_Data!B779,"mmm")</f>
        <v>Sep</v>
      </c>
      <c r="G779" t="str">
        <f>TEXT(Raw_Data!B779,"ddd")</f>
        <v>Mon</v>
      </c>
      <c r="H779" t="str">
        <f>Raw_Data!D779</f>
        <v>Invoiced</v>
      </c>
      <c r="I779" t="str">
        <f>Raw_Data!F779</f>
        <v>SMS/ Tele-Out</v>
      </c>
      <c r="J779" t="str">
        <f>Raw_Data!G779</f>
        <v>Database Activity(Teleout/SMS)</v>
      </c>
      <c r="K779" t="str">
        <f>IFERROR(VLOOKUP(J779,Source_Assumptions!$A:$C,2,0),"Unmapped")</f>
        <v>Outbound/Database</v>
      </c>
      <c r="L779" t="str">
        <f>Raw_Data!H779</f>
        <v>ELEVATE</v>
      </c>
      <c r="M779" t="str">
        <f>IFERROR(VLOOKUP(L779,Model_Assumptions!$A:$D,2,0),"Unmapped")</f>
        <v>Compact SUV</v>
      </c>
      <c r="N779" t="str">
        <f>IFERROR(VLOOKUP(L779,Model_Assumptions!$A:$D,3,0),"Unmapped")</f>
        <v>Petrol</v>
      </c>
      <c r="O779">
        <f>IFERROR(VLOOKUP(L779,Model_Assumptions!$A:$D,4,0),0)</f>
        <v>1300000</v>
      </c>
      <c r="P779">
        <f>IFERROR(VLOOKUP(J779,Source_Assumptions!$A:$C,3,0),0)</f>
        <v>250</v>
      </c>
    </row>
    <row r="780" spans="1:16" x14ac:dyDescent="0.3">
      <c r="A780">
        <f>Raw_Data!A780</f>
        <v>779</v>
      </c>
      <c r="B780" s="2">
        <f>Raw_Data!B780</f>
        <v>45187</v>
      </c>
      <c r="C780">
        <f>YEAR(Raw_Data!B780)</f>
        <v>2023</v>
      </c>
      <c r="D780" t="str">
        <f>IF(MONTH(Raw_Data!B780)&gt;=4,YEAR(Raw_Data!B780)&amp;"-"&amp;RIGHT(YEAR(Raw_Data!B780)+1,2),YEAR(Raw_Data!B780)-1&amp;"-"&amp;RIGHT(YEAR(Raw_Data!B780),2))</f>
        <v>2023-24</v>
      </c>
      <c r="E780" t="str">
        <f>"Q"&amp;ROUNDUP(MONTH(Raw_Data!B780)/3,0)</f>
        <v>Q3</v>
      </c>
      <c r="F780" t="str">
        <f>TEXT(Raw_Data!B780,"mmm")</f>
        <v>Sep</v>
      </c>
      <c r="G780" t="str">
        <f>TEXT(Raw_Data!B780,"ddd")</f>
        <v>Mon</v>
      </c>
      <c r="H780" t="str">
        <f>Raw_Data!D780</f>
        <v>Invoiced</v>
      </c>
      <c r="I780" t="str">
        <f>Raw_Data!F780</f>
        <v>Walk-in Showroom</v>
      </c>
      <c r="J780" t="str">
        <f>Raw_Data!G780</f>
        <v>Adver. (TVC/Print/Hoarding/FM)</v>
      </c>
      <c r="K780" t="str">
        <f>IFERROR(VLOOKUP(J780,Source_Assumptions!$A:$C,2,0),"Unmapped")</f>
        <v>Traditional Advertising</v>
      </c>
      <c r="L780" t="str">
        <f>Raw_Data!H780</f>
        <v>ELEVATE</v>
      </c>
      <c r="M780" t="str">
        <f>IFERROR(VLOOKUP(L780,Model_Assumptions!$A:$D,2,0),"Unmapped")</f>
        <v>Compact SUV</v>
      </c>
      <c r="N780" t="str">
        <f>IFERROR(VLOOKUP(L780,Model_Assumptions!$A:$D,3,0),"Unmapped")</f>
        <v>Petrol</v>
      </c>
      <c r="O780">
        <f>IFERROR(VLOOKUP(L780,Model_Assumptions!$A:$D,4,0),0)</f>
        <v>1300000</v>
      </c>
      <c r="P780">
        <f>IFERROR(VLOOKUP(J780,Source_Assumptions!$A:$C,3,0),0)</f>
        <v>1200</v>
      </c>
    </row>
    <row r="781" spans="1:16" x14ac:dyDescent="0.3">
      <c r="A781">
        <f>Raw_Data!A781</f>
        <v>780</v>
      </c>
      <c r="B781" s="2">
        <f>Raw_Data!B781</f>
        <v>45187</v>
      </c>
      <c r="C781">
        <f>YEAR(Raw_Data!B781)</f>
        <v>2023</v>
      </c>
      <c r="D781" t="str">
        <f>IF(MONTH(Raw_Data!B781)&gt;=4,YEAR(Raw_Data!B781)&amp;"-"&amp;RIGHT(YEAR(Raw_Data!B781)+1,2),YEAR(Raw_Data!B781)-1&amp;"-"&amp;RIGHT(YEAR(Raw_Data!B781),2))</f>
        <v>2023-24</v>
      </c>
      <c r="E781" t="str">
        <f>"Q"&amp;ROUNDUP(MONTH(Raw_Data!B781)/3,0)</f>
        <v>Q3</v>
      </c>
      <c r="F781" t="str">
        <f>TEXT(Raw_Data!B781,"mmm")</f>
        <v>Sep</v>
      </c>
      <c r="G781" t="str">
        <f>TEXT(Raw_Data!B781,"ddd")</f>
        <v>Mon</v>
      </c>
      <c r="H781" t="str">
        <f>Raw_Data!D781</f>
        <v>Invoiced</v>
      </c>
      <c r="I781" t="str">
        <f>Raw_Data!F781</f>
        <v>SMS/ Tele-Out</v>
      </c>
      <c r="J781" t="str">
        <f>Raw_Data!G781</f>
        <v>Database Activity(Teleout/SMS)</v>
      </c>
      <c r="K781" t="str">
        <f>IFERROR(VLOOKUP(J781,Source_Assumptions!$A:$C,2,0),"Unmapped")</f>
        <v>Outbound/Database</v>
      </c>
      <c r="L781" t="str">
        <f>Raw_Data!H781</f>
        <v>ELEVATE</v>
      </c>
      <c r="M781" t="str">
        <f>IFERROR(VLOOKUP(L781,Model_Assumptions!$A:$D,2,0),"Unmapped")</f>
        <v>Compact SUV</v>
      </c>
      <c r="N781" t="str">
        <f>IFERROR(VLOOKUP(L781,Model_Assumptions!$A:$D,3,0),"Unmapped")</f>
        <v>Petrol</v>
      </c>
      <c r="O781">
        <f>IFERROR(VLOOKUP(L781,Model_Assumptions!$A:$D,4,0),0)</f>
        <v>1300000</v>
      </c>
      <c r="P781">
        <f>IFERROR(VLOOKUP(J781,Source_Assumptions!$A:$C,3,0),0)</f>
        <v>250</v>
      </c>
    </row>
    <row r="782" spans="1:16" x14ac:dyDescent="0.3">
      <c r="A782">
        <f>Raw_Data!A782</f>
        <v>781</v>
      </c>
      <c r="B782" s="2">
        <f>Raw_Data!B782</f>
        <v>45187</v>
      </c>
      <c r="C782">
        <f>YEAR(Raw_Data!B782)</f>
        <v>2023</v>
      </c>
      <c r="D782" t="str">
        <f>IF(MONTH(Raw_Data!B782)&gt;=4,YEAR(Raw_Data!B782)&amp;"-"&amp;RIGHT(YEAR(Raw_Data!B782)+1,2),YEAR(Raw_Data!B782)-1&amp;"-"&amp;RIGHT(YEAR(Raw_Data!B782),2))</f>
        <v>2023-24</v>
      </c>
      <c r="E782" t="str">
        <f>"Q"&amp;ROUNDUP(MONTH(Raw_Data!B782)/3,0)</f>
        <v>Q3</v>
      </c>
      <c r="F782" t="str">
        <f>TEXT(Raw_Data!B782,"mmm")</f>
        <v>Sep</v>
      </c>
      <c r="G782" t="str">
        <f>TEXT(Raw_Data!B782,"ddd")</f>
        <v>Mon</v>
      </c>
      <c r="H782" t="str">
        <f>Raw_Data!D782</f>
        <v>Invoiced</v>
      </c>
      <c r="I782" t="str">
        <f>Raw_Data!F782</f>
        <v>Tele-in</v>
      </c>
      <c r="J782" t="str">
        <f>Raw_Data!G782</f>
        <v>Dealer Webpage Tele-In</v>
      </c>
      <c r="K782" t="str">
        <f>IFERROR(VLOOKUP(J782,Source_Assumptions!$A:$C,2,0),"Unmapped")</f>
        <v>Digital - Owned</v>
      </c>
      <c r="L782" t="str">
        <f>Raw_Data!H782</f>
        <v>ELEVATE</v>
      </c>
      <c r="M782" t="str">
        <f>IFERROR(VLOOKUP(L782,Model_Assumptions!$A:$D,2,0),"Unmapped")</f>
        <v>Compact SUV</v>
      </c>
      <c r="N782" t="str">
        <f>IFERROR(VLOOKUP(L782,Model_Assumptions!$A:$D,3,0),"Unmapped")</f>
        <v>Petrol</v>
      </c>
      <c r="O782">
        <f>IFERROR(VLOOKUP(L782,Model_Assumptions!$A:$D,4,0),0)</f>
        <v>1300000</v>
      </c>
      <c r="P782">
        <f>IFERROR(VLOOKUP(J782,Source_Assumptions!$A:$C,3,0),0)</f>
        <v>300</v>
      </c>
    </row>
    <row r="783" spans="1:16" x14ac:dyDescent="0.3">
      <c r="A783">
        <f>Raw_Data!A783</f>
        <v>782</v>
      </c>
      <c r="B783" s="2">
        <f>Raw_Data!B783</f>
        <v>45187</v>
      </c>
      <c r="C783">
        <f>YEAR(Raw_Data!B783)</f>
        <v>2023</v>
      </c>
      <c r="D783" t="str">
        <f>IF(MONTH(Raw_Data!B783)&gt;=4,YEAR(Raw_Data!B783)&amp;"-"&amp;RIGHT(YEAR(Raw_Data!B783)+1,2),YEAR(Raw_Data!B783)-1&amp;"-"&amp;RIGHT(YEAR(Raw_Data!B783),2))</f>
        <v>2023-24</v>
      </c>
      <c r="E783" t="str">
        <f>"Q"&amp;ROUNDUP(MONTH(Raw_Data!B783)/3,0)</f>
        <v>Q3</v>
      </c>
      <c r="F783" t="str">
        <f>TEXT(Raw_Data!B783,"mmm")</f>
        <v>Sep</v>
      </c>
      <c r="G783" t="str">
        <f>TEXT(Raw_Data!B783,"ddd")</f>
        <v>Mon</v>
      </c>
      <c r="H783" t="str">
        <f>Raw_Data!D783</f>
        <v>Invoiced</v>
      </c>
      <c r="I783" t="str">
        <f>Raw_Data!F783</f>
        <v>Walk-in Showroom</v>
      </c>
      <c r="J783" t="str">
        <f>Raw_Data!G783</f>
        <v>Adver. (TVC/Print/Hoarding/FM)</v>
      </c>
      <c r="K783" t="str">
        <f>IFERROR(VLOOKUP(J783,Source_Assumptions!$A:$C,2,0),"Unmapped")</f>
        <v>Traditional Advertising</v>
      </c>
      <c r="L783" t="str">
        <f>Raw_Data!H783</f>
        <v>AMAZE Petrol</v>
      </c>
      <c r="M783" t="str">
        <f>IFERROR(VLOOKUP(L783,Model_Assumptions!$A:$D,2,0),"Unmapped")</f>
        <v>Sub-4m Sedan</v>
      </c>
      <c r="N783" t="str">
        <f>IFERROR(VLOOKUP(L783,Model_Assumptions!$A:$D,3,0),"Unmapped")</f>
        <v>Petrol</v>
      </c>
      <c r="O783">
        <f>IFERROR(VLOOKUP(L783,Model_Assumptions!$A:$D,4,0),0)</f>
        <v>850000</v>
      </c>
      <c r="P783">
        <f>IFERROR(VLOOKUP(J783,Source_Assumptions!$A:$C,3,0),0)</f>
        <v>1200</v>
      </c>
    </row>
    <row r="784" spans="1:16" x14ac:dyDescent="0.3">
      <c r="A784">
        <f>Raw_Data!A784</f>
        <v>783</v>
      </c>
      <c r="B784" s="2">
        <f>Raw_Data!B784</f>
        <v>45188</v>
      </c>
      <c r="C784">
        <f>YEAR(Raw_Data!B784)</f>
        <v>2023</v>
      </c>
      <c r="D784" t="str">
        <f>IF(MONTH(Raw_Data!B784)&gt;=4,YEAR(Raw_Data!B784)&amp;"-"&amp;RIGHT(YEAR(Raw_Data!B784)+1,2),YEAR(Raw_Data!B784)-1&amp;"-"&amp;RIGHT(YEAR(Raw_Data!B784),2))</f>
        <v>2023-24</v>
      </c>
      <c r="E784" t="str">
        <f>"Q"&amp;ROUNDUP(MONTH(Raw_Data!B784)/3,0)</f>
        <v>Q3</v>
      </c>
      <c r="F784" t="str">
        <f>TEXT(Raw_Data!B784,"mmm")</f>
        <v>Sep</v>
      </c>
      <c r="G784" t="str">
        <f>TEXT(Raw_Data!B784,"ddd")</f>
        <v>Tue</v>
      </c>
      <c r="H784" t="str">
        <f>Raw_Data!D784</f>
        <v>Invoiced</v>
      </c>
      <c r="I784" t="str">
        <f>Raw_Data!F784</f>
        <v>Tele-in</v>
      </c>
      <c r="J784" t="str">
        <f>Raw_Data!G784</f>
        <v>Dealer Webpage Tele-In</v>
      </c>
      <c r="K784" t="str">
        <f>IFERROR(VLOOKUP(J784,Source_Assumptions!$A:$C,2,0),"Unmapped")</f>
        <v>Digital - Owned</v>
      </c>
      <c r="L784" t="str">
        <f>Raw_Data!H784</f>
        <v>AMAZE Petrol</v>
      </c>
      <c r="M784" t="str">
        <f>IFERROR(VLOOKUP(L784,Model_Assumptions!$A:$D,2,0),"Unmapped")</f>
        <v>Sub-4m Sedan</v>
      </c>
      <c r="N784" t="str">
        <f>IFERROR(VLOOKUP(L784,Model_Assumptions!$A:$D,3,0),"Unmapped")</f>
        <v>Petrol</v>
      </c>
      <c r="O784">
        <f>IFERROR(VLOOKUP(L784,Model_Assumptions!$A:$D,4,0),0)</f>
        <v>850000</v>
      </c>
      <c r="P784">
        <f>IFERROR(VLOOKUP(J784,Source_Assumptions!$A:$C,3,0),0)</f>
        <v>300</v>
      </c>
    </row>
    <row r="785" spans="1:16" x14ac:dyDescent="0.3">
      <c r="A785">
        <f>Raw_Data!A785</f>
        <v>784</v>
      </c>
      <c r="B785" s="2">
        <f>Raw_Data!B785</f>
        <v>45188</v>
      </c>
      <c r="C785">
        <f>YEAR(Raw_Data!B785)</f>
        <v>2023</v>
      </c>
      <c r="D785" t="str">
        <f>IF(MONTH(Raw_Data!B785)&gt;=4,YEAR(Raw_Data!B785)&amp;"-"&amp;RIGHT(YEAR(Raw_Data!B785)+1,2),YEAR(Raw_Data!B785)-1&amp;"-"&amp;RIGHT(YEAR(Raw_Data!B785),2))</f>
        <v>2023-24</v>
      </c>
      <c r="E785" t="str">
        <f>"Q"&amp;ROUNDUP(MONTH(Raw_Data!B785)/3,0)</f>
        <v>Q3</v>
      </c>
      <c r="F785" t="str">
        <f>TEXT(Raw_Data!B785,"mmm")</f>
        <v>Sep</v>
      </c>
      <c r="G785" t="str">
        <f>TEXT(Raw_Data!B785,"ddd")</f>
        <v>Tue</v>
      </c>
      <c r="H785" t="str">
        <f>Raw_Data!D785</f>
        <v>Invoiced</v>
      </c>
      <c r="I785" t="str">
        <f>Raw_Data!F785</f>
        <v>SMS/ Tele-Out</v>
      </c>
      <c r="J785" t="str">
        <f>Raw_Data!G785</f>
        <v>Database Activity(Teleout/SMS)</v>
      </c>
      <c r="K785" t="str">
        <f>IFERROR(VLOOKUP(J785,Source_Assumptions!$A:$C,2,0),"Unmapped")</f>
        <v>Outbound/Database</v>
      </c>
      <c r="L785" t="str">
        <f>Raw_Data!H785</f>
        <v>ELEVATE</v>
      </c>
      <c r="M785" t="str">
        <f>IFERROR(VLOOKUP(L785,Model_Assumptions!$A:$D,2,0),"Unmapped")</f>
        <v>Compact SUV</v>
      </c>
      <c r="N785" t="str">
        <f>IFERROR(VLOOKUP(L785,Model_Assumptions!$A:$D,3,0),"Unmapped")</f>
        <v>Petrol</v>
      </c>
      <c r="O785">
        <f>IFERROR(VLOOKUP(L785,Model_Assumptions!$A:$D,4,0),0)</f>
        <v>1300000</v>
      </c>
      <c r="P785">
        <f>IFERROR(VLOOKUP(J785,Source_Assumptions!$A:$C,3,0),0)</f>
        <v>250</v>
      </c>
    </row>
    <row r="786" spans="1:16" x14ac:dyDescent="0.3">
      <c r="A786">
        <f>Raw_Data!A786</f>
        <v>785</v>
      </c>
      <c r="B786" s="2">
        <f>Raw_Data!B786</f>
        <v>45189</v>
      </c>
      <c r="C786">
        <f>YEAR(Raw_Data!B786)</f>
        <v>2023</v>
      </c>
      <c r="D786" t="str">
        <f>IF(MONTH(Raw_Data!B786)&gt;=4,YEAR(Raw_Data!B786)&amp;"-"&amp;RIGHT(YEAR(Raw_Data!B786)+1,2),YEAR(Raw_Data!B786)-1&amp;"-"&amp;RIGHT(YEAR(Raw_Data!B786),2))</f>
        <v>2023-24</v>
      </c>
      <c r="E786" t="str">
        <f>"Q"&amp;ROUNDUP(MONTH(Raw_Data!B786)/3,0)</f>
        <v>Q3</v>
      </c>
      <c r="F786" t="str">
        <f>TEXT(Raw_Data!B786,"mmm")</f>
        <v>Sep</v>
      </c>
      <c r="G786" t="str">
        <f>TEXT(Raw_Data!B786,"ddd")</f>
        <v>Wed</v>
      </c>
      <c r="H786" t="str">
        <f>Raw_Data!D786</f>
        <v>Invoiced</v>
      </c>
      <c r="I786" t="str">
        <f>Raw_Data!F786</f>
        <v>Tele-in</v>
      </c>
      <c r="J786" t="str">
        <f>Raw_Data!G786</f>
        <v>Dealer Webpage Tele-In</v>
      </c>
      <c r="K786" t="str">
        <f>IFERROR(VLOOKUP(J786,Source_Assumptions!$A:$C,2,0),"Unmapped")</f>
        <v>Digital - Owned</v>
      </c>
      <c r="L786" t="str">
        <f>Raw_Data!H786</f>
        <v>ELEVATE</v>
      </c>
      <c r="M786" t="str">
        <f>IFERROR(VLOOKUP(L786,Model_Assumptions!$A:$D,2,0),"Unmapped")</f>
        <v>Compact SUV</v>
      </c>
      <c r="N786" t="str">
        <f>IFERROR(VLOOKUP(L786,Model_Assumptions!$A:$D,3,0),"Unmapped")</f>
        <v>Petrol</v>
      </c>
      <c r="O786">
        <f>IFERROR(VLOOKUP(L786,Model_Assumptions!$A:$D,4,0),0)</f>
        <v>1300000</v>
      </c>
      <c r="P786">
        <f>IFERROR(VLOOKUP(J786,Source_Assumptions!$A:$C,3,0),0)</f>
        <v>300</v>
      </c>
    </row>
    <row r="787" spans="1:16" x14ac:dyDescent="0.3">
      <c r="A787">
        <f>Raw_Data!A787</f>
        <v>786</v>
      </c>
      <c r="B787" s="2">
        <f>Raw_Data!B787</f>
        <v>45189</v>
      </c>
      <c r="C787">
        <f>YEAR(Raw_Data!B787)</f>
        <v>2023</v>
      </c>
      <c r="D787" t="str">
        <f>IF(MONTH(Raw_Data!B787)&gt;=4,YEAR(Raw_Data!B787)&amp;"-"&amp;RIGHT(YEAR(Raw_Data!B787)+1,2),YEAR(Raw_Data!B787)-1&amp;"-"&amp;RIGHT(YEAR(Raw_Data!B787),2))</f>
        <v>2023-24</v>
      </c>
      <c r="E787" t="str">
        <f>"Q"&amp;ROUNDUP(MONTH(Raw_Data!B787)/3,0)</f>
        <v>Q3</v>
      </c>
      <c r="F787" t="str">
        <f>TEXT(Raw_Data!B787,"mmm")</f>
        <v>Sep</v>
      </c>
      <c r="G787" t="str">
        <f>TEXT(Raw_Data!B787,"ddd")</f>
        <v>Wed</v>
      </c>
      <c r="H787" t="str">
        <f>Raw_Data!D787</f>
        <v>Invoiced</v>
      </c>
      <c r="I787" t="str">
        <f>Raw_Data!F787</f>
        <v>SMS/ Tele-Out</v>
      </c>
      <c r="J787" t="str">
        <f>Raw_Data!G787</f>
        <v>Database Activity(Teleout/SMS)</v>
      </c>
      <c r="K787" t="str">
        <f>IFERROR(VLOOKUP(J787,Source_Assumptions!$A:$C,2,0),"Unmapped")</f>
        <v>Outbound/Database</v>
      </c>
      <c r="L787" t="str">
        <f>Raw_Data!H787</f>
        <v>ELEVATE</v>
      </c>
      <c r="M787" t="str">
        <f>IFERROR(VLOOKUP(L787,Model_Assumptions!$A:$D,2,0),"Unmapped")</f>
        <v>Compact SUV</v>
      </c>
      <c r="N787" t="str">
        <f>IFERROR(VLOOKUP(L787,Model_Assumptions!$A:$D,3,0),"Unmapped")</f>
        <v>Petrol</v>
      </c>
      <c r="O787">
        <f>IFERROR(VLOOKUP(L787,Model_Assumptions!$A:$D,4,0),0)</f>
        <v>1300000</v>
      </c>
      <c r="P787">
        <f>IFERROR(VLOOKUP(J787,Source_Assumptions!$A:$C,3,0),0)</f>
        <v>250</v>
      </c>
    </row>
    <row r="788" spans="1:16" x14ac:dyDescent="0.3">
      <c r="A788">
        <f>Raw_Data!A788</f>
        <v>787</v>
      </c>
      <c r="B788" s="2">
        <f>Raw_Data!B788</f>
        <v>45189</v>
      </c>
      <c r="C788">
        <f>YEAR(Raw_Data!B788)</f>
        <v>2023</v>
      </c>
      <c r="D788" t="str">
        <f>IF(MONTH(Raw_Data!B788)&gt;=4,YEAR(Raw_Data!B788)&amp;"-"&amp;RIGHT(YEAR(Raw_Data!B788)+1,2),YEAR(Raw_Data!B788)-1&amp;"-"&amp;RIGHT(YEAR(Raw_Data!B788),2))</f>
        <v>2023-24</v>
      </c>
      <c r="E788" t="str">
        <f>"Q"&amp;ROUNDUP(MONTH(Raw_Data!B788)/3,0)</f>
        <v>Q3</v>
      </c>
      <c r="F788" t="str">
        <f>TEXT(Raw_Data!B788,"mmm")</f>
        <v>Sep</v>
      </c>
      <c r="G788" t="str">
        <f>TEXT(Raw_Data!B788,"ddd")</f>
        <v>Wed</v>
      </c>
      <c r="H788" t="str">
        <f>Raw_Data!D788</f>
        <v>Invoiced</v>
      </c>
      <c r="I788" t="str">
        <f>Raw_Data!F788</f>
        <v>Tele-in</v>
      </c>
      <c r="J788" t="str">
        <f>Raw_Data!G788</f>
        <v>Dealer Webpage Tele-In</v>
      </c>
      <c r="K788" t="str">
        <f>IFERROR(VLOOKUP(J788,Source_Assumptions!$A:$C,2,0),"Unmapped")</f>
        <v>Digital - Owned</v>
      </c>
      <c r="L788" t="str">
        <f>Raw_Data!H788</f>
        <v>ELEVATE</v>
      </c>
      <c r="M788" t="str">
        <f>IFERROR(VLOOKUP(L788,Model_Assumptions!$A:$D,2,0),"Unmapped")</f>
        <v>Compact SUV</v>
      </c>
      <c r="N788" t="str">
        <f>IFERROR(VLOOKUP(L788,Model_Assumptions!$A:$D,3,0),"Unmapped")</f>
        <v>Petrol</v>
      </c>
      <c r="O788">
        <f>IFERROR(VLOOKUP(L788,Model_Assumptions!$A:$D,4,0),0)</f>
        <v>1300000</v>
      </c>
      <c r="P788">
        <f>IFERROR(VLOOKUP(J788,Source_Assumptions!$A:$C,3,0),0)</f>
        <v>300</v>
      </c>
    </row>
    <row r="789" spans="1:16" x14ac:dyDescent="0.3">
      <c r="A789">
        <f>Raw_Data!A789</f>
        <v>788</v>
      </c>
      <c r="B789" s="2">
        <f>Raw_Data!B789</f>
        <v>45189</v>
      </c>
      <c r="C789">
        <f>YEAR(Raw_Data!B789)</f>
        <v>2023</v>
      </c>
      <c r="D789" t="str">
        <f>IF(MONTH(Raw_Data!B789)&gt;=4,YEAR(Raw_Data!B789)&amp;"-"&amp;RIGHT(YEAR(Raw_Data!B789)+1,2),YEAR(Raw_Data!B789)-1&amp;"-"&amp;RIGHT(YEAR(Raw_Data!B789),2))</f>
        <v>2023-24</v>
      </c>
      <c r="E789" t="str">
        <f>"Q"&amp;ROUNDUP(MONTH(Raw_Data!B789)/3,0)</f>
        <v>Q3</v>
      </c>
      <c r="F789" t="str">
        <f>TEXT(Raw_Data!B789,"mmm")</f>
        <v>Sep</v>
      </c>
      <c r="G789" t="str">
        <f>TEXT(Raw_Data!B789,"ddd")</f>
        <v>Wed</v>
      </c>
      <c r="H789" t="str">
        <f>Raw_Data!D789</f>
        <v>Invoiced</v>
      </c>
      <c r="I789" t="str">
        <f>Raw_Data!F789</f>
        <v>SMS/ Tele-Out</v>
      </c>
      <c r="J789" t="str">
        <f>Raw_Data!G789</f>
        <v>Database Activity(Teleout/SMS)</v>
      </c>
      <c r="K789" t="str">
        <f>IFERROR(VLOOKUP(J789,Source_Assumptions!$A:$C,2,0),"Unmapped")</f>
        <v>Outbound/Database</v>
      </c>
      <c r="L789" t="str">
        <f>Raw_Data!H789</f>
        <v>ELEVATE</v>
      </c>
      <c r="M789" t="str">
        <f>IFERROR(VLOOKUP(L789,Model_Assumptions!$A:$D,2,0),"Unmapped")</f>
        <v>Compact SUV</v>
      </c>
      <c r="N789" t="str">
        <f>IFERROR(VLOOKUP(L789,Model_Assumptions!$A:$D,3,0),"Unmapped")</f>
        <v>Petrol</v>
      </c>
      <c r="O789">
        <f>IFERROR(VLOOKUP(L789,Model_Assumptions!$A:$D,4,0),0)</f>
        <v>1300000</v>
      </c>
      <c r="P789">
        <f>IFERROR(VLOOKUP(J789,Source_Assumptions!$A:$C,3,0),0)</f>
        <v>250</v>
      </c>
    </row>
    <row r="790" spans="1:16" x14ac:dyDescent="0.3">
      <c r="A790">
        <f>Raw_Data!A790</f>
        <v>789</v>
      </c>
      <c r="B790" s="2">
        <f>Raw_Data!B790</f>
        <v>45190</v>
      </c>
      <c r="C790">
        <f>YEAR(Raw_Data!B790)</f>
        <v>2023</v>
      </c>
      <c r="D790" t="str">
        <f>IF(MONTH(Raw_Data!B790)&gt;=4,YEAR(Raw_Data!B790)&amp;"-"&amp;RIGHT(YEAR(Raw_Data!B790)+1,2),YEAR(Raw_Data!B790)-1&amp;"-"&amp;RIGHT(YEAR(Raw_Data!B790),2))</f>
        <v>2023-24</v>
      </c>
      <c r="E790" t="str">
        <f>"Q"&amp;ROUNDUP(MONTH(Raw_Data!B790)/3,0)</f>
        <v>Q3</v>
      </c>
      <c r="F790" t="str">
        <f>TEXT(Raw_Data!B790,"mmm")</f>
        <v>Sep</v>
      </c>
      <c r="G790" t="str">
        <f>TEXT(Raw_Data!B790,"ddd")</f>
        <v>Thu</v>
      </c>
      <c r="H790" t="str">
        <f>Raw_Data!D790</f>
        <v>Invoiced</v>
      </c>
      <c r="I790" t="str">
        <f>Raw_Data!F790</f>
        <v>Tele-in</v>
      </c>
      <c r="J790" t="str">
        <f>Raw_Data!G790</f>
        <v>Dealer Webpage Tele-In</v>
      </c>
      <c r="K790" t="str">
        <f>IFERROR(VLOOKUP(J790,Source_Assumptions!$A:$C,2,0),"Unmapped")</f>
        <v>Digital - Owned</v>
      </c>
      <c r="L790" t="str">
        <f>Raw_Data!H790</f>
        <v>ELEVATE</v>
      </c>
      <c r="M790" t="str">
        <f>IFERROR(VLOOKUP(L790,Model_Assumptions!$A:$D,2,0),"Unmapped")</f>
        <v>Compact SUV</v>
      </c>
      <c r="N790" t="str">
        <f>IFERROR(VLOOKUP(L790,Model_Assumptions!$A:$D,3,0),"Unmapped")</f>
        <v>Petrol</v>
      </c>
      <c r="O790">
        <f>IFERROR(VLOOKUP(L790,Model_Assumptions!$A:$D,4,0),0)</f>
        <v>1300000</v>
      </c>
      <c r="P790">
        <f>IFERROR(VLOOKUP(J790,Source_Assumptions!$A:$C,3,0),0)</f>
        <v>300</v>
      </c>
    </row>
    <row r="791" spans="1:16" x14ac:dyDescent="0.3">
      <c r="A791">
        <f>Raw_Data!A791</f>
        <v>790</v>
      </c>
      <c r="B791" s="2">
        <f>Raw_Data!B791</f>
        <v>45190</v>
      </c>
      <c r="C791">
        <f>YEAR(Raw_Data!B791)</f>
        <v>2023</v>
      </c>
      <c r="D791" t="str">
        <f>IF(MONTH(Raw_Data!B791)&gt;=4,YEAR(Raw_Data!B791)&amp;"-"&amp;RIGHT(YEAR(Raw_Data!B791)+1,2),YEAR(Raw_Data!B791)-1&amp;"-"&amp;RIGHT(YEAR(Raw_Data!B791),2))</f>
        <v>2023-24</v>
      </c>
      <c r="E791" t="str">
        <f>"Q"&amp;ROUNDUP(MONTH(Raw_Data!B791)/3,0)</f>
        <v>Q3</v>
      </c>
      <c r="F791" t="str">
        <f>TEXT(Raw_Data!B791,"mmm")</f>
        <v>Sep</v>
      </c>
      <c r="G791" t="str">
        <f>TEXT(Raw_Data!B791,"ddd")</f>
        <v>Thu</v>
      </c>
      <c r="H791" t="str">
        <f>Raw_Data!D791</f>
        <v>Invoiced</v>
      </c>
      <c r="I791" t="str">
        <f>Raw_Data!F791</f>
        <v>Tele-in</v>
      </c>
      <c r="J791" t="str">
        <f>Raw_Data!G791</f>
        <v>Dealer Webpage Tele-In</v>
      </c>
      <c r="K791" t="str">
        <f>IFERROR(VLOOKUP(J791,Source_Assumptions!$A:$C,2,0),"Unmapped")</f>
        <v>Digital - Owned</v>
      </c>
      <c r="L791" t="str">
        <f>Raw_Data!H791</f>
        <v>5TH GEN CITY PE</v>
      </c>
      <c r="M791" t="str">
        <f>IFERROR(VLOOKUP(L791,Model_Assumptions!$A:$D,2,0),"Unmapped")</f>
        <v>Mid-size Sedan</v>
      </c>
      <c r="N791" t="str">
        <f>IFERROR(VLOOKUP(L791,Model_Assumptions!$A:$D,3,0),"Unmapped")</f>
        <v>Petrol</v>
      </c>
      <c r="O791">
        <f>IFERROR(VLOOKUP(L791,Model_Assumptions!$A:$D,4,0),0)</f>
        <v>1250000</v>
      </c>
      <c r="P791">
        <f>IFERROR(VLOOKUP(J791,Source_Assumptions!$A:$C,3,0),0)</f>
        <v>300</v>
      </c>
    </row>
    <row r="792" spans="1:16" x14ac:dyDescent="0.3">
      <c r="A792">
        <f>Raw_Data!A792</f>
        <v>791</v>
      </c>
      <c r="B792" s="2">
        <f>Raw_Data!B792</f>
        <v>45191</v>
      </c>
      <c r="C792">
        <f>YEAR(Raw_Data!B792)</f>
        <v>2023</v>
      </c>
      <c r="D792" t="str">
        <f>IF(MONTH(Raw_Data!B792)&gt;=4,YEAR(Raw_Data!B792)&amp;"-"&amp;RIGHT(YEAR(Raw_Data!B792)+1,2),YEAR(Raw_Data!B792)-1&amp;"-"&amp;RIGHT(YEAR(Raw_Data!B792),2))</f>
        <v>2023-24</v>
      </c>
      <c r="E792" t="str">
        <f>"Q"&amp;ROUNDUP(MONTH(Raw_Data!B792)/3,0)</f>
        <v>Q3</v>
      </c>
      <c r="F792" t="str">
        <f>TEXT(Raw_Data!B792,"mmm")</f>
        <v>Sep</v>
      </c>
      <c r="G792" t="str">
        <f>TEXT(Raw_Data!B792,"ddd")</f>
        <v>Fri</v>
      </c>
      <c r="H792" t="str">
        <f>Raw_Data!D792</f>
        <v>Invoiced</v>
      </c>
      <c r="I792" t="str">
        <f>Raw_Data!F792</f>
        <v>Tele-in</v>
      </c>
      <c r="J792" t="str">
        <f>Raw_Data!G792</f>
        <v>Dealer Webpage Tele-In</v>
      </c>
      <c r="K792" t="str">
        <f>IFERROR(VLOOKUP(J792,Source_Assumptions!$A:$C,2,0),"Unmapped")</f>
        <v>Digital - Owned</v>
      </c>
      <c r="L792" t="str">
        <f>Raw_Data!H792</f>
        <v>5TH GEN CITY PE</v>
      </c>
      <c r="M792" t="str">
        <f>IFERROR(VLOOKUP(L792,Model_Assumptions!$A:$D,2,0),"Unmapped")</f>
        <v>Mid-size Sedan</v>
      </c>
      <c r="N792" t="str">
        <f>IFERROR(VLOOKUP(L792,Model_Assumptions!$A:$D,3,0),"Unmapped")</f>
        <v>Petrol</v>
      </c>
      <c r="O792">
        <f>IFERROR(VLOOKUP(L792,Model_Assumptions!$A:$D,4,0),0)</f>
        <v>1250000</v>
      </c>
      <c r="P792">
        <f>IFERROR(VLOOKUP(J792,Source_Assumptions!$A:$C,3,0),0)</f>
        <v>300</v>
      </c>
    </row>
    <row r="793" spans="1:16" x14ac:dyDescent="0.3">
      <c r="A793">
        <f>Raw_Data!A793</f>
        <v>792</v>
      </c>
      <c r="B793" s="2">
        <f>Raw_Data!B793</f>
        <v>45194</v>
      </c>
      <c r="C793">
        <f>YEAR(Raw_Data!B793)</f>
        <v>2023</v>
      </c>
      <c r="D793" t="str">
        <f>IF(MONTH(Raw_Data!B793)&gt;=4,YEAR(Raw_Data!B793)&amp;"-"&amp;RIGHT(YEAR(Raw_Data!B793)+1,2),YEAR(Raw_Data!B793)-1&amp;"-"&amp;RIGHT(YEAR(Raw_Data!B793),2))</f>
        <v>2023-24</v>
      </c>
      <c r="E793" t="str">
        <f>"Q"&amp;ROUNDUP(MONTH(Raw_Data!B793)/3,0)</f>
        <v>Q3</v>
      </c>
      <c r="F793" t="str">
        <f>TEXT(Raw_Data!B793,"mmm")</f>
        <v>Sep</v>
      </c>
      <c r="G793" t="str">
        <f>TEXT(Raw_Data!B793,"ddd")</f>
        <v>Mon</v>
      </c>
      <c r="H793" t="str">
        <f>Raw_Data!D793</f>
        <v>Invoiced</v>
      </c>
      <c r="I793" t="str">
        <f>Raw_Data!F793</f>
        <v>SMS/ Tele-Out</v>
      </c>
      <c r="J793" t="str">
        <f>Raw_Data!G793</f>
        <v>I-BAP Referral</v>
      </c>
      <c r="K793" t="str">
        <f>IFERROR(VLOOKUP(J793,Source_Assumptions!$A:$C,2,0),"Unmapped")</f>
        <v>Referral (Insurance/Banking Partner)</v>
      </c>
      <c r="L793" t="str">
        <f>Raw_Data!H793</f>
        <v>ELEVATE</v>
      </c>
      <c r="M793" t="str">
        <f>IFERROR(VLOOKUP(L793,Model_Assumptions!$A:$D,2,0),"Unmapped")</f>
        <v>Compact SUV</v>
      </c>
      <c r="N793" t="str">
        <f>IFERROR(VLOOKUP(L793,Model_Assumptions!$A:$D,3,0),"Unmapped")</f>
        <v>Petrol</v>
      </c>
      <c r="O793">
        <f>IFERROR(VLOOKUP(L793,Model_Assumptions!$A:$D,4,0),0)</f>
        <v>1300000</v>
      </c>
      <c r="P793">
        <f>IFERROR(VLOOKUP(J793,Source_Assumptions!$A:$C,3,0),0)</f>
        <v>150</v>
      </c>
    </row>
    <row r="794" spans="1:16" x14ac:dyDescent="0.3">
      <c r="A794">
        <f>Raw_Data!A794</f>
        <v>793</v>
      </c>
      <c r="B794" s="2">
        <f>Raw_Data!B794</f>
        <v>45194</v>
      </c>
      <c r="C794">
        <f>YEAR(Raw_Data!B794)</f>
        <v>2023</v>
      </c>
      <c r="D794" t="str">
        <f>IF(MONTH(Raw_Data!B794)&gt;=4,YEAR(Raw_Data!B794)&amp;"-"&amp;RIGHT(YEAR(Raw_Data!B794)+1,2),YEAR(Raw_Data!B794)-1&amp;"-"&amp;RIGHT(YEAR(Raw_Data!B794),2))</f>
        <v>2023-24</v>
      </c>
      <c r="E794" t="str">
        <f>"Q"&amp;ROUNDUP(MONTH(Raw_Data!B794)/3,0)</f>
        <v>Q3</v>
      </c>
      <c r="F794" t="str">
        <f>TEXT(Raw_Data!B794,"mmm")</f>
        <v>Sep</v>
      </c>
      <c r="G794" t="str">
        <f>TEXT(Raw_Data!B794,"ddd")</f>
        <v>Mon</v>
      </c>
      <c r="H794" t="str">
        <f>Raw_Data!D794</f>
        <v>Invoiced</v>
      </c>
      <c r="I794" t="str">
        <f>Raw_Data!F794</f>
        <v>Web Lead</v>
      </c>
      <c r="J794" t="str">
        <f>Raw_Data!G794</f>
        <v>Web_Organic</v>
      </c>
      <c r="K794" t="str">
        <f>IFERROR(VLOOKUP(J794,Source_Assumptions!$A:$C,2,0),"Unmapped")</f>
        <v>Digital - Organic</v>
      </c>
      <c r="L794" t="str">
        <f>Raw_Data!H794</f>
        <v>ELEVATE</v>
      </c>
      <c r="M794" t="str">
        <f>IFERROR(VLOOKUP(L794,Model_Assumptions!$A:$D,2,0),"Unmapped")</f>
        <v>Compact SUV</v>
      </c>
      <c r="N794" t="str">
        <f>IFERROR(VLOOKUP(L794,Model_Assumptions!$A:$D,3,0),"Unmapped")</f>
        <v>Petrol</v>
      </c>
      <c r="O794">
        <f>IFERROR(VLOOKUP(L794,Model_Assumptions!$A:$D,4,0),0)</f>
        <v>1300000</v>
      </c>
      <c r="P794">
        <f>IFERROR(VLOOKUP(J794,Source_Assumptions!$A:$C,3,0),0)</f>
        <v>100</v>
      </c>
    </row>
    <row r="795" spans="1:16" x14ac:dyDescent="0.3">
      <c r="A795">
        <f>Raw_Data!A795</f>
        <v>794</v>
      </c>
      <c r="B795" s="2">
        <f>Raw_Data!B795</f>
        <v>45195</v>
      </c>
      <c r="C795">
        <f>YEAR(Raw_Data!B795)</f>
        <v>2023</v>
      </c>
      <c r="D795" t="str">
        <f>IF(MONTH(Raw_Data!B795)&gt;=4,YEAR(Raw_Data!B795)&amp;"-"&amp;RIGHT(YEAR(Raw_Data!B795)+1,2),YEAR(Raw_Data!B795)-1&amp;"-"&amp;RIGHT(YEAR(Raw_Data!B795),2))</f>
        <v>2023-24</v>
      </c>
      <c r="E795" t="str">
        <f>"Q"&amp;ROUNDUP(MONTH(Raw_Data!B795)/3,0)</f>
        <v>Q3</v>
      </c>
      <c r="F795" t="str">
        <f>TEXT(Raw_Data!B795,"mmm")</f>
        <v>Sep</v>
      </c>
      <c r="G795" t="str">
        <f>TEXT(Raw_Data!B795,"ddd")</f>
        <v>Tue</v>
      </c>
      <c r="H795" t="str">
        <f>Raw_Data!D795</f>
        <v>Invoiced</v>
      </c>
      <c r="I795" t="str">
        <f>Raw_Data!F795</f>
        <v>Web Lead</v>
      </c>
      <c r="J795" t="str">
        <f>Raw_Data!G795</f>
        <v>Web</v>
      </c>
      <c r="K795" t="str">
        <f>IFERROR(VLOOKUP(J795,Source_Assumptions!$A:$C,2,0),"Unmapped")</f>
        <v>Digital - Owned</v>
      </c>
      <c r="L795" t="str">
        <f>Raw_Data!H795</f>
        <v>AMAZE Petrol</v>
      </c>
      <c r="M795" t="str">
        <f>IFERROR(VLOOKUP(L795,Model_Assumptions!$A:$D,2,0),"Unmapped")</f>
        <v>Sub-4m Sedan</v>
      </c>
      <c r="N795" t="str">
        <f>IFERROR(VLOOKUP(L795,Model_Assumptions!$A:$D,3,0),"Unmapped")</f>
        <v>Petrol</v>
      </c>
      <c r="O795">
        <f>IFERROR(VLOOKUP(L795,Model_Assumptions!$A:$D,4,0),0)</f>
        <v>850000</v>
      </c>
      <c r="P795">
        <f>IFERROR(VLOOKUP(J795,Source_Assumptions!$A:$C,3,0),0)</f>
        <v>300</v>
      </c>
    </row>
    <row r="796" spans="1:16" x14ac:dyDescent="0.3">
      <c r="A796">
        <f>Raw_Data!A796</f>
        <v>795</v>
      </c>
      <c r="B796" s="2">
        <f>Raw_Data!B796</f>
        <v>45195</v>
      </c>
      <c r="C796">
        <f>YEAR(Raw_Data!B796)</f>
        <v>2023</v>
      </c>
      <c r="D796" t="str">
        <f>IF(MONTH(Raw_Data!B796)&gt;=4,YEAR(Raw_Data!B796)&amp;"-"&amp;RIGHT(YEAR(Raw_Data!B796)+1,2),YEAR(Raw_Data!B796)-1&amp;"-"&amp;RIGHT(YEAR(Raw_Data!B796),2))</f>
        <v>2023-24</v>
      </c>
      <c r="E796" t="str">
        <f>"Q"&amp;ROUNDUP(MONTH(Raw_Data!B796)/3,0)</f>
        <v>Q3</v>
      </c>
      <c r="F796" t="str">
        <f>TEXT(Raw_Data!B796,"mmm")</f>
        <v>Sep</v>
      </c>
      <c r="G796" t="str">
        <f>TEXT(Raw_Data!B796,"ddd")</f>
        <v>Tue</v>
      </c>
      <c r="H796" t="str">
        <f>Raw_Data!D796</f>
        <v>Invoiced</v>
      </c>
      <c r="I796" t="str">
        <f>Raw_Data!F796</f>
        <v>SMS/ Tele-Out</v>
      </c>
      <c r="J796" t="str">
        <f>Raw_Data!G796</f>
        <v>Database Activity(Teleout/SMS)</v>
      </c>
      <c r="K796" t="str">
        <f>IFERROR(VLOOKUP(J796,Source_Assumptions!$A:$C,2,0),"Unmapped")</f>
        <v>Outbound/Database</v>
      </c>
      <c r="L796" t="str">
        <f>Raw_Data!H796</f>
        <v>5TH GEN CITY PE</v>
      </c>
      <c r="M796" t="str">
        <f>IFERROR(VLOOKUP(L796,Model_Assumptions!$A:$D,2,0),"Unmapped")</f>
        <v>Mid-size Sedan</v>
      </c>
      <c r="N796" t="str">
        <f>IFERROR(VLOOKUP(L796,Model_Assumptions!$A:$D,3,0),"Unmapped")</f>
        <v>Petrol</v>
      </c>
      <c r="O796">
        <f>IFERROR(VLOOKUP(L796,Model_Assumptions!$A:$D,4,0),0)</f>
        <v>1250000</v>
      </c>
      <c r="P796">
        <f>IFERROR(VLOOKUP(J796,Source_Assumptions!$A:$C,3,0),0)</f>
        <v>250</v>
      </c>
    </row>
    <row r="797" spans="1:16" x14ac:dyDescent="0.3">
      <c r="A797">
        <f>Raw_Data!A797</f>
        <v>796</v>
      </c>
      <c r="B797" s="2">
        <f>Raw_Data!B797</f>
        <v>45195</v>
      </c>
      <c r="C797">
        <f>YEAR(Raw_Data!B797)</f>
        <v>2023</v>
      </c>
      <c r="D797" t="str">
        <f>IF(MONTH(Raw_Data!B797)&gt;=4,YEAR(Raw_Data!B797)&amp;"-"&amp;RIGHT(YEAR(Raw_Data!B797)+1,2),YEAR(Raw_Data!B797)-1&amp;"-"&amp;RIGHT(YEAR(Raw_Data!B797),2))</f>
        <v>2023-24</v>
      </c>
      <c r="E797" t="str">
        <f>"Q"&amp;ROUNDUP(MONTH(Raw_Data!B797)/3,0)</f>
        <v>Q3</v>
      </c>
      <c r="F797" t="str">
        <f>TEXT(Raw_Data!B797,"mmm")</f>
        <v>Sep</v>
      </c>
      <c r="G797" t="str">
        <f>TEXT(Raw_Data!B797,"ddd")</f>
        <v>Tue</v>
      </c>
      <c r="H797" t="str">
        <f>Raw_Data!D797</f>
        <v>Invoiced</v>
      </c>
      <c r="I797" t="str">
        <f>Raw_Data!F797</f>
        <v>Tele-in</v>
      </c>
      <c r="J797" t="str">
        <f>Raw_Data!G797</f>
        <v>Dealer Webpage Tele-In</v>
      </c>
      <c r="K797" t="str">
        <f>IFERROR(VLOOKUP(J797,Source_Assumptions!$A:$C,2,0),"Unmapped")</f>
        <v>Digital - Owned</v>
      </c>
      <c r="L797" t="str">
        <f>Raw_Data!H797</f>
        <v>ELEVATE</v>
      </c>
      <c r="M797" t="str">
        <f>IFERROR(VLOOKUP(L797,Model_Assumptions!$A:$D,2,0),"Unmapped")</f>
        <v>Compact SUV</v>
      </c>
      <c r="N797" t="str">
        <f>IFERROR(VLOOKUP(L797,Model_Assumptions!$A:$D,3,0),"Unmapped")</f>
        <v>Petrol</v>
      </c>
      <c r="O797">
        <f>IFERROR(VLOOKUP(L797,Model_Assumptions!$A:$D,4,0),0)</f>
        <v>1300000</v>
      </c>
      <c r="P797">
        <f>IFERROR(VLOOKUP(J797,Source_Assumptions!$A:$C,3,0),0)</f>
        <v>300</v>
      </c>
    </row>
    <row r="798" spans="1:16" x14ac:dyDescent="0.3">
      <c r="A798">
        <f>Raw_Data!A798</f>
        <v>797</v>
      </c>
      <c r="B798" s="2">
        <f>Raw_Data!B798</f>
        <v>45195</v>
      </c>
      <c r="C798">
        <f>YEAR(Raw_Data!B798)</f>
        <v>2023</v>
      </c>
      <c r="D798" t="str">
        <f>IF(MONTH(Raw_Data!B798)&gt;=4,YEAR(Raw_Data!B798)&amp;"-"&amp;RIGHT(YEAR(Raw_Data!B798)+1,2),YEAR(Raw_Data!B798)-1&amp;"-"&amp;RIGHT(YEAR(Raw_Data!B798),2))</f>
        <v>2023-24</v>
      </c>
      <c r="E798" t="str">
        <f>"Q"&amp;ROUNDUP(MONTH(Raw_Data!B798)/3,0)</f>
        <v>Q3</v>
      </c>
      <c r="F798" t="str">
        <f>TEXT(Raw_Data!B798,"mmm")</f>
        <v>Sep</v>
      </c>
      <c r="G798" t="str">
        <f>TEXT(Raw_Data!B798,"ddd")</f>
        <v>Tue</v>
      </c>
      <c r="H798" t="str">
        <f>Raw_Data!D798</f>
        <v>Invoiced</v>
      </c>
      <c r="I798" t="str">
        <f>Raw_Data!F798</f>
        <v>SMS/ Tele-Out</v>
      </c>
      <c r="J798" t="str">
        <f>Raw_Data!G798</f>
        <v>Database Activity(Teleout/SMS)</v>
      </c>
      <c r="K798" t="str">
        <f>IFERROR(VLOOKUP(J798,Source_Assumptions!$A:$C,2,0),"Unmapped")</f>
        <v>Outbound/Database</v>
      </c>
      <c r="L798" t="str">
        <f>Raw_Data!H798</f>
        <v>ELEVATE</v>
      </c>
      <c r="M798" t="str">
        <f>IFERROR(VLOOKUP(L798,Model_Assumptions!$A:$D,2,0),"Unmapped")</f>
        <v>Compact SUV</v>
      </c>
      <c r="N798" t="str">
        <f>IFERROR(VLOOKUP(L798,Model_Assumptions!$A:$D,3,0),"Unmapped")</f>
        <v>Petrol</v>
      </c>
      <c r="O798">
        <f>IFERROR(VLOOKUP(L798,Model_Assumptions!$A:$D,4,0),0)</f>
        <v>1300000</v>
      </c>
      <c r="P798">
        <f>IFERROR(VLOOKUP(J798,Source_Assumptions!$A:$C,3,0),0)</f>
        <v>250</v>
      </c>
    </row>
    <row r="799" spans="1:16" x14ac:dyDescent="0.3">
      <c r="A799">
        <f>Raw_Data!A799</f>
        <v>798</v>
      </c>
      <c r="B799" s="2">
        <f>Raw_Data!B799</f>
        <v>45195</v>
      </c>
      <c r="C799">
        <f>YEAR(Raw_Data!B799)</f>
        <v>2023</v>
      </c>
      <c r="D799" t="str">
        <f>IF(MONTH(Raw_Data!B799)&gt;=4,YEAR(Raw_Data!B799)&amp;"-"&amp;RIGHT(YEAR(Raw_Data!B799)+1,2),YEAR(Raw_Data!B799)-1&amp;"-"&amp;RIGHT(YEAR(Raw_Data!B799),2))</f>
        <v>2023-24</v>
      </c>
      <c r="E799" t="str">
        <f>"Q"&amp;ROUNDUP(MONTH(Raw_Data!B799)/3,0)</f>
        <v>Q3</v>
      </c>
      <c r="F799" t="str">
        <f>TEXT(Raw_Data!B799,"mmm")</f>
        <v>Sep</v>
      </c>
      <c r="G799" t="str">
        <f>TEXT(Raw_Data!B799,"ddd")</f>
        <v>Tue</v>
      </c>
      <c r="H799" t="str">
        <f>Raw_Data!D799</f>
        <v>Invoiced</v>
      </c>
      <c r="I799" t="str">
        <f>Raw_Data!F799</f>
        <v>Walk-in Showroom</v>
      </c>
      <c r="J799" t="str">
        <f>Raw_Data!G799</f>
        <v>Adver. (TVC/Print/Hoarding/FM)</v>
      </c>
      <c r="K799" t="str">
        <f>IFERROR(VLOOKUP(J799,Source_Assumptions!$A:$C,2,0),"Unmapped")</f>
        <v>Traditional Advertising</v>
      </c>
      <c r="L799" t="str">
        <f>Raw_Data!H799</f>
        <v>ELEVATE</v>
      </c>
      <c r="M799" t="str">
        <f>IFERROR(VLOOKUP(L799,Model_Assumptions!$A:$D,2,0),"Unmapped")</f>
        <v>Compact SUV</v>
      </c>
      <c r="N799" t="str">
        <f>IFERROR(VLOOKUP(L799,Model_Assumptions!$A:$D,3,0),"Unmapped")</f>
        <v>Petrol</v>
      </c>
      <c r="O799">
        <f>IFERROR(VLOOKUP(L799,Model_Assumptions!$A:$D,4,0),0)</f>
        <v>1300000</v>
      </c>
      <c r="P799">
        <f>IFERROR(VLOOKUP(J799,Source_Assumptions!$A:$C,3,0),0)</f>
        <v>1200</v>
      </c>
    </row>
    <row r="800" spans="1:16" x14ac:dyDescent="0.3">
      <c r="A800">
        <f>Raw_Data!A800</f>
        <v>799</v>
      </c>
      <c r="B800" s="2">
        <f>Raw_Data!B800</f>
        <v>45195</v>
      </c>
      <c r="C800">
        <f>YEAR(Raw_Data!B800)</f>
        <v>2023</v>
      </c>
      <c r="D800" t="str">
        <f>IF(MONTH(Raw_Data!B800)&gt;=4,YEAR(Raw_Data!B800)&amp;"-"&amp;RIGHT(YEAR(Raw_Data!B800)+1,2),YEAR(Raw_Data!B800)-1&amp;"-"&amp;RIGHT(YEAR(Raw_Data!B800),2))</f>
        <v>2023-24</v>
      </c>
      <c r="E800" t="str">
        <f>"Q"&amp;ROUNDUP(MONTH(Raw_Data!B800)/3,0)</f>
        <v>Q3</v>
      </c>
      <c r="F800" t="str">
        <f>TEXT(Raw_Data!B800,"mmm")</f>
        <v>Sep</v>
      </c>
      <c r="G800" t="str">
        <f>TEXT(Raw_Data!B800,"ddd")</f>
        <v>Tue</v>
      </c>
      <c r="H800" t="str">
        <f>Raw_Data!D800</f>
        <v>Invoiced</v>
      </c>
      <c r="I800" t="str">
        <f>Raw_Data!F800</f>
        <v>Tele-in</v>
      </c>
      <c r="J800" t="str">
        <f>Raw_Data!G800</f>
        <v>Referral-CAM</v>
      </c>
      <c r="K800" t="str">
        <f>IFERROR(VLOOKUP(J800,Source_Assumptions!$A:$C,2,0),"Unmapped")</f>
        <v>Referral</v>
      </c>
      <c r="L800" t="str">
        <f>Raw_Data!H800</f>
        <v>AMAZE Petrol</v>
      </c>
      <c r="M800" t="str">
        <f>IFERROR(VLOOKUP(L800,Model_Assumptions!$A:$D,2,0),"Unmapped")</f>
        <v>Sub-4m Sedan</v>
      </c>
      <c r="N800" t="str">
        <f>IFERROR(VLOOKUP(L800,Model_Assumptions!$A:$D,3,0),"Unmapped")</f>
        <v>Petrol</v>
      </c>
      <c r="O800">
        <f>IFERROR(VLOOKUP(L800,Model_Assumptions!$A:$D,4,0),0)</f>
        <v>850000</v>
      </c>
      <c r="P800">
        <f>IFERROR(VLOOKUP(J800,Source_Assumptions!$A:$C,3,0),0)</f>
        <v>150</v>
      </c>
    </row>
    <row r="801" spans="1:16" x14ac:dyDescent="0.3">
      <c r="A801">
        <f>Raw_Data!A801</f>
        <v>800</v>
      </c>
      <c r="B801" s="2">
        <f>Raw_Data!B801</f>
        <v>45196</v>
      </c>
      <c r="C801">
        <f>YEAR(Raw_Data!B801)</f>
        <v>2023</v>
      </c>
      <c r="D801" t="str">
        <f>IF(MONTH(Raw_Data!B801)&gt;=4,YEAR(Raw_Data!B801)&amp;"-"&amp;RIGHT(YEAR(Raw_Data!B801)+1,2),YEAR(Raw_Data!B801)-1&amp;"-"&amp;RIGHT(YEAR(Raw_Data!B801),2))</f>
        <v>2023-24</v>
      </c>
      <c r="E801" t="str">
        <f>"Q"&amp;ROUNDUP(MONTH(Raw_Data!B801)/3,0)</f>
        <v>Q3</v>
      </c>
      <c r="F801" t="str">
        <f>TEXT(Raw_Data!B801,"mmm")</f>
        <v>Sep</v>
      </c>
      <c r="G801" t="str">
        <f>TEXT(Raw_Data!B801,"ddd")</f>
        <v>Wed</v>
      </c>
      <c r="H801" t="str">
        <f>Raw_Data!D801</f>
        <v>Invoiced</v>
      </c>
      <c r="I801" t="str">
        <f>Raw_Data!F801</f>
        <v>Tele-in</v>
      </c>
      <c r="J801" t="str">
        <f>Raw_Data!G801</f>
        <v>Dealer Webpage Tele-In</v>
      </c>
      <c r="K801" t="str">
        <f>IFERROR(VLOOKUP(J801,Source_Assumptions!$A:$C,2,0),"Unmapped")</f>
        <v>Digital - Owned</v>
      </c>
      <c r="L801" t="str">
        <f>Raw_Data!H801</f>
        <v>ELEVATE</v>
      </c>
      <c r="M801" t="str">
        <f>IFERROR(VLOOKUP(L801,Model_Assumptions!$A:$D,2,0),"Unmapped")</f>
        <v>Compact SUV</v>
      </c>
      <c r="N801" t="str">
        <f>IFERROR(VLOOKUP(L801,Model_Assumptions!$A:$D,3,0),"Unmapped")</f>
        <v>Petrol</v>
      </c>
      <c r="O801">
        <f>IFERROR(VLOOKUP(L801,Model_Assumptions!$A:$D,4,0),0)</f>
        <v>1300000</v>
      </c>
      <c r="P801">
        <f>IFERROR(VLOOKUP(J801,Source_Assumptions!$A:$C,3,0),0)</f>
        <v>300</v>
      </c>
    </row>
    <row r="802" spans="1:16" x14ac:dyDescent="0.3">
      <c r="A802">
        <f>Raw_Data!A802</f>
        <v>801</v>
      </c>
      <c r="B802" s="2">
        <f>Raw_Data!B802</f>
        <v>45196</v>
      </c>
      <c r="C802">
        <f>YEAR(Raw_Data!B802)</f>
        <v>2023</v>
      </c>
      <c r="D802" t="str">
        <f>IF(MONTH(Raw_Data!B802)&gt;=4,YEAR(Raw_Data!B802)&amp;"-"&amp;RIGHT(YEAR(Raw_Data!B802)+1,2),YEAR(Raw_Data!B802)-1&amp;"-"&amp;RIGHT(YEAR(Raw_Data!B802),2))</f>
        <v>2023-24</v>
      </c>
      <c r="E802" t="str">
        <f>"Q"&amp;ROUNDUP(MONTH(Raw_Data!B802)/3,0)</f>
        <v>Q3</v>
      </c>
      <c r="F802" t="str">
        <f>TEXT(Raw_Data!B802,"mmm")</f>
        <v>Sep</v>
      </c>
      <c r="G802" t="str">
        <f>TEXT(Raw_Data!B802,"ddd")</f>
        <v>Wed</v>
      </c>
      <c r="H802" t="str">
        <f>Raw_Data!D802</f>
        <v>Invoiced</v>
      </c>
      <c r="I802" t="str">
        <f>Raw_Data!F802</f>
        <v>SMS/ Tele-Out</v>
      </c>
      <c r="J802" t="str">
        <f>Raw_Data!G802</f>
        <v>Database Activity(Teleout/SMS)</v>
      </c>
      <c r="K802" t="str">
        <f>IFERROR(VLOOKUP(J802,Source_Assumptions!$A:$C,2,0),"Unmapped")</f>
        <v>Outbound/Database</v>
      </c>
      <c r="L802" t="str">
        <f>Raw_Data!H802</f>
        <v>ELEVATE</v>
      </c>
      <c r="M802" t="str">
        <f>IFERROR(VLOOKUP(L802,Model_Assumptions!$A:$D,2,0),"Unmapped")</f>
        <v>Compact SUV</v>
      </c>
      <c r="N802" t="str">
        <f>IFERROR(VLOOKUP(L802,Model_Assumptions!$A:$D,3,0),"Unmapped")</f>
        <v>Petrol</v>
      </c>
      <c r="O802">
        <f>IFERROR(VLOOKUP(L802,Model_Assumptions!$A:$D,4,0),0)</f>
        <v>1300000</v>
      </c>
      <c r="P802">
        <f>IFERROR(VLOOKUP(J802,Source_Assumptions!$A:$C,3,0),0)</f>
        <v>250</v>
      </c>
    </row>
    <row r="803" spans="1:16" x14ac:dyDescent="0.3">
      <c r="A803">
        <f>Raw_Data!A803</f>
        <v>802</v>
      </c>
      <c r="B803" s="2">
        <f>Raw_Data!B803</f>
        <v>45197</v>
      </c>
      <c r="C803">
        <f>YEAR(Raw_Data!B803)</f>
        <v>2023</v>
      </c>
      <c r="D803" t="str">
        <f>IF(MONTH(Raw_Data!B803)&gt;=4,YEAR(Raw_Data!B803)&amp;"-"&amp;RIGHT(YEAR(Raw_Data!B803)+1,2),YEAR(Raw_Data!B803)-1&amp;"-"&amp;RIGHT(YEAR(Raw_Data!B803),2))</f>
        <v>2023-24</v>
      </c>
      <c r="E803" t="str">
        <f>"Q"&amp;ROUNDUP(MONTH(Raw_Data!B803)/3,0)</f>
        <v>Q3</v>
      </c>
      <c r="F803" t="str">
        <f>TEXT(Raw_Data!B803,"mmm")</f>
        <v>Sep</v>
      </c>
      <c r="G803" t="str">
        <f>TEXT(Raw_Data!B803,"ddd")</f>
        <v>Thu</v>
      </c>
      <c r="H803" t="str">
        <f>Raw_Data!D803</f>
        <v>Invoiced</v>
      </c>
      <c r="I803" t="str">
        <f>Raw_Data!F803</f>
        <v>Web Lead</v>
      </c>
      <c r="J803" t="str">
        <f>Raw_Data!G803</f>
        <v>Web_Organic</v>
      </c>
      <c r="K803" t="str">
        <f>IFERROR(VLOOKUP(J803,Source_Assumptions!$A:$C,2,0),"Unmapped")</f>
        <v>Digital - Organic</v>
      </c>
      <c r="L803" t="str">
        <f>Raw_Data!H803</f>
        <v>5TH GEN CITY PE</v>
      </c>
      <c r="M803" t="str">
        <f>IFERROR(VLOOKUP(L803,Model_Assumptions!$A:$D,2,0),"Unmapped")</f>
        <v>Mid-size Sedan</v>
      </c>
      <c r="N803" t="str">
        <f>IFERROR(VLOOKUP(L803,Model_Assumptions!$A:$D,3,0),"Unmapped")</f>
        <v>Petrol</v>
      </c>
      <c r="O803">
        <f>IFERROR(VLOOKUP(L803,Model_Assumptions!$A:$D,4,0),0)</f>
        <v>1250000</v>
      </c>
      <c r="P803">
        <f>IFERROR(VLOOKUP(J803,Source_Assumptions!$A:$C,3,0),0)</f>
        <v>100</v>
      </c>
    </row>
    <row r="804" spans="1:16" x14ac:dyDescent="0.3">
      <c r="A804">
        <f>Raw_Data!A804</f>
        <v>803</v>
      </c>
      <c r="B804" s="2">
        <f>Raw_Data!B804</f>
        <v>45197</v>
      </c>
      <c r="C804">
        <f>YEAR(Raw_Data!B804)</f>
        <v>2023</v>
      </c>
      <c r="D804" t="str">
        <f>IF(MONTH(Raw_Data!B804)&gt;=4,YEAR(Raw_Data!B804)&amp;"-"&amp;RIGHT(YEAR(Raw_Data!B804)+1,2),YEAR(Raw_Data!B804)-1&amp;"-"&amp;RIGHT(YEAR(Raw_Data!B804),2))</f>
        <v>2023-24</v>
      </c>
      <c r="E804" t="str">
        <f>"Q"&amp;ROUNDUP(MONTH(Raw_Data!B804)/3,0)</f>
        <v>Q3</v>
      </c>
      <c r="F804" t="str">
        <f>TEXT(Raw_Data!B804,"mmm")</f>
        <v>Sep</v>
      </c>
      <c r="G804" t="str">
        <f>TEXT(Raw_Data!B804,"ddd")</f>
        <v>Thu</v>
      </c>
      <c r="H804" t="str">
        <f>Raw_Data!D804</f>
        <v>Invoiced</v>
      </c>
      <c r="I804" t="str">
        <f>Raw_Data!F804</f>
        <v>Web Lead</v>
      </c>
      <c r="J804" t="str">
        <f>Raw_Data!G804</f>
        <v>Web</v>
      </c>
      <c r="K804" t="str">
        <f>IFERROR(VLOOKUP(J804,Source_Assumptions!$A:$C,2,0),"Unmapped")</f>
        <v>Digital - Owned</v>
      </c>
      <c r="L804" t="str">
        <f>Raw_Data!H804</f>
        <v>5TH GEN CITY PE</v>
      </c>
      <c r="M804" t="str">
        <f>IFERROR(VLOOKUP(L804,Model_Assumptions!$A:$D,2,0),"Unmapped")</f>
        <v>Mid-size Sedan</v>
      </c>
      <c r="N804" t="str">
        <f>IFERROR(VLOOKUP(L804,Model_Assumptions!$A:$D,3,0),"Unmapped")</f>
        <v>Petrol</v>
      </c>
      <c r="O804">
        <f>IFERROR(VLOOKUP(L804,Model_Assumptions!$A:$D,4,0),0)</f>
        <v>1250000</v>
      </c>
      <c r="P804">
        <f>IFERROR(VLOOKUP(J804,Source_Assumptions!$A:$C,3,0),0)</f>
        <v>300</v>
      </c>
    </row>
    <row r="805" spans="1:16" x14ac:dyDescent="0.3">
      <c r="A805">
        <f>Raw_Data!A805</f>
        <v>804</v>
      </c>
      <c r="B805" s="2">
        <f>Raw_Data!B805</f>
        <v>45198</v>
      </c>
      <c r="C805">
        <f>YEAR(Raw_Data!B805)</f>
        <v>2023</v>
      </c>
      <c r="D805" t="str">
        <f>IF(MONTH(Raw_Data!B805)&gt;=4,YEAR(Raw_Data!B805)&amp;"-"&amp;RIGHT(YEAR(Raw_Data!B805)+1,2),YEAR(Raw_Data!B805)-1&amp;"-"&amp;RIGHT(YEAR(Raw_Data!B805),2))</f>
        <v>2023-24</v>
      </c>
      <c r="E805" t="str">
        <f>"Q"&amp;ROUNDUP(MONTH(Raw_Data!B805)/3,0)</f>
        <v>Q3</v>
      </c>
      <c r="F805" t="str">
        <f>TEXT(Raw_Data!B805,"mmm")</f>
        <v>Sep</v>
      </c>
      <c r="G805" t="str">
        <f>TEXT(Raw_Data!B805,"ddd")</f>
        <v>Fri</v>
      </c>
      <c r="H805" t="str">
        <f>Raw_Data!D805</f>
        <v>Invoiced</v>
      </c>
      <c r="I805" t="str">
        <f>Raw_Data!F805</f>
        <v>Web Lead</v>
      </c>
      <c r="J805" t="str">
        <f>Raw_Data!G805</f>
        <v>Online Booking</v>
      </c>
      <c r="K805" t="str">
        <f>IFERROR(VLOOKUP(J805,Source_Assumptions!$A:$C,2,0),"Unmapped")</f>
        <v>Digital - Owned</v>
      </c>
      <c r="L805" t="str">
        <f>Raw_Data!H805</f>
        <v>ELEVATE</v>
      </c>
      <c r="M805" t="str">
        <f>IFERROR(VLOOKUP(L805,Model_Assumptions!$A:$D,2,0),"Unmapped")</f>
        <v>Compact SUV</v>
      </c>
      <c r="N805" t="str">
        <f>IFERROR(VLOOKUP(L805,Model_Assumptions!$A:$D,3,0),"Unmapped")</f>
        <v>Petrol</v>
      </c>
      <c r="O805">
        <f>IFERROR(VLOOKUP(L805,Model_Assumptions!$A:$D,4,0),0)</f>
        <v>1300000</v>
      </c>
      <c r="P805">
        <f>IFERROR(VLOOKUP(J805,Source_Assumptions!$A:$C,3,0),0)</f>
        <v>300</v>
      </c>
    </row>
    <row r="806" spans="1:16" x14ac:dyDescent="0.3">
      <c r="A806">
        <f>Raw_Data!A806</f>
        <v>805</v>
      </c>
      <c r="B806" s="2">
        <f>Raw_Data!B806</f>
        <v>45198</v>
      </c>
      <c r="C806">
        <f>YEAR(Raw_Data!B806)</f>
        <v>2023</v>
      </c>
      <c r="D806" t="str">
        <f>IF(MONTH(Raw_Data!B806)&gt;=4,YEAR(Raw_Data!B806)&amp;"-"&amp;RIGHT(YEAR(Raw_Data!B806)+1,2),YEAR(Raw_Data!B806)-1&amp;"-"&amp;RIGHT(YEAR(Raw_Data!B806),2))</f>
        <v>2023-24</v>
      </c>
      <c r="E806" t="str">
        <f>"Q"&amp;ROUNDUP(MONTH(Raw_Data!B806)/3,0)</f>
        <v>Q3</v>
      </c>
      <c r="F806" t="str">
        <f>TEXT(Raw_Data!B806,"mmm")</f>
        <v>Sep</v>
      </c>
      <c r="G806" t="str">
        <f>TEXT(Raw_Data!B806,"ddd")</f>
        <v>Fri</v>
      </c>
      <c r="H806" t="str">
        <f>Raw_Data!D806</f>
        <v>Invoiced</v>
      </c>
      <c r="I806" t="str">
        <f>Raw_Data!F806</f>
        <v>Web Lead</v>
      </c>
      <c r="J806" t="str">
        <f>Raw_Data!G806</f>
        <v>Web_Organic</v>
      </c>
      <c r="K806" t="str">
        <f>IFERROR(VLOOKUP(J806,Source_Assumptions!$A:$C,2,0),"Unmapped")</f>
        <v>Digital - Organic</v>
      </c>
      <c r="L806" t="str">
        <f>Raw_Data!H806</f>
        <v>ELEVATE</v>
      </c>
      <c r="M806" t="str">
        <f>IFERROR(VLOOKUP(L806,Model_Assumptions!$A:$D,2,0),"Unmapped")</f>
        <v>Compact SUV</v>
      </c>
      <c r="N806" t="str">
        <f>IFERROR(VLOOKUP(L806,Model_Assumptions!$A:$D,3,0),"Unmapped")</f>
        <v>Petrol</v>
      </c>
      <c r="O806">
        <f>IFERROR(VLOOKUP(L806,Model_Assumptions!$A:$D,4,0),0)</f>
        <v>1300000</v>
      </c>
      <c r="P806">
        <f>IFERROR(VLOOKUP(J806,Source_Assumptions!$A:$C,3,0),0)</f>
        <v>100</v>
      </c>
    </row>
    <row r="807" spans="1:16" x14ac:dyDescent="0.3">
      <c r="A807">
        <f>Raw_Data!A807</f>
        <v>806</v>
      </c>
      <c r="B807" s="2">
        <f>Raw_Data!B807</f>
        <v>45198</v>
      </c>
      <c r="C807">
        <f>YEAR(Raw_Data!B807)</f>
        <v>2023</v>
      </c>
      <c r="D807" t="str">
        <f>IF(MONTH(Raw_Data!B807)&gt;=4,YEAR(Raw_Data!B807)&amp;"-"&amp;RIGHT(YEAR(Raw_Data!B807)+1,2),YEAR(Raw_Data!B807)-1&amp;"-"&amp;RIGHT(YEAR(Raw_Data!B807),2))</f>
        <v>2023-24</v>
      </c>
      <c r="E807" t="str">
        <f>"Q"&amp;ROUNDUP(MONTH(Raw_Data!B807)/3,0)</f>
        <v>Q3</v>
      </c>
      <c r="F807" t="str">
        <f>TEXT(Raw_Data!B807,"mmm")</f>
        <v>Sep</v>
      </c>
      <c r="G807" t="str">
        <f>TEXT(Raw_Data!B807,"ddd")</f>
        <v>Fri</v>
      </c>
      <c r="H807" t="str">
        <f>Raw_Data!D807</f>
        <v>Invoiced</v>
      </c>
      <c r="I807" t="str">
        <f>Raw_Data!F807</f>
        <v>Web Lead</v>
      </c>
      <c r="J807" t="str">
        <f>Raw_Data!G807</f>
        <v>Web</v>
      </c>
      <c r="K807" t="str">
        <f>IFERROR(VLOOKUP(J807,Source_Assumptions!$A:$C,2,0),"Unmapped")</f>
        <v>Digital - Owned</v>
      </c>
      <c r="L807" t="str">
        <f>Raw_Data!H807</f>
        <v>AMAZE Petrol</v>
      </c>
      <c r="M807" t="str">
        <f>IFERROR(VLOOKUP(L807,Model_Assumptions!$A:$D,2,0),"Unmapped")</f>
        <v>Sub-4m Sedan</v>
      </c>
      <c r="N807" t="str">
        <f>IFERROR(VLOOKUP(L807,Model_Assumptions!$A:$D,3,0),"Unmapped")</f>
        <v>Petrol</v>
      </c>
      <c r="O807">
        <f>IFERROR(VLOOKUP(L807,Model_Assumptions!$A:$D,4,0),0)</f>
        <v>850000</v>
      </c>
      <c r="P807">
        <f>IFERROR(VLOOKUP(J807,Source_Assumptions!$A:$C,3,0),0)</f>
        <v>300</v>
      </c>
    </row>
    <row r="808" spans="1:16" x14ac:dyDescent="0.3">
      <c r="A808">
        <f>Raw_Data!A808</f>
        <v>807</v>
      </c>
      <c r="B808" s="2">
        <f>Raw_Data!B808</f>
        <v>45198</v>
      </c>
      <c r="C808">
        <f>YEAR(Raw_Data!B808)</f>
        <v>2023</v>
      </c>
      <c r="D808" t="str">
        <f>IF(MONTH(Raw_Data!B808)&gt;=4,YEAR(Raw_Data!B808)&amp;"-"&amp;RIGHT(YEAR(Raw_Data!B808)+1,2),YEAR(Raw_Data!B808)-1&amp;"-"&amp;RIGHT(YEAR(Raw_Data!B808),2))</f>
        <v>2023-24</v>
      </c>
      <c r="E808" t="str">
        <f>"Q"&amp;ROUNDUP(MONTH(Raw_Data!B808)/3,0)</f>
        <v>Q3</v>
      </c>
      <c r="F808" t="str">
        <f>TEXT(Raw_Data!B808,"mmm")</f>
        <v>Sep</v>
      </c>
      <c r="G808" t="str">
        <f>TEXT(Raw_Data!B808,"ddd")</f>
        <v>Fri</v>
      </c>
      <c r="H808" t="str">
        <f>Raw_Data!D808</f>
        <v>Invoiced</v>
      </c>
      <c r="I808" t="str">
        <f>Raw_Data!F808</f>
        <v>Tele-in</v>
      </c>
      <c r="J808" t="str">
        <f>Raw_Data!G808</f>
        <v>Dealer Webpage Tele-In</v>
      </c>
      <c r="K808" t="str">
        <f>IFERROR(VLOOKUP(J808,Source_Assumptions!$A:$C,2,0),"Unmapped")</f>
        <v>Digital - Owned</v>
      </c>
      <c r="L808" t="str">
        <f>Raw_Data!H808</f>
        <v>ELEVATE</v>
      </c>
      <c r="M808" t="str">
        <f>IFERROR(VLOOKUP(L808,Model_Assumptions!$A:$D,2,0),"Unmapped")</f>
        <v>Compact SUV</v>
      </c>
      <c r="N808" t="str">
        <f>IFERROR(VLOOKUP(L808,Model_Assumptions!$A:$D,3,0),"Unmapped")</f>
        <v>Petrol</v>
      </c>
      <c r="O808">
        <f>IFERROR(VLOOKUP(L808,Model_Assumptions!$A:$D,4,0),0)</f>
        <v>1300000</v>
      </c>
      <c r="P808">
        <f>IFERROR(VLOOKUP(J808,Source_Assumptions!$A:$C,3,0),0)</f>
        <v>300</v>
      </c>
    </row>
    <row r="809" spans="1:16" x14ac:dyDescent="0.3">
      <c r="A809">
        <f>Raw_Data!A809</f>
        <v>808</v>
      </c>
      <c r="B809" s="2">
        <f>Raw_Data!B809</f>
        <v>45198</v>
      </c>
      <c r="C809">
        <f>YEAR(Raw_Data!B809)</f>
        <v>2023</v>
      </c>
      <c r="D809" t="str">
        <f>IF(MONTH(Raw_Data!B809)&gt;=4,YEAR(Raw_Data!B809)&amp;"-"&amp;RIGHT(YEAR(Raw_Data!B809)+1,2),YEAR(Raw_Data!B809)-1&amp;"-"&amp;RIGHT(YEAR(Raw_Data!B809),2))</f>
        <v>2023-24</v>
      </c>
      <c r="E809" t="str">
        <f>"Q"&amp;ROUNDUP(MONTH(Raw_Data!B809)/3,0)</f>
        <v>Q3</v>
      </c>
      <c r="F809" t="str">
        <f>TEXT(Raw_Data!B809,"mmm")</f>
        <v>Sep</v>
      </c>
      <c r="G809" t="str">
        <f>TEXT(Raw_Data!B809,"ddd")</f>
        <v>Fri</v>
      </c>
      <c r="H809" t="str">
        <f>Raw_Data!D809</f>
        <v>Invoiced</v>
      </c>
      <c r="I809" t="str">
        <f>Raw_Data!F809</f>
        <v>SMS/ Tele-Out</v>
      </c>
      <c r="J809" t="str">
        <f>Raw_Data!G809</f>
        <v>Database Activity(Teleout/SMS)</v>
      </c>
      <c r="K809" t="str">
        <f>IFERROR(VLOOKUP(J809,Source_Assumptions!$A:$C,2,0),"Unmapped")</f>
        <v>Outbound/Database</v>
      </c>
      <c r="L809" t="str">
        <f>Raw_Data!H809</f>
        <v>5TH GEN CITY e:HEV</v>
      </c>
      <c r="M809" t="str">
        <f>IFERROR(VLOOKUP(L809,Model_Assumptions!$A:$D,2,0),"Unmapped")</f>
        <v>Mid-size Sedan</v>
      </c>
      <c r="N809" t="str">
        <f>IFERROR(VLOOKUP(L809,Model_Assumptions!$A:$D,3,0),"Unmapped")</f>
        <v>Hybrid</v>
      </c>
      <c r="O809">
        <f>IFERROR(VLOOKUP(L809,Model_Assumptions!$A:$D,4,0),0)</f>
        <v>1950000</v>
      </c>
      <c r="P809">
        <f>IFERROR(VLOOKUP(J809,Source_Assumptions!$A:$C,3,0),0)</f>
        <v>250</v>
      </c>
    </row>
    <row r="810" spans="1:16" x14ac:dyDescent="0.3">
      <c r="A810">
        <f>Raw_Data!A810</f>
        <v>809</v>
      </c>
      <c r="B810" s="2">
        <f>Raw_Data!B810</f>
        <v>45198</v>
      </c>
      <c r="C810">
        <f>YEAR(Raw_Data!B810)</f>
        <v>2023</v>
      </c>
      <c r="D810" t="str">
        <f>IF(MONTH(Raw_Data!B810)&gt;=4,YEAR(Raw_Data!B810)&amp;"-"&amp;RIGHT(YEAR(Raw_Data!B810)+1,2),YEAR(Raw_Data!B810)-1&amp;"-"&amp;RIGHT(YEAR(Raw_Data!B810),2))</f>
        <v>2023-24</v>
      </c>
      <c r="E810" t="str">
        <f>"Q"&amp;ROUNDUP(MONTH(Raw_Data!B810)/3,0)</f>
        <v>Q3</v>
      </c>
      <c r="F810" t="str">
        <f>TEXT(Raw_Data!B810,"mmm")</f>
        <v>Sep</v>
      </c>
      <c r="G810" t="str">
        <f>TEXT(Raw_Data!B810,"ddd")</f>
        <v>Fri</v>
      </c>
      <c r="H810" t="str">
        <f>Raw_Data!D810</f>
        <v>Invoiced</v>
      </c>
      <c r="I810" t="str">
        <f>Raw_Data!F810</f>
        <v>SMS/ Tele-Out</v>
      </c>
      <c r="J810" t="str">
        <f>Raw_Data!G810</f>
        <v>Referral-CAM</v>
      </c>
      <c r="K810" t="str">
        <f>IFERROR(VLOOKUP(J810,Source_Assumptions!$A:$C,2,0),"Unmapped")</f>
        <v>Referral</v>
      </c>
      <c r="L810" t="str">
        <f>Raw_Data!H810</f>
        <v>AMAZE Petrol</v>
      </c>
      <c r="M810" t="str">
        <f>IFERROR(VLOOKUP(L810,Model_Assumptions!$A:$D,2,0),"Unmapped")</f>
        <v>Sub-4m Sedan</v>
      </c>
      <c r="N810" t="str">
        <f>IFERROR(VLOOKUP(L810,Model_Assumptions!$A:$D,3,0),"Unmapped")</f>
        <v>Petrol</v>
      </c>
      <c r="O810">
        <f>IFERROR(VLOOKUP(L810,Model_Assumptions!$A:$D,4,0),0)</f>
        <v>850000</v>
      </c>
      <c r="P810">
        <f>IFERROR(VLOOKUP(J810,Source_Assumptions!$A:$C,3,0),0)</f>
        <v>150</v>
      </c>
    </row>
    <row r="811" spans="1:16" x14ac:dyDescent="0.3">
      <c r="A811">
        <f>Raw_Data!A811</f>
        <v>810</v>
      </c>
      <c r="B811" s="2">
        <f>Raw_Data!B811</f>
        <v>45199</v>
      </c>
      <c r="C811">
        <f>YEAR(Raw_Data!B811)</f>
        <v>2023</v>
      </c>
      <c r="D811" t="str">
        <f>IF(MONTH(Raw_Data!B811)&gt;=4,YEAR(Raw_Data!B811)&amp;"-"&amp;RIGHT(YEAR(Raw_Data!B811)+1,2),YEAR(Raw_Data!B811)-1&amp;"-"&amp;RIGHT(YEAR(Raw_Data!B811),2))</f>
        <v>2023-24</v>
      </c>
      <c r="E811" t="str">
        <f>"Q"&amp;ROUNDUP(MONTH(Raw_Data!B811)/3,0)</f>
        <v>Q3</v>
      </c>
      <c r="F811" t="str">
        <f>TEXT(Raw_Data!B811,"mmm")</f>
        <v>Sep</v>
      </c>
      <c r="G811" t="str">
        <f>TEXT(Raw_Data!B811,"ddd")</f>
        <v>Sat</v>
      </c>
      <c r="H811" t="str">
        <f>Raw_Data!D811</f>
        <v>Invoiced</v>
      </c>
      <c r="I811" t="str">
        <f>Raw_Data!F811</f>
        <v>Walk-in Showroom</v>
      </c>
      <c r="J811" t="str">
        <f>Raw_Data!G811</f>
        <v>Adver. (TVC/Print/Hoarding/FM)</v>
      </c>
      <c r="K811" t="str">
        <f>IFERROR(VLOOKUP(J811,Source_Assumptions!$A:$C,2,0),"Unmapped")</f>
        <v>Traditional Advertising</v>
      </c>
      <c r="L811" t="str">
        <f>Raw_Data!H811</f>
        <v>AMAZE Petrol</v>
      </c>
      <c r="M811" t="str">
        <f>IFERROR(VLOOKUP(L811,Model_Assumptions!$A:$D,2,0),"Unmapped")</f>
        <v>Sub-4m Sedan</v>
      </c>
      <c r="N811" t="str">
        <f>IFERROR(VLOOKUP(L811,Model_Assumptions!$A:$D,3,0),"Unmapped")</f>
        <v>Petrol</v>
      </c>
      <c r="O811">
        <f>IFERROR(VLOOKUP(L811,Model_Assumptions!$A:$D,4,0),0)</f>
        <v>850000</v>
      </c>
      <c r="P811">
        <f>IFERROR(VLOOKUP(J811,Source_Assumptions!$A:$C,3,0),0)</f>
        <v>1200</v>
      </c>
    </row>
    <row r="812" spans="1:16" x14ac:dyDescent="0.3">
      <c r="A812">
        <f>Raw_Data!A812</f>
        <v>811</v>
      </c>
      <c r="B812" s="2">
        <f>Raw_Data!B812</f>
        <v>45199</v>
      </c>
      <c r="C812">
        <f>YEAR(Raw_Data!B812)</f>
        <v>2023</v>
      </c>
      <c r="D812" t="str">
        <f>IF(MONTH(Raw_Data!B812)&gt;=4,YEAR(Raw_Data!B812)&amp;"-"&amp;RIGHT(YEAR(Raw_Data!B812)+1,2),YEAR(Raw_Data!B812)-1&amp;"-"&amp;RIGHT(YEAR(Raw_Data!B812),2))</f>
        <v>2023-24</v>
      </c>
      <c r="E812" t="str">
        <f>"Q"&amp;ROUNDUP(MONTH(Raw_Data!B812)/3,0)</f>
        <v>Q3</v>
      </c>
      <c r="F812" t="str">
        <f>TEXT(Raw_Data!B812,"mmm")</f>
        <v>Sep</v>
      </c>
      <c r="G812" t="str">
        <f>TEXT(Raw_Data!B812,"ddd")</f>
        <v>Sat</v>
      </c>
      <c r="H812" t="str">
        <f>Raw_Data!D812</f>
        <v>Invoiced</v>
      </c>
      <c r="I812" t="str">
        <f>Raw_Data!F812</f>
        <v>SMS/ Tele-Out</v>
      </c>
      <c r="J812" t="str">
        <f>Raw_Data!G812</f>
        <v>Database Activity(Teleout/SMS)</v>
      </c>
      <c r="K812" t="str">
        <f>IFERROR(VLOOKUP(J812,Source_Assumptions!$A:$C,2,0),"Unmapped")</f>
        <v>Outbound/Database</v>
      </c>
      <c r="L812" t="str">
        <f>Raw_Data!H812</f>
        <v>ELEVATE</v>
      </c>
      <c r="M812" t="str">
        <f>IFERROR(VLOOKUP(L812,Model_Assumptions!$A:$D,2,0),"Unmapped")</f>
        <v>Compact SUV</v>
      </c>
      <c r="N812" t="str">
        <f>IFERROR(VLOOKUP(L812,Model_Assumptions!$A:$D,3,0),"Unmapped")</f>
        <v>Petrol</v>
      </c>
      <c r="O812">
        <f>IFERROR(VLOOKUP(L812,Model_Assumptions!$A:$D,4,0),0)</f>
        <v>1300000</v>
      </c>
      <c r="P812">
        <f>IFERROR(VLOOKUP(J812,Source_Assumptions!$A:$C,3,0),0)</f>
        <v>250</v>
      </c>
    </row>
    <row r="813" spans="1:16" x14ac:dyDescent="0.3">
      <c r="A813">
        <f>Raw_Data!A813</f>
        <v>812</v>
      </c>
      <c r="B813" s="2">
        <f>Raw_Data!B813</f>
        <v>45199</v>
      </c>
      <c r="C813">
        <f>YEAR(Raw_Data!B813)</f>
        <v>2023</v>
      </c>
      <c r="D813" t="str">
        <f>IF(MONTH(Raw_Data!B813)&gt;=4,YEAR(Raw_Data!B813)&amp;"-"&amp;RIGHT(YEAR(Raw_Data!B813)+1,2),YEAR(Raw_Data!B813)-1&amp;"-"&amp;RIGHT(YEAR(Raw_Data!B813),2))</f>
        <v>2023-24</v>
      </c>
      <c r="E813" t="str">
        <f>"Q"&amp;ROUNDUP(MONTH(Raw_Data!B813)/3,0)</f>
        <v>Q3</v>
      </c>
      <c r="F813" t="str">
        <f>TEXT(Raw_Data!B813,"mmm")</f>
        <v>Sep</v>
      </c>
      <c r="G813" t="str">
        <f>TEXT(Raw_Data!B813,"ddd")</f>
        <v>Sat</v>
      </c>
      <c r="H813" t="str">
        <f>Raw_Data!D813</f>
        <v>Invoiced</v>
      </c>
      <c r="I813" t="str">
        <f>Raw_Data!F813</f>
        <v>Tele-in</v>
      </c>
      <c r="J813" t="str">
        <f>Raw_Data!G813</f>
        <v>Dealer Webpage Tele-In</v>
      </c>
      <c r="K813" t="str">
        <f>IFERROR(VLOOKUP(J813,Source_Assumptions!$A:$C,2,0),"Unmapped")</f>
        <v>Digital - Owned</v>
      </c>
      <c r="L813" t="str">
        <f>Raw_Data!H813</f>
        <v>ELEVATE</v>
      </c>
      <c r="M813" t="str">
        <f>IFERROR(VLOOKUP(L813,Model_Assumptions!$A:$D,2,0),"Unmapped")</f>
        <v>Compact SUV</v>
      </c>
      <c r="N813" t="str">
        <f>IFERROR(VLOOKUP(L813,Model_Assumptions!$A:$D,3,0),"Unmapped")</f>
        <v>Petrol</v>
      </c>
      <c r="O813">
        <f>IFERROR(VLOOKUP(L813,Model_Assumptions!$A:$D,4,0),0)</f>
        <v>1300000</v>
      </c>
      <c r="P813">
        <f>IFERROR(VLOOKUP(J813,Source_Assumptions!$A:$C,3,0),0)</f>
        <v>300</v>
      </c>
    </row>
    <row r="814" spans="1:16" x14ac:dyDescent="0.3">
      <c r="A814">
        <f>Raw_Data!A814</f>
        <v>813</v>
      </c>
      <c r="B814" s="2">
        <f>Raw_Data!B814</f>
        <v>45208</v>
      </c>
      <c r="C814">
        <f>YEAR(Raw_Data!B814)</f>
        <v>2023</v>
      </c>
      <c r="D814" t="str">
        <f>IF(MONTH(Raw_Data!B814)&gt;=4,YEAR(Raw_Data!B814)&amp;"-"&amp;RIGHT(YEAR(Raw_Data!B814)+1,2),YEAR(Raw_Data!B814)-1&amp;"-"&amp;RIGHT(YEAR(Raw_Data!B814),2))</f>
        <v>2023-24</v>
      </c>
      <c r="E814" t="str">
        <f>"Q"&amp;ROUNDUP(MONTH(Raw_Data!B814)/3,0)</f>
        <v>Q4</v>
      </c>
      <c r="F814" t="str">
        <f>TEXT(Raw_Data!B814,"mmm")</f>
        <v>Oct</v>
      </c>
      <c r="G814" t="str">
        <f>TEXT(Raw_Data!B814,"ddd")</f>
        <v>Mon</v>
      </c>
      <c r="H814" t="str">
        <f>Raw_Data!D814</f>
        <v>Invoiced</v>
      </c>
      <c r="I814" t="str">
        <f>Raw_Data!F814</f>
        <v>Tele-in</v>
      </c>
      <c r="J814" t="str">
        <f>Raw_Data!G814</f>
        <v>Referral-CAM</v>
      </c>
      <c r="K814" t="str">
        <f>IFERROR(VLOOKUP(J814,Source_Assumptions!$A:$C,2,0),"Unmapped")</f>
        <v>Referral</v>
      </c>
      <c r="L814" t="str">
        <f>Raw_Data!H814</f>
        <v>ELEVATE</v>
      </c>
      <c r="M814" t="str">
        <f>IFERROR(VLOOKUP(L814,Model_Assumptions!$A:$D,2,0),"Unmapped")</f>
        <v>Compact SUV</v>
      </c>
      <c r="N814" t="str">
        <f>IFERROR(VLOOKUP(L814,Model_Assumptions!$A:$D,3,0),"Unmapped")</f>
        <v>Petrol</v>
      </c>
      <c r="O814">
        <f>IFERROR(VLOOKUP(L814,Model_Assumptions!$A:$D,4,0),0)</f>
        <v>1300000</v>
      </c>
      <c r="P814">
        <f>IFERROR(VLOOKUP(J814,Source_Assumptions!$A:$C,3,0),0)</f>
        <v>150</v>
      </c>
    </row>
    <row r="815" spans="1:16" x14ac:dyDescent="0.3">
      <c r="A815">
        <f>Raw_Data!A815</f>
        <v>814</v>
      </c>
      <c r="B815" s="2">
        <f>Raw_Data!B815</f>
        <v>45208</v>
      </c>
      <c r="C815">
        <f>YEAR(Raw_Data!B815)</f>
        <v>2023</v>
      </c>
      <c r="D815" t="str">
        <f>IF(MONTH(Raw_Data!B815)&gt;=4,YEAR(Raw_Data!B815)&amp;"-"&amp;RIGHT(YEAR(Raw_Data!B815)+1,2),YEAR(Raw_Data!B815)-1&amp;"-"&amp;RIGHT(YEAR(Raw_Data!B815),2))</f>
        <v>2023-24</v>
      </c>
      <c r="E815" t="str">
        <f>"Q"&amp;ROUNDUP(MONTH(Raw_Data!B815)/3,0)</f>
        <v>Q4</v>
      </c>
      <c r="F815" t="str">
        <f>TEXT(Raw_Data!B815,"mmm")</f>
        <v>Oct</v>
      </c>
      <c r="G815" t="str">
        <f>TEXT(Raw_Data!B815,"ddd")</f>
        <v>Mon</v>
      </c>
      <c r="H815" t="str">
        <f>Raw_Data!D815</f>
        <v>Invoiced</v>
      </c>
      <c r="I815" t="str">
        <f>Raw_Data!F815</f>
        <v>Tele-in</v>
      </c>
      <c r="J815" t="str">
        <f>Raw_Data!G815</f>
        <v>Referral-CAM</v>
      </c>
      <c r="K815" t="str">
        <f>IFERROR(VLOOKUP(J815,Source_Assumptions!$A:$C,2,0),"Unmapped")</f>
        <v>Referral</v>
      </c>
      <c r="L815" t="str">
        <f>Raw_Data!H815</f>
        <v>ELEVATE</v>
      </c>
      <c r="M815" t="str">
        <f>IFERROR(VLOOKUP(L815,Model_Assumptions!$A:$D,2,0),"Unmapped")</f>
        <v>Compact SUV</v>
      </c>
      <c r="N815" t="str">
        <f>IFERROR(VLOOKUP(L815,Model_Assumptions!$A:$D,3,0),"Unmapped")</f>
        <v>Petrol</v>
      </c>
      <c r="O815">
        <f>IFERROR(VLOOKUP(L815,Model_Assumptions!$A:$D,4,0),0)</f>
        <v>1300000</v>
      </c>
      <c r="P815">
        <f>IFERROR(VLOOKUP(J815,Source_Assumptions!$A:$C,3,0),0)</f>
        <v>150</v>
      </c>
    </row>
    <row r="816" spans="1:16" x14ac:dyDescent="0.3">
      <c r="A816">
        <f>Raw_Data!A816</f>
        <v>815</v>
      </c>
      <c r="B816" s="2">
        <f>Raw_Data!B816</f>
        <v>45213</v>
      </c>
      <c r="C816">
        <f>YEAR(Raw_Data!B816)</f>
        <v>2023</v>
      </c>
      <c r="D816" t="str">
        <f>IF(MONTH(Raw_Data!B816)&gt;=4,YEAR(Raw_Data!B816)&amp;"-"&amp;RIGHT(YEAR(Raw_Data!B816)+1,2),YEAR(Raw_Data!B816)-1&amp;"-"&amp;RIGHT(YEAR(Raw_Data!B816),2))</f>
        <v>2023-24</v>
      </c>
      <c r="E816" t="str">
        <f>"Q"&amp;ROUNDUP(MONTH(Raw_Data!B816)/3,0)</f>
        <v>Q4</v>
      </c>
      <c r="F816" t="str">
        <f>TEXT(Raw_Data!B816,"mmm")</f>
        <v>Oct</v>
      </c>
      <c r="G816" t="str">
        <f>TEXT(Raw_Data!B816,"ddd")</f>
        <v>Sat</v>
      </c>
      <c r="H816" t="str">
        <f>Raw_Data!D816</f>
        <v>Invoiced</v>
      </c>
      <c r="I816" t="str">
        <f>Raw_Data!F816</f>
        <v>Web Lead</v>
      </c>
      <c r="J816" t="str">
        <f>Raw_Data!G816</f>
        <v>Online Booking</v>
      </c>
      <c r="K816" t="str">
        <f>IFERROR(VLOOKUP(J816,Source_Assumptions!$A:$C,2,0),"Unmapped")</f>
        <v>Digital - Owned</v>
      </c>
      <c r="L816" t="str">
        <f>Raw_Data!H816</f>
        <v>ELEVATE</v>
      </c>
      <c r="M816" t="str">
        <f>IFERROR(VLOOKUP(L816,Model_Assumptions!$A:$D,2,0),"Unmapped")</f>
        <v>Compact SUV</v>
      </c>
      <c r="N816" t="str">
        <f>IFERROR(VLOOKUP(L816,Model_Assumptions!$A:$D,3,0),"Unmapped")</f>
        <v>Petrol</v>
      </c>
      <c r="O816">
        <f>IFERROR(VLOOKUP(L816,Model_Assumptions!$A:$D,4,0),0)</f>
        <v>1300000</v>
      </c>
      <c r="P816">
        <f>IFERROR(VLOOKUP(J816,Source_Assumptions!$A:$C,3,0),0)</f>
        <v>300</v>
      </c>
    </row>
    <row r="817" spans="1:16" x14ac:dyDescent="0.3">
      <c r="A817">
        <f>Raw_Data!A817</f>
        <v>816</v>
      </c>
      <c r="B817" s="2">
        <f>Raw_Data!B817</f>
        <v>45213</v>
      </c>
      <c r="C817">
        <f>YEAR(Raw_Data!B817)</f>
        <v>2023</v>
      </c>
      <c r="D817" t="str">
        <f>IF(MONTH(Raw_Data!B817)&gt;=4,YEAR(Raw_Data!B817)&amp;"-"&amp;RIGHT(YEAR(Raw_Data!B817)+1,2),YEAR(Raw_Data!B817)-1&amp;"-"&amp;RIGHT(YEAR(Raw_Data!B817),2))</f>
        <v>2023-24</v>
      </c>
      <c r="E817" t="str">
        <f>"Q"&amp;ROUNDUP(MONTH(Raw_Data!B817)/3,0)</f>
        <v>Q4</v>
      </c>
      <c r="F817" t="str">
        <f>TEXT(Raw_Data!B817,"mmm")</f>
        <v>Oct</v>
      </c>
      <c r="G817" t="str">
        <f>TEXT(Raw_Data!B817,"ddd")</f>
        <v>Sat</v>
      </c>
      <c r="H817" t="str">
        <f>Raw_Data!D817</f>
        <v>Invoiced</v>
      </c>
      <c r="I817" t="str">
        <f>Raw_Data!F817</f>
        <v>Tele-in</v>
      </c>
      <c r="J817" t="str">
        <f>Raw_Data!G817</f>
        <v>Dealer Webpage Tele-In</v>
      </c>
      <c r="K817" t="str">
        <f>IFERROR(VLOOKUP(J817,Source_Assumptions!$A:$C,2,0),"Unmapped")</f>
        <v>Digital - Owned</v>
      </c>
      <c r="L817" t="str">
        <f>Raw_Data!H817</f>
        <v>ELEVATE</v>
      </c>
      <c r="M817" t="str">
        <f>IFERROR(VLOOKUP(L817,Model_Assumptions!$A:$D,2,0),"Unmapped")</f>
        <v>Compact SUV</v>
      </c>
      <c r="N817" t="str">
        <f>IFERROR(VLOOKUP(L817,Model_Assumptions!$A:$D,3,0),"Unmapped")</f>
        <v>Petrol</v>
      </c>
      <c r="O817">
        <f>IFERROR(VLOOKUP(L817,Model_Assumptions!$A:$D,4,0),0)</f>
        <v>1300000</v>
      </c>
      <c r="P817">
        <f>IFERROR(VLOOKUP(J817,Source_Assumptions!$A:$C,3,0),0)</f>
        <v>300</v>
      </c>
    </row>
    <row r="818" spans="1:16" x14ac:dyDescent="0.3">
      <c r="A818">
        <f>Raw_Data!A818</f>
        <v>817</v>
      </c>
      <c r="B818" s="2">
        <f>Raw_Data!B818</f>
        <v>45215</v>
      </c>
      <c r="C818">
        <f>YEAR(Raw_Data!B818)</f>
        <v>2023</v>
      </c>
      <c r="D818" t="str">
        <f>IF(MONTH(Raw_Data!B818)&gt;=4,YEAR(Raw_Data!B818)&amp;"-"&amp;RIGHT(YEAR(Raw_Data!B818)+1,2),YEAR(Raw_Data!B818)-1&amp;"-"&amp;RIGHT(YEAR(Raw_Data!B818),2))</f>
        <v>2023-24</v>
      </c>
      <c r="E818" t="str">
        <f>"Q"&amp;ROUNDUP(MONTH(Raw_Data!B818)/3,0)</f>
        <v>Q4</v>
      </c>
      <c r="F818" t="str">
        <f>TEXT(Raw_Data!B818,"mmm")</f>
        <v>Oct</v>
      </c>
      <c r="G818" t="str">
        <f>TEXT(Raw_Data!B818,"ddd")</f>
        <v>Mon</v>
      </c>
      <c r="H818" t="str">
        <f>Raw_Data!D818</f>
        <v>Invoiced</v>
      </c>
      <c r="I818" t="str">
        <f>Raw_Data!F818</f>
        <v>Tele-in</v>
      </c>
      <c r="J818" t="str">
        <f>Raw_Data!G818</f>
        <v>Referral-CAM</v>
      </c>
      <c r="K818" t="str">
        <f>IFERROR(VLOOKUP(J818,Source_Assumptions!$A:$C,2,0),"Unmapped")</f>
        <v>Referral</v>
      </c>
      <c r="L818" t="str">
        <f>Raw_Data!H818</f>
        <v>5TH GEN CITY PE</v>
      </c>
      <c r="M818" t="str">
        <f>IFERROR(VLOOKUP(L818,Model_Assumptions!$A:$D,2,0),"Unmapped")</f>
        <v>Mid-size Sedan</v>
      </c>
      <c r="N818" t="str">
        <f>IFERROR(VLOOKUP(L818,Model_Assumptions!$A:$D,3,0),"Unmapped")</f>
        <v>Petrol</v>
      </c>
      <c r="O818">
        <f>IFERROR(VLOOKUP(L818,Model_Assumptions!$A:$D,4,0),0)</f>
        <v>1250000</v>
      </c>
      <c r="P818">
        <f>IFERROR(VLOOKUP(J818,Source_Assumptions!$A:$C,3,0),0)</f>
        <v>150</v>
      </c>
    </row>
    <row r="819" spans="1:16" x14ac:dyDescent="0.3">
      <c r="A819">
        <f>Raw_Data!A819</f>
        <v>818</v>
      </c>
      <c r="B819" s="2">
        <f>Raw_Data!B819</f>
        <v>45216</v>
      </c>
      <c r="C819">
        <f>YEAR(Raw_Data!B819)</f>
        <v>2023</v>
      </c>
      <c r="D819" t="str">
        <f>IF(MONTH(Raw_Data!B819)&gt;=4,YEAR(Raw_Data!B819)&amp;"-"&amp;RIGHT(YEAR(Raw_Data!B819)+1,2),YEAR(Raw_Data!B819)-1&amp;"-"&amp;RIGHT(YEAR(Raw_Data!B819),2))</f>
        <v>2023-24</v>
      </c>
      <c r="E819" t="str">
        <f>"Q"&amp;ROUNDUP(MONTH(Raw_Data!B819)/3,0)</f>
        <v>Q4</v>
      </c>
      <c r="F819" t="str">
        <f>TEXT(Raw_Data!B819,"mmm")</f>
        <v>Oct</v>
      </c>
      <c r="G819" t="str">
        <f>TEXT(Raw_Data!B819,"ddd")</f>
        <v>Tue</v>
      </c>
      <c r="H819" t="str">
        <f>Raw_Data!D819</f>
        <v>Invoiced</v>
      </c>
      <c r="I819" t="str">
        <f>Raw_Data!F819</f>
        <v>SMS/ Tele-Out</v>
      </c>
      <c r="J819" t="str">
        <f>Raw_Data!G819</f>
        <v>Database Activity(Teleout/SMS)</v>
      </c>
      <c r="K819" t="str">
        <f>IFERROR(VLOOKUP(J819,Source_Assumptions!$A:$C,2,0),"Unmapped")</f>
        <v>Outbound/Database</v>
      </c>
      <c r="L819" t="str">
        <f>Raw_Data!H819</f>
        <v>ELEVATE</v>
      </c>
      <c r="M819" t="str">
        <f>IFERROR(VLOOKUP(L819,Model_Assumptions!$A:$D,2,0),"Unmapped")</f>
        <v>Compact SUV</v>
      </c>
      <c r="N819" t="str">
        <f>IFERROR(VLOOKUP(L819,Model_Assumptions!$A:$D,3,0),"Unmapped")</f>
        <v>Petrol</v>
      </c>
      <c r="O819">
        <f>IFERROR(VLOOKUP(L819,Model_Assumptions!$A:$D,4,0),0)</f>
        <v>1300000</v>
      </c>
      <c r="P819">
        <f>IFERROR(VLOOKUP(J819,Source_Assumptions!$A:$C,3,0),0)</f>
        <v>250</v>
      </c>
    </row>
    <row r="820" spans="1:16" x14ac:dyDescent="0.3">
      <c r="A820">
        <f>Raw_Data!A820</f>
        <v>819</v>
      </c>
      <c r="B820" s="2">
        <f>Raw_Data!B820</f>
        <v>45216</v>
      </c>
      <c r="C820">
        <f>YEAR(Raw_Data!B820)</f>
        <v>2023</v>
      </c>
      <c r="D820" t="str">
        <f>IF(MONTH(Raw_Data!B820)&gt;=4,YEAR(Raw_Data!B820)&amp;"-"&amp;RIGHT(YEAR(Raw_Data!B820)+1,2),YEAR(Raw_Data!B820)-1&amp;"-"&amp;RIGHT(YEAR(Raw_Data!B820),2))</f>
        <v>2023-24</v>
      </c>
      <c r="E820" t="str">
        <f>"Q"&amp;ROUNDUP(MONTH(Raw_Data!B820)/3,0)</f>
        <v>Q4</v>
      </c>
      <c r="F820" t="str">
        <f>TEXT(Raw_Data!B820,"mmm")</f>
        <v>Oct</v>
      </c>
      <c r="G820" t="str">
        <f>TEXT(Raw_Data!B820,"ddd")</f>
        <v>Tue</v>
      </c>
      <c r="H820" t="str">
        <f>Raw_Data!D820</f>
        <v>Invoiced</v>
      </c>
      <c r="I820" t="str">
        <f>Raw_Data!F820</f>
        <v>Web Lead</v>
      </c>
      <c r="J820" t="str">
        <f>Raw_Data!G820</f>
        <v>SFMC</v>
      </c>
      <c r="K820" t="str">
        <f>IFERROR(VLOOKUP(J820,Source_Assumptions!$A:$C,2,0),"Unmapped")</f>
        <v>Digital - Marketing Automation</v>
      </c>
      <c r="L820" t="str">
        <f>Raw_Data!H820</f>
        <v>ELEVATE</v>
      </c>
      <c r="M820" t="str">
        <f>IFERROR(VLOOKUP(L820,Model_Assumptions!$A:$D,2,0),"Unmapped")</f>
        <v>Compact SUV</v>
      </c>
      <c r="N820" t="str">
        <f>IFERROR(VLOOKUP(L820,Model_Assumptions!$A:$D,3,0),"Unmapped")</f>
        <v>Petrol</v>
      </c>
      <c r="O820">
        <f>IFERROR(VLOOKUP(L820,Model_Assumptions!$A:$D,4,0),0)</f>
        <v>1300000</v>
      </c>
      <c r="P820">
        <f>IFERROR(VLOOKUP(J820,Source_Assumptions!$A:$C,3,0),0)</f>
        <v>200</v>
      </c>
    </row>
    <row r="821" spans="1:16" x14ac:dyDescent="0.3">
      <c r="A821">
        <f>Raw_Data!A821</f>
        <v>820</v>
      </c>
      <c r="B821" s="2">
        <f>Raw_Data!B821</f>
        <v>45216</v>
      </c>
      <c r="C821">
        <f>YEAR(Raw_Data!B821)</f>
        <v>2023</v>
      </c>
      <c r="D821" t="str">
        <f>IF(MONTH(Raw_Data!B821)&gt;=4,YEAR(Raw_Data!B821)&amp;"-"&amp;RIGHT(YEAR(Raw_Data!B821)+1,2),YEAR(Raw_Data!B821)-1&amp;"-"&amp;RIGHT(YEAR(Raw_Data!B821),2))</f>
        <v>2023-24</v>
      </c>
      <c r="E821" t="str">
        <f>"Q"&amp;ROUNDUP(MONTH(Raw_Data!B821)/3,0)</f>
        <v>Q4</v>
      </c>
      <c r="F821" t="str">
        <f>TEXT(Raw_Data!B821,"mmm")</f>
        <v>Oct</v>
      </c>
      <c r="G821" t="str">
        <f>TEXT(Raw_Data!B821,"ddd")</f>
        <v>Tue</v>
      </c>
      <c r="H821" t="str">
        <f>Raw_Data!D821</f>
        <v>Invoiced</v>
      </c>
      <c r="I821" t="str">
        <f>Raw_Data!F821</f>
        <v>SMS/ Tele-Out</v>
      </c>
      <c r="J821" t="str">
        <f>Raw_Data!G821</f>
        <v>Database Activity(Teleout/SMS)</v>
      </c>
      <c r="K821" t="str">
        <f>IFERROR(VLOOKUP(J821,Source_Assumptions!$A:$C,2,0),"Unmapped")</f>
        <v>Outbound/Database</v>
      </c>
      <c r="L821" t="str">
        <f>Raw_Data!H821</f>
        <v>5TH GEN CITY PE</v>
      </c>
      <c r="M821" t="str">
        <f>IFERROR(VLOOKUP(L821,Model_Assumptions!$A:$D,2,0),"Unmapped")</f>
        <v>Mid-size Sedan</v>
      </c>
      <c r="N821" t="str">
        <f>IFERROR(VLOOKUP(L821,Model_Assumptions!$A:$D,3,0),"Unmapped")</f>
        <v>Petrol</v>
      </c>
      <c r="O821">
        <f>IFERROR(VLOOKUP(L821,Model_Assumptions!$A:$D,4,0),0)</f>
        <v>1250000</v>
      </c>
      <c r="P821">
        <f>IFERROR(VLOOKUP(J821,Source_Assumptions!$A:$C,3,0),0)</f>
        <v>250</v>
      </c>
    </row>
    <row r="822" spans="1:16" x14ac:dyDescent="0.3">
      <c r="A822">
        <f>Raw_Data!A822</f>
        <v>821</v>
      </c>
      <c r="B822" s="2">
        <f>Raw_Data!B822</f>
        <v>45217</v>
      </c>
      <c r="C822">
        <f>YEAR(Raw_Data!B822)</f>
        <v>2023</v>
      </c>
      <c r="D822" t="str">
        <f>IF(MONTH(Raw_Data!B822)&gt;=4,YEAR(Raw_Data!B822)&amp;"-"&amp;RIGHT(YEAR(Raw_Data!B822)+1,2),YEAR(Raw_Data!B822)-1&amp;"-"&amp;RIGHT(YEAR(Raw_Data!B822),2))</f>
        <v>2023-24</v>
      </c>
      <c r="E822" t="str">
        <f>"Q"&amp;ROUNDUP(MONTH(Raw_Data!B822)/3,0)</f>
        <v>Q4</v>
      </c>
      <c r="F822" t="str">
        <f>TEXT(Raw_Data!B822,"mmm")</f>
        <v>Oct</v>
      </c>
      <c r="G822" t="str">
        <f>TEXT(Raw_Data!B822,"ddd")</f>
        <v>Wed</v>
      </c>
      <c r="H822" t="str">
        <f>Raw_Data!D822</f>
        <v>Invoiced</v>
      </c>
      <c r="I822" t="str">
        <f>Raw_Data!F822</f>
        <v>Tele-in</v>
      </c>
      <c r="J822" t="str">
        <f>Raw_Data!G822</f>
        <v>Referral-CAM</v>
      </c>
      <c r="K822" t="str">
        <f>IFERROR(VLOOKUP(J822,Source_Assumptions!$A:$C,2,0),"Unmapped")</f>
        <v>Referral</v>
      </c>
      <c r="L822" t="str">
        <f>Raw_Data!H822</f>
        <v>5TH GEN CITY PE</v>
      </c>
      <c r="M822" t="str">
        <f>IFERROR(VLOOKUP(L822,Model_Assumptions!$A:$D,2,0),"Unmapped")</f>
        <v>Mid-size Sedan</v>
      </c>
      <c r="N822" t="str">
        <f>IFERROR(VLOOKUP(L822,Model_Assumptions!$A:$D,3,0),"Unmapped")</f>
        <v>Petrol</v>
      </c>
      <c r="O822">
        <f>IFERROR(VLOOKUP(L822,Model_Assumptions!$A:$D,4,0),0)</f>
        <v>1250000</v>
      </c>
      <c r="P822">
        <f>IFERROR(VLOOKUP(J822,Source_Assumptions!$A:$C,3,0),0)</f>
        <v>150</v>
      </c>
    </row>
    <row r="823" spans="1:16" x14ac:dyDescent="0.3">
      <c r="A823">
        <f>Raw_Data!A823</f>
        <v>822</v>
      </c>
      <c r="B823" s="2">
        <f>Raw_Data!B823</f>
        <v>45217</v>
      </c>
      <c r="C823">
        <f>YEAR(Raw_Data!B823)</f>
        <v>2023</v>
      </c>
      <c r="D823" t="str">
        <f>IF(MONTH(Raw_Data!B823)&gt;=4,YEAR(Raw_Data!B823)&amp;"-"&amp;RIGHT(YEAR(Raw_Data!B823)+1,2),YEAR(Raw_Data!B823)-1&amp;"-"&amp;RIGHT(YEAR(Raw_Data!B823),2))</f>
        <v>2023-24</v>
      </c>
      <c r="E823" t="str">
        <f>"Q"&amp;ROUNDUP(MONTH(Raw_Data!B823)/3,0)</f>
        <v>Q4</v>
      </c>
      <c r="F823" t="str">
        <f>TEXT(Raw_Data!B823,"mmm")</f>
        <v>Oct</v>
      </c>
      <c r="G823" t="str">
        <f>TEXT(Raw_Data!B823,"ddd")</f>
        <v>Wed</v>
      </c>
      <c r="H823" t="str">
        <f>Raw_Data!D823</f>
        <v>Invoiced</v>
      </c>
      <c r="I823" t="str">
        <f>Raw_Data!F823</f>
        <v>SMS/ Tele-Out</v>
      </c>
      <c r="J823" t="str">
        <f>Raw_Data!G823</f>
        <v>Database Activity(Teleout/SMS)</v>
      </c>
      <c r="K823" t="str">
        <f>IFERROR(VLOOKUP(J823,Source_Assumptions!$A:$C,2,0),"Unmapped")</f>
        <v>Outbound/Database</v>
      </c>
      <c r="L823" t="str">
        <f>Raw_Data!H823</f>
        <v>ELEVATE</v>
      </c>
      <c r="M823" t="str">
        <f>IFERROR(VLOOKUP(L823,Model_Assumptions!$A:$D,2,0),"Unmapped")</f>
        <v>Compact SUV</v>
      </c>
      <c r="N823" t="str">
        <f>IFERROR(VLOOKUP(L823,Model_Assumptions!$A:$D,3,0),"Unmapped")</f>
        <v>Petrol</v>
      </c>
      <c r="O823">
        <f>IFERROR(VLOOKUP(L823,Model_Assumptions!$A:$D,4,0),0)</f>
        <v>1300000</v>
      </c>
      <c r="P823">
        <f>IFERROR(VLOOKUP(J823,Source_Assumptions!$A:$C,3,0),0)</f>
        <v>250</v>
      </c>
    </row>
    <row r="824" spans="1:16" x14ac:dyDescent="0.3">
      <c r="A824">
        <f>Raw_Data!A824</f>
        <v>823</v>
      </c>
      <c r="B824" s="2">
        <f>Raw_Data!B824</f>
        <v>45213</v>
      </c>
      <c r="C824">
        <f>YEAR(Raw_Data!B824)</f>
        <v>2023</v>
      </c>
      <c r="D824" t="str">
        <f>IF(MONTH(Raw_Data!B824)&gt;=4,YEAR(Raw_Data!B824)&amp;"-"&amp;RIGHT(YEAR(Raw_Data!B824)+1,2),YEAR(Raw_Data!B824)-1&amp;"-"&amp;RIGHT(YEAR(Raw_Data!B824),2))</f>
        <v>2023-24</v>
      </c>
      <c r="E824" t="str">
        <f>"Q"&amp;ROUNDUP(MONTH(Raw_Data!B824)/3,0)</f>
        <v>Q4</v>
      </c>
      <c r="F824" t="str">
        <f>TEXT(Raw_Data!B824,"mmm")</f>
        <v>Oct</v>
      </c>
      <c r="G824" t="str">
        <f>TEXT(Raw_Data!B824,"ddd")</f>
        <v>Sat</v>
      </c>
      <c r="H824" t="str">
        <f>Raw_Data!D824</f>
        <v>Invoiced</v>
      </c>
      <c r="I824" t="str">
        <f>Raw_Data!F824</f>
        <v>Tele-in</v>
      </c>
      <c r="J824" t="str">
        <f>Raw_Data!G824</f>
        <v>Dealer Webpage Tele-In</v>
      </c>
      <c r="K824" t="str">
        <f>IFERROR(VLOOKUP(J824,Source_Assumptions!$A:$C,2,0),"Unmapped")</f>
        <v>Digital - Owned</v>
      </c>
      <c r="L824" t="str">
        <f>Raw_Data!H824</f>
        <v>AMAZE Petrol</v>
      </c>
      <c r="M824" t="str">
        <f>IFERROR(VLOOKUP(L824,Model_Assumptions!$A:$D,2,0),"Unmapped")</f>
        <v>Sub-4m Sedan</v>
      </c>
      <c r="N824" t="str">
        <f>IFERROR(VLOOKUP(L824,Model_Assumptions!$A:$D,3,0),"Unmapped")</f>
        <v>Petrol</v>
      </c>
      <c r="O824">
        <f>IFERROR(VLOOKUP(L824,Model_Assumptions!$A:$D,4,0),0)</f>
        <v>850000</v>
      </c>
      <c r="P824">
        <f>IFERROR(VLOOKUP(J824,Source_Assumptions!$A:$C,3,0),0)</f>
        <v>300</v>
      </c>
    </row>
    <row r="825" spans="1:16" x14ac:dyDescent="0.3">
      <c r="A825">
        <f>Raw_Data!A825</f>
        <v>824</v>
      </c>
      <c r="B825" s="2">
        <f>Raw_Data!B825</f>
        <v>45217</v>
      </c>
      <c r="C825">
        <f>YEAR(Raw_Data!B825)</f>
        <v>2023</v>
      </c>
      <c r="D825" t="str">
        <f>IF(MONTH(Raw_Data!B825)&gt;=4,YEAR(Raw_Data!B825)&amp;"-"&amp;RIGHT(YEAR(Raw_Data!B825)+1,2),YEAR(Raw_Data!B825)-1&amp;"-"&amp;RIGHT(YEAR(Raw_Data!B825),2))</f>
        <v>2023-24</v>
      </c>
      <c r="E825" t="str">
        <f>"Q"&amp;ROUNDUP(MONTH(Raw_Data!B825)/3,0)</f>
        <v>Q4</v>
      </c>
      <c r="F825" t="str">
        <f>TEXT(Raw_Data!B825,"mmm")</f>
        <v>Oct</v>
      </c>
      <c r="G825" t="str">
        <f>TEXT(Raw_Data!B825,"ddd")</f>
        <v>Wed</v>
      </c>
      <c r="H825" t="str">
        <f>Raw_Data!D825</f>
        <v>Invoiced</v>
      </c>
      <c r="I825" t="str">
        <f>Raw_Data!F825</f>
        <v>Web Lead</v>
      </c>
      <c r="J825" t="str">
        <f>Raw_Data!G825</f>
        <v>Web_Facebook</v>
      </c>
      <c r="K825" t="str">
        <f>IFERROR(VLOOKUP(J825,Source_Assumptions!$A:$C,2,0),"Unmapped")</f>
        <v>Digital - Paid Social</v>
      </c>
      <c r="L825" t="str">
        <f>Raw_Data!H825</f>
        <v>ELEVATE</v>
      </c>
      <c r="M825" t="str">
        <f>IFERROR(VLOOKUP(L825,Model_Assumptions!$A:$D,2,0),"Unmapped")</f>
        <v>Compact SUV</v>
      </c>
      <c r="N825" t="str">
        <f>IFERROR(VLOOKUP(L825,Model_Assumptions!$A:$D,3,0),"Unmapped")</f>
        <v>Petrol</v>
      </c>
      <c r="O825">
        <f>IFERROR(VLOOKUP(L825,Model_Assumptions!$A:$D,4,0),0)</f>
        <v>1300000</v>
      </c>
      <c r="P825">
        <f>IFERROR(VLOOKUP(J825,Source_Assumptions!$A:$C,3,0),0)</f>
        <v>600</v>
      </c>
    </row>
    <row r="826" spans="1:16" x14ac:dyDescent="0.3">
      <c r="A826">
        <f>Raw_Data!A826</f>
        <v>825</v>
      </c>
      <c r="B826" s="2">
        <f>Raw_Data!B826</f>
        <v>45217</v>
      </c>
      <c r="C826">
        <f>YEAR(Raw_Data!B826)</f>
        <v>2023</v>
      </c>
      <c r="D826" t="str">
        <f>IF(MONTH(Raw_Data!B826)&gt;=4,YEAR(Raw_Data!B826)&amp;"-"&amp;RIGHT(YEAR(Raw_Data!B826)+1,2),YEAR(Raw_Data!B826)-1&amp;"-"&amp;RIGHT(YEAR(Raw_Data!B826),2))</f>
        <v>2023-24</v>
      </c>
      <c r="E826" t="str">
        <f>"Q"&amp;ROUNDUP(MONTH(Raw_Data!B826)/3,0)</f>
        <v>Q4</v>
      </c>
      <c r="F826" t="str">
        <f>TEXT(Raw_Data!B826,"mmm")</f>
        <v>Oct</v>
      </c>
      <c r="G826" t="str">
        <f>TEXT(Raw_Data!B826,"ddd")</f>
        <v>Wed</v>
      </c>
      <c r="H826" t="str">
        <f>Raw_Data!D826</f>
        <v>Invoiced</v>
      </c>
      <c r="I826" t="str">
        <f>Raw_Data!F826</f>
        <v>Tele-in</v>
      </c>
      <c r="J826" t="str">
        <f>Raw_Data!G826</f>
        <v>Dealer Webpage Tele-In</v>
      </c>
      <c r="K826" t="str">
        <f>IFERROR(VLOOKUP(J826,Source_Assumptions!$A:$C,2,0),"Unmapped")</f>
        <v>Digital - Owned</v>
      </c>
      <c r="L826" t="str">
        <f>Raw_Data!H826</f>
        <v>ELEVATE</v>
      </c>
      <c r="M826" t="str">
        <f>IFERROR(VLOOKUP(L826,Model_Assumptions!$A:$D,2,0),"Unmapped")</f>
        <v>Compact SUV</v>
      </c>
      <c r="N826" t="str">
        <f>IFERROR(VLOOKUP(L826,Model_Assumptions!$A:$D,3,0),"Unmapped")</f>
        <v>Petrol</v>
      </c>
      <c r="O826">
        <f>IFERROR(VLOOKUP(L826,Model_Assumptions!$A:$D,4,0),0)</f>
        <v>1300000</v>
      </c>
      <c r="P826">
        <f>IFERROR(VLOOKUP(J826,Source_Assumptions!$A:$C,3,0),0)</f>
        <v>300</v>
      </c>
    </row>
    <row r="827" spans="1:16" x14ac:dyDescent="0.3">
      <c r="A827">
        <f>Raw_Data!A827</f>
        <v>826</v>
      </c>
      <c r="B827" s="2">
        <f>Raw_Data!B827</f>
        <v>45218</v>
      </c>
      <c r="C827">
        <f>YEAR(Raw_Data!B827)</f>
        <v>2023</v>
      </c>
      <c r="D827" t="str">
        <f>IF(MONTH(Raw_Data!B827)&gt;=4,YEAR(Raw_Data!B827)&amp;"-"&amp;RIGHT(YEAR(Raw_Data!B827)+1,2),YEAR(Raw_Data!B827)-1&amp;"-"&amp;RIGHT(YEAR(Raw_Data!B827),2))</f>
        <v>2023-24</v>
      </c>
      <c r="E827" t="str">
        <f>"Q"&amp;ROUNDUP(MONTH(Raw_Data!B827)/3,0)</f>
        <v>Q4</v>
      </c>
      <c r="F827" t="str">
        <f>TEXT(Raw_Data!B827,"mmm")</f>
        <v>Oct</v>
      </c>
      <c r="G827" t="str">
        <f>TEXT(Raw_Data!B827,"ddd")</f>
        <v>Thu</v>
      </c>
      <c r="H827" t="str">
        <f>Raw_Data!D827</f>
        <v>Invoiced</v>
      </c>
      <c r="I827" t="str">
        <f>Raw_Data!F827</f>
        <v>Tele-in</v>
      </c>
      <c r="J827" t="str">
        <f>Raw_Data!G827</f>
        <v>Referral-CAM</v>
      </c>
      <c r="K827" t="str">
        <f>IFERROR(VLOOKUP(J827,Source_Assumptions!$A:$C,2,0),"Unmapped")</f>
        <v>Referral</v>
      </c>
      <c r="L827" t="str">
        <f>Raw_Data!H827</f>
        <v>AMAZE Petrol</v>
      </c>
      <c r="M827" t="str">
        <f>IFERROR(VLOOKUP(L827,Model_Assumptions!$A:$D,2,0),"Unmapped")</f>
        <v>Sub-4m Sedan</v>
      </c>
      <c r="N827" t="str">
        <f>IFERROR(VLOOKUP(L827,Model_Assumptions!$A:$D,3,0),"Unmapped")</f>
        <v>Petrol</v>
      </c>
      <c r="O827">
        <f>IFERROR(VLOOKUP(L827,Model_Assumptions!$A:$D,4,0),0)</f>
        <v>850000</v>
      </c>
      <c r="P827">
        <f>IFERROR(VLOOKUP(J827,Source_Assumptions!$A:$C,3,0),0)</f>
        <v>150</v>
      </c>
    </row>
    <row r="828" spans="1:16" x14ac:dyDescent="0.3">
      <c r="A828">
        <f>Raw_Data!A828</f>
        <v>827</v>
      </c>
      <c r="B828" s="2">
        <f>Raw_Data!B828</f>
        <v>45218</v>
      </c>
      <c r="C828">
        <f>YEAR(Raw_Data!B828)</f>
        <v>2023</v>
      </c>
      <c r="D828" t="str">
        <f>IF(MONTH(Raw_Data!B828)&gt;=4,YEAR(Raw_Data!B828)&amp;"-"&amp;RIGHT(YEAR(Raw_Data!B828)+1,2),YEAR(Raw_Data!B828)-1&amp;"-"&amp;RIGHT(YEAR(Raw_Data!B828),2))</f>
        <v>2023-24</v>
      </c>
      <c r="E828" t="str">
        <f>"Q"&amp;ROUNDUP(MONTH(Raw_Data!B828)/3,0)</f>
        <v>Q4</v>
      </c>
      <c r="F828" t="str">
        <f>TEXT(Raw_Data!B828,"mmm")</f>
        <v>Oct</v>
      </c>
      <c r="G828" t="str">
        <f>TEXT(Raw_Data!B828,"ddd")</f>
        <v>Thu</v>
      </c>
      <c r="H828" t="str">
        <f>Raw_Data!D828</f>
        <v>Invoiced</v>
      </c>
      <c r="I828" t="str">
        <f>Raw_Data!F828</f>
        <v>Tele-in</v>
      </c>
      <c r="J828" t="str">
        <f>Raw_Data!G828</f>
        <v>Referral-CAM</v>
      </c>
      <c r="K828" t="str">
        <f>IFERROR(VLOOKUP(J828,Source_Assumptions!$A:$C,2,0),"Unmapped")</f>
        <v>Referral</v>
      </c>
      <c r="L828" t="str">
        <f>Raw_Data!H828</f>
        <v>AMAZE Petrol</v>
      </c>
      <c r="M828" t="str">
        <f>IFERROR(VLOOKUP(L828,Model_Assumptions!$A:$D,2,0),"Unmapped")</f>
        <v>Sub-4m Sedan</v>
      </c>
      <c r="N828" t="str">
        <f>IFERROR(VLOOKUP(L828,Model_Assumptions!$A:$D,3,0),"Unmapped")</f>
        <v>Petrol</v>
      </c>
      <c r="O828">
        <f>IFERROR(VLOOKUP(L828,Model_Assumptions!$A:$D,4,0),0)</f>
        <v>850000</v>
      </c>
      <c r="P828">
        <f>IFERROR(VLOOKUP(J828,Source_Assumptions!$A:$C,3,0),0)</f>
        <v>150</v>
      </c>
    </row>
    <row r="829" spans="1:16" x14ac:dyDescent="0.3">
      <c r="A829">
        <f>Raw_Data!A829</f>
        <v>828</v>
      </c>
      <c r="B829" s="2">
        <f>Raw_Data!B829</f>
        <v>45219</v>
      </c>
      <c r="C829">
        <f>YEAR(Raw_Data!B829)</f>
        <v>2023</v>
      </c>
      <c r="D829" t="str">
        <f>IF(MONTH(Raw_Data!B829)&gt;=4,YEAR(Raw_Data!B829)&amp;"-"&amp;RIGHT(YEAR(Raw_Data!B829)+1,2),YEAR(Raw_Data!B829)-1&amp;"-"&amp;RIGHT(YEAR(Raw_Data!B829),2))</f>
        <v>2023-24</v>
      </c>
      <c r="E829" t="str">
        <f>"Q"&amp;ROUNDUP(MONTH(Raw_Data!B829)/3,0)</f>
        <v>Q4</v>
      </c>
      <c r="F829" t="str">
        <f>TEXT(Raw_Data!B829,"mmm")</f>
        <v>Oct</v>
      </c>
      <c r="G829" t="str">
        <f>TEXT(Raw_Data!B829,"ddd")</f>
        <v>Fri</v>
      </c>
      <c r="H829" t="str">
        <f>Raw_Data!D829</f>
        <v>Invoiced</v>
      </c>
      <c r="I829" t="str">
        <f>Raw_Data!F829</f>
        <v>Walk-in Showroom</v>
      </c>
      <c r="J829" t="str">
        <f>Raw_Data!G829</f>
        <v>Adver. (TVC/Print/Hoarding/FM)</v>
      </c>
      <c r="K829" t="str">
        <f>IFERROR(VLOOKUP(J829,Source_Assumptions!$A:$C,2,0),"Unmapped")</f>
        <v>Traditional Advertising</v>
      </c>
      <c r="L829" t="str">
        <f>Raw_Data!H829</f>
        <v>ELEVATE</v>
      </c>
      <c r="M829" t="str">
        <f>IFERROR(VLOOKUP(L829,Model_Assumptions!$A:$D,2,0),"Unmapped")</f>
        <v>Compact SUV</v>
      </c>
      <c r="N829" t="str">
        <f>IFERROR(VLOOKUP(L829,Model_Assumptions!$A:$D,3,0),"Unmapped")</f>
        <v>Petrol</v>
      </c>
      <c r="O829">
        <f>IFERROR(VLOOKUP(L829,Model_Assumptions!$A:$D,4,0),0)</f>
        <v>1300000</v>
      </c>
      <c r="P829">
        <f>IFERROR(VLOOKUP(J829,Source_Assumptions!$A:$C,3,0),0)</f>
        <v>1200</v>
      </c>
    </row>
    <row r="830" spans="1:16" x14ac:dyDescent="0.3">
      <c r="A830">
        <f>Raw_Data!A830</f>
        <v>829</v>
      </c>
      <c r="B830" s="2">
        <f>Raw_Data!B830</f>
        <v>45219</v>
      </c>
      <c r="C830">
        <f>YEAR(Raw_Data!B830)</f>
        <v>2023</v>
      </c>
      <c r="D830" t="str">
        <f>IF(MONTH(Raw_Data!B830)&gt;=4,YEAR(Raw_Data!B830)&amp;"-"&amp;RIGHT(YEAR(Raw_Data!B830)+1,2),YEAR(Raw_Data!B830)-1&amp;"-"&amp;RIGHT(YEAR(Raw_Data!B830),2))</f>
        <v>2023-24</v>
      </c>
      <c r="E830" t="str">
        <f>"Q"&amp;ROUNDUP(MONTH(Raw_Data!B830)/3,0)</f>
        <v>Q4</v>
      </c>
      <c r="F830" t="str">
        <f>TEXT(Raw_Data!B830,"mmm")</f>
        <v>Oct</v>
      </c>
      <c r="G830" t="str">
        <f>TEXT(Raw_Data!B830,"ddd")</f>
        <v>Fri</v>
      </c>
      <c r="H830" t="str">
        <f>Raw_Data!D830</f>
        <v>Invoiced</v>
      </c>
      <c r="I830" t="str">
        <f>Raw_Data!F830</f>
        <v>Web Lead</v>
      </c>
      <c r="J830" t="str">
        <f>Raw_Data!G830</f>
        <v>Web_Organic</v>
      </c>
      <c r="K830" t="str">
        <f>IFERROR(VLOOKUP(J830,Source_Assumptions!$A:$C,2,0),"Unmapped")</f>
        <v>Digital - Organic</v>
      </c>
      <c r="L830" t="str">
        <f>Raw_Data!H830</f>
        <v>ELEVATE</v>
      </c>
      <c r="M830" t="str">
        <f>IFERROR(VLOOKUP(L830,Model_Assumptions!$A:$D,2,0),"Unmapped")</f>
        <v>Compact SUV</v>
      </c>
      <c r="N830" t="str">
        <f>IFERROR(VLOOKUP(L830,Model_Assumptions!$A:$D,3,0),"Unmapped")</f>
        <v>Petrol</v>
      </c>
      <c r="O830">
        <f>IFERROR(VLOOKUP(L830,Model_Assumptions!$A:$D,4,0),0)</f>
        <v>1300000</v>
      </c>
      <c r="P830">
        <f>IFERROR(VLOOKUP(J830,Source_Assumptions!$A:$C,3,0),0)</f>
        <v>100</v>
      </c>
    </row>
    <row r="831" spans="1:16" x14ac:dyDescent="0.3">
      <c r="A831">
        <f>Raw_Data!A831</f>
        <v>830</v>
      </c>
      <c r="B831" s="2">
        <f>Raw_Data!B831</f>
        <v>45219</v>
      </c>
      <c r="C831">
        <f>YEAR(Raw_Data!B831)</f>
        <v>2023</v>
      </c>
      <c r="D831" t="str">
        <f>IF(MONTH(Raw_Data!B831)&gt;=4,YEAR(Raw_Data!B831)&amp;"-"&amp;RIGHT(YEAR(Raw_Data!B831)+1,2),YEAR(Raw_Data!B831)-1&amp;"-"&amp;RIGHT(YEAR(Raw_Data!B831),2))</f>
        <v>2023-24</v>
      </c>
      <c r="E831" t="str">
        <f>"Q"&amp;ROUNDUP(MONTH(Raw_Data!B831)/3,0)</f>
        <v>Q4</v>
      </c>
      <c r="F831" t="str">
        <f>TEXT(Raw_Data!B831,"mmm")</f>
        <v>Oct</v>
      </c>
      <c r="G831" t="str">
        <f>TEXT(Raw_Data!B831,"ddd")</f>
        <v>Fri</v>
      </c>
      <c r="H831" t="str">
        <f>Raw_Data!D831</f>
        <v>Invoiced</v>
      </c>
      <c r="I831" t="str">
        <f>Raw_Data!F831</f>
        <v>Web Lead</v>
      </c>
      <c r="J831" t="str">
        <f>Raw_Data!G831</f>
        <v>Web</v>
      </c>
      <c r="K831" t="str">
        <f>IFERROR(VLOOKUP(J831,Source_Assumptions!$A:$C,2,0),"Unmapped")</f>
        <v>Digital - Owned</v>
      </c>
      <c r="L831" t="str">
        <f>Raw_Data!H831</f>
        <v>ELEVATE</v>
      </c>
      <c r="M831" t="str">
        <f>IFERROR(VLOOKUP(L831,Model_Assumptions!$A:$D,2,0),"Unmapped")</f>
        <v>Compact SUV</v>
      </c>
      <c r="N831" t="str">
        <f>IFERROR(VLOOKUP(L831,Model_Assumptions!$A:$D,3,0),"Unmapped")</f>
        <v>Petrol</v>
      </c>
      <c r="O831">
        <f>IFERROR(VLOOKUP(L831,Model_Assumptions!$A:$D,4,0),0)</f>
        <v>1300000</v>
      </c>
      <c r="P831">
        <f>IFERROR(VLOOKUP(J831,Source_Assumptions!$A:$C,3,0),0)</f>
        <v>300</v>
      </c>
    </row>
    <row r="832" spans="1:16" x14ac:dyDescent="0.3">
      <c r="A832">
        <f>Raw_Data!A832</f>
        <v>831</v>
      </c>
      <c r="B832" s="2">
        <f>Raw_Data!B832</f>
        <v>45219</v>
      </c>
      <c r="C832">
        <f>YEAR(Raw_Data!B832)</f>
        <v>2023</v>
      </c>
      <c r="D832" t="str">
        <f>IF(MONTH(Raw_Data!B832)&gt;=4,YEAR(Raw_Data!B832)&amp;"-"&amp;RIGHT(YEAR(Raw_Data!B832)+1,2),YEAR(Raw_Data!B832)-1&amp;"-"&amp;RIGHT(YEAR(Raw_Data!B832),2))</f>
        <v>2023-24</v>
      </c>
      <c r="E832" t="str">
        <f>"Q"&amp;ROUNDUP(MONTH(Raw_Data!B832)/3,0)</f>
        <v>Q4</v>
      </c>
      <c r="F832" t="str">
        <f>TEXT(Raw_Data!B832,"mmm")</f>
        <v>Oct</v>
      </c>
      <c r="G832" t="str">
        <f>TEXT(Raw_Data!B832,"ddd")</f>
        <v>Fri</v>
      </c>
      <c r="H832" t="str">
        <f>Raw_Data!D832</f>
        <v>Invoiced</v>
      </c>
      <c r="I832" t="str">
        <f>Raw_Data!F832</f>
        <v>Tele-in</v>
      </c>
      <c r="J832" t="str">
        <f>Raw_Data!G832</f>
        <v>Dealer Webpage Tele-In</v>
      </c>
      <c r="K832" t="str">
        <f>IFERROR(VLOOKUP(J832,Source_Assumptions!$A:$C,2,0),"Unmapped")</f>
        <v>Digital - Owned</v>
      </c>
      <c r="L832" t="str">
        <f>Raw_Data!H832</f>
        <v>ELEVATE</v>
      </c>
      <c r="M832" t="str">
        <f>IFERROR(VLOOKUP(L832,Model_Assumptions!$A:$D,2,0),"Unmapped")</f>
        <v>Compact SUV</v>
      </c>
      <c r="N832" t="str">
        <f>IFERROR(VLOOKUP(L832,Model_Assumptions!$A:$D,3,0),"Unmapped")</f>
        <v>Petrol</v>
      </c>
      <c r="O832">
        <f>IFERROR(VLOOKUP(L832,Model_Assumptions!$A:$D,4,0),0)</f>
        <v>1300000</v>
      </c>
      <c r="P832">
        <f>IFERROR(VLOOKUP(J832,Source_Assumptions!$A:$C,3,0),0)</f>
        <v>300</v>
      </c>
    </row>
    <row r="833" spans="1:16" x14ac:dyDescent="0.3">
      <c r="A833">
        <f>Raw_Data!A833</f>
        <v>832</v>
      </c>
      <c r="B833" s="2">
        <f>Raw_Data!B833</f>
        <v>45220</v>
      </c>
      <c r="C833">
        <f>YEAR(Raw_Data!B833)</f>
        <v>2023</v>
      </c>
      <c r="D833" t="str">
        <f>IF(MONTH(Raw_Data!B833)&gt;=4,YEAR(Raw_Data!B833)&amp;"-"&amp;RIGHT(YEAR(Raw_Data!B833)+1,2),YEAR(Raw_Data!B833)-1&amp;"-"&amp;RIGHT(YEAR(Raw_Data!B833),2))</f>
        <v>2023-24</v>
      </c>
      <c r="E833" t="str">
        <f>"Q"&amp;ROUNDUP(MONTH(Raw_Data!B833)/3,0)</f>
        <v>Q4</v>
      </c>
      <c r="F833" t="str">
        <f>TEXT(Raw_Data!B833,"mmm")</f>
        <v>Oct</v>
      </c>
      <c r="G833" t="str">
        <f>TEXT(Raw_Data!B833,"ddd")</f>
        <v>Sat</v>
      </c>
      <c r="H833" t="str">
        <f>Raw_Data!D833</f>
        <v>Invoiced</v>
      </c>
      <c r="I833" t="str">
        <f>Raw_Data!F833</f>
        <v>Tele-in</v>
      </c>
      <c r="J833" t="str">
        <f>Raw_Data!G833</f>
        <v>Dealer Webpage Tele-In</v>
      </c>
      <c r="K833" t="str">
        <f>IFERROR(VLOOKUP(J833,Source_Assumptions!$A:$C,2,0),"Unmapped")</f>
        <v>Digital - Owned</v>
      </c>
      <c r="L833" t="str">
        <f>Raw_Data!H833</f>
        <v>ELEVATE</v>
      </c>
      <c r="M833" t="str">
        <f>IFERROR(VLOOKUP(L833,Model_Assumptions!$A:$D,2,0),"Unmapped")</f>
        <v>Compact SUV</v>
      </c>
      <c r="N833" t="str">
        <f>IFERROR(VLOOKUP(L833,Model_Assumptions!$A:$D,3,0),"Unmapped")</f>
        <v>Petrol</v>
      </c>
      <c r="O833">
        <f>IFERROR(VLOOKUP(L833,Model_Assumptions!$A:$D,4,0),0)</f>
        <v>1300000</v>
      </c>
      <c r="P833">
        <f>IFERROR(VLOOKUP(J833,Source_Assumptions!$A:$C,3,0),0)</f>
        <v>300</v>
      </c>
    </row>
    <row r="834" spans="1:16" x14ac:dyDescent="0.3">
      <c r="A834">
        <f>Raw_Data!A834</f>
        <v>833</v>
      </c>
      <c r="B834" s="2">
        <f>Raw_Data!B834</f>
        <v>45221</v>
      </c>
      <c r="C834">
        <f>YEAR(Raw_Data!B834)</f>
        <v>2023</v>
      </c>
      <c r="D834" t="str">
        <f>IF(MONTH(Raw_Data!B834)&gt;=4,YEAR(Raw_Data!B834)&amp;"-"&amp;RIGHT(YEAR(Raw_Data!B834)+1,2),YEAR(Raw_Data!B834)-1&amp;"-"&amp;RIGHT(YEAR(Raw_Data!B834),2))</f>
        <v>2023-24</v>
      </c>
      <c r="E834" t="str">
        <f>"Q"&amp;ROUNDUP(MONTH(Raw_Data!B834)/3,0)</f>
        <v>Q4</v>
      </c>
      <c r="F834" t="str">
        <f>TEXT(Raw_Data!B834,"mmm")</f>
        <v>Oct</v>
      </c>
      <c r="G834" t="str">
        <f>TEXT(Raw_Data!B834,"ddd")</f>
        <v>Sun</v>
      </c>
      <c r="H834" t="str">
        <f>Raw_Data!D834</f>
        <v>Invoiced</v>
      </c>
      <c r="I834" t="str">
        <f>Raw_Data!F834</f>
        <v>Tele-in</v>
      </c>
      <c r="J834" t="str">
        <f>Raw_Data!G834</f>
        <v>Dealer Webpage Tele-In</v>
      </c>
      <c r="K834" t="str">
        <f>IFERROR(VLOOKUP(J834,Source_Assumptions!$A:$C,2,0),"Unmapped")</f>
        <v>Digital - Owned</v>
      </c>
      <c r="L834" t="str">
        <f>Raw_Data!H834</f>
        <v>ELEVATE</v>
      </c>
      <c r="M834" t="str">
        <f>IFERROR(VLOOKUP(L834,Model_Assumptions!$A:$D,2,0),"Unmapped")</f>
        <v>Compact SUV</v>
      </c>
      <c r="N834" t="str">
        <f>IFERROR(VLOOKUP(L834,Model_Assumptions!$A:$D,3,0),"Unmapped")</f>
        <v>Petrol</v>
      </c>
      <c r="O834">
        <f>IFERROR(VLOOKUP(L834,Model_Assumptions!$A:$D,4,0),0)</f>
        <v>1300000</v>
      </c>
      <c r="P834">
        <f>IFERROR(VLOOKUP(J834,Source_Assumptions!$A:$C,3,0),0)</f>
        <v>300</v>
      </c>
    </row>
    <row r="835" spans="1:16" x14ac:dyDescent="0.3">
      <c r="A835">
        <f>Raw_Data!A835</f>
        <v>834</v>
      </c>
      <c r="B835" s="2">
        <f>Raw_Data!B835</f>
        <v>45229</v>
      </c>
      <c r="C835">
        <f>YEAR(Raw_Data!B835)</f>
        <v>2023</v>
      </c>
      <c r="D835" t="str">
        <f>IF(MONTH(Raw_Data!B835)&gt;=4,YEAR(Raw_Data!B835)&amp;"-"&amp;RIGHT(YEAR(Raw_Data!B835)+1,2),YEAR(Raw_Data!B835)-1&amp;"-"&amp;RIGHT(YEAR(Raw_Data!B835),2))</f>
        <v>2023-24</v>
      </c>
      <c r="E835" t="str">
        <f>"Q"&amp;ROUNDUP(MONTH(Raw_Data!B835)/3,0)</f>
        <v>Q4</v>
      </c>
      <c r="F835" t="str">
        <f>TEXT(Raw_Data!B835,"mmm")</f>
        <v>Oct</v>
      </c>
      <c r="G835" t="str">
        <f>TEXT(Raw_Data!B835,"ddd")</f>
        <v>Mon</v>
      </c>
      <c r="H835" t="str">
        <f>Raw_Data!D835</f>
        <v>Invoiced</v>
      </c>
      <c r="I835" t="str">
        <f>Raw_Data!F835</f>
        <v>SMS/ Tele-Out</v>
      </c>
      <c r="J835" t="str">
        <f>Raw_Data!G835</f>
        <v>I-BAP Referral</v>
      </c>
      <c r="K835" t="str">
        <f>IFERROR(VLOOKUP(J835,Source_Assumptions!$A:$C,2,0),"Unmapped")</f>
        <v>Referral (Insurance/Banking Partner)</v>
      </c>
      <c r="L835" t="str">
        <f>Raw_Data!H835</f>
        <v>AMAZE Petrol</v>
      </c>
      <c r="M835" t="str">
        <f>IFERROR(VLOOKUP(L835,Model_Assumptions!$A:$D,2,0),"Unmapped")</f>
        <v>Sub-4m Sedan</v>
      </c>
      <c r="N835" t="str">
        <f>IFERROR(VLOOKUP(L835,Model_Assumptions!$A:$D,3,0),"Unmapped")</f>
        <v>Petrol</v>
      </c>
      <c r="O835">
        <f>IFERROR(VLOOKUP(L835,Model_Assumptions!$A:$D,4,0),0)</f>
        <v>850000</v>
      </c>
      <c r="P835">
        <f>IFERROR(VLOOKUP(J835,Source_Assumptions!$A:$C,3,0),0)</f>
        <v>150</v>
      </c>
    </row>
    <row r="836" spans="1:16" x14ac:dyDescent="0.3">
      <c r="A836">
        <f>Raw_Data!A836</f>
        <v>835</v>
      </c>
      <c r="B836" s="2">
        <f>Raw_Data!B836</f>
        <v>45229</v>
      </c>
      <c r="C836">
        <f>YEAR(Raw_Data!B836)</f>
        <v>2023</v>
      </c>
      <c r="D836" t="str">
        <f>IF(MONTH(Raw_Data!B836)&gt;=4,YEAR(Raw_Data!B836)&amp;"-"&amp;RIGHT(YEAR(Raw_Data!B836)+1,2),YEAR(Raw_Data!B836)-1&amp;"-"&amp;RIGHT(YEAR(Raw_Data!B836),2))</f>
        <v>2023-24</v>
      </c>
      <c r="E836" t="str">
        <f>"Q"&amp;ROUNDUP(MONTH(Raw_Data!B836)/3,0)</f>
        <v>Q4</v>
      </c>
      <c r="F836" t="str">
        <f>TEXT(Raw_Data!B836,"mmm")</f>
        <v>Oct</v>
      </c>
      <c r="G836" t="str">
        <f>TEXT(Raw_Data!B836,"ddd")</f>
        <v>Mon</v>
      </c>
      <c r="H836" t="str">
        <f>Raw_Data!D836</f>
        <v>Invoiced</v>
      </c>
      <c r="I836" t="str">
        <f>Raw_Data!F836</f>
        <v>SMS/ Tele-Out</v>
      </c>
      <c r="J836" t="str">
        <f>Raw_Data!G836</f>
        <v>I-BAP Referral</v>
      </c>
      <c r="K836" t="str">
        <f>IFERROR(VLOOKUP(J836,Source_Assumptions!$A:$C,2,0),"Unmapped")</f>
        <v>Referral (Insurance/Banking Partner)</v>
      </c>
      <c r="L836" t="str">
        <f>Raw_Data!H836</f>
        <v>5TH GEN CITY PE</v>
      </c>
      <c r="M836" t="str">
        <f>IFERROR(VLOOKUP(L836,Model_Assumptions!$A:$D,2,0),"Unmapped")</f>
        <v>Mid-size Sedan</v>
      </c>
      <c r="N836" t="str">
        <f>IFERROR(VLOOKUP(L836,Model_Assumptions!$A:$D,3,0),"Unmapped")</f>
        <v>Petrol</v>
      </c>
      <c r="O836">
        <f>IFERROR(VLOOKUP(L836,Model_Assumptions!$A:$D,4,0),0)</f>
        <v>1250000</v>
      </c>
      <c r="P836">
        <f>IFERROR(VLOOKUP(J836,Source_Assumptions!$A:$C,3,0),0)</f>
        <v>150</v>
      </c>
    </row>
    <row r="837" spans="1:16" x14ac:dyDescent="0.3">
      <c r="A837">
        <f>Raw_Data!A837</f>
        <v>836</v>
      </c>
      <c r="B837" s="2">
        <f>Raw_Data!B837</f>
        <v>45230</v>
      </c>
      <c r="C837">
        <f>YEAR(Raw_Data!B837)</f>
        <v>2023</v>
      </c>
      <c r="D837" t="str">
        <f>IF(MONTH(Raw_Data!B837)&gt;=4,YEAR(Raw_Data!B837)&amp;"-"&amp;RIGHT(YEAR(Raw_Data!B837)+1,2),YEAR(Raw_Data!B837)-1&amp;"-"&amp;RIGHT(YEAR(Raw_Data!B837),2))</f>
        <v>2023-24</v>
      </c>
      <c r="E837" t="str">
        <f>"Q"&amp;ROUNDUP(MONTH(Raw_Data!B837)/3,0)</f>
        <v>Q4</v>
      </c>
      <c r="F837" t="str">
        <f>TEXT(Raw_Data!B837,"mmm")</f>
        <v>Oct</v>
      </c>
      <c r="G837" t="str">
        <f>TEXT(Raw_Data!B837,"ddd")</f>
        <v>Tue</v>
      </c>
      <c r="H837" t="str">
        <f>Raw_Data!D837</f>
        <v>Invoiced</v>
      </c>
      <c r="I837" t="str">
        <f>Raw_Data!F837</f>
        <v>Walk-in Showroom</v>
      </c>
      <c r="J837" t="str">
        <f>Raw_Data!G837</f>
        <v>Adver. (TVC/Print/Hoarding/FM)</v>
      </c>
      <c r="K837" t="str">
        <f>IFERROR(VLOOKUP(J837,Source_Assumptions!$A:$C,2,0),"Unmapped")</f>
        <v>Traditional Advertising</v>
      </c>
      <c r="L837" t="str">
        <f>Raw_Data!H837</f>
        <v>AMAZE Petrol</v>
      </c>
      <c r="M837" t="str">
        <f>IFERROR(VLOOKUP(L837,Model_Assumptions!$A:$D,2,0),"Unmapped")</f>
        <v>Sub-4m Sedan</v>
      </c>
      <c r="N837" t="str">
        <f>IFERROR(VLOOKUP(L837,Model_Assumptions!$A:$D,3,0),"Unmapped")</f>
        <v>Petrol</v>
      </c>
      <c r="O837">
        <f>IFERROR(VLOOKUP(L837,Model_Assumptions!$A:$D,4,0),0)</f>
        <v>850000</v>
      </c>
      <c r="P837">
        <f>IFERROR(VLOOKUP(J837,Source_Assumptions!$A:$C,3,0),0)</f>
        <v>1200</v>
      </c>
    </row>
    <row r="838" spans="1:16" x14ac:dyDescent="0.3">
      <c r="A838">
        <f>Raw_Data!A838</f>
        <v>837</v>
      </c>
      <c r="B838" s="2">
        <f>Raw_Data!B838</f>
        <v>45230</v>
      </c>
      <c r="C838">
        <f>YEAR(Raw_Data!B838)</f>
        <v>2023</v>
      </c>
      <c r="D838" t="str">
        <f>IF(MONTH(Raw_Data!B838)&gt;=4,YEAR(Raw_Data!B838)&amp;"-"&amp;RIGHT(YEAR(Raw_Data!B838)+1,2),YEAR(Raw_Data!B838)-1&amp;"-"&amp;RIGHT(YEAR(Raw_Data!B838),2))</f>
        <v>2023-24</v>
      </c>
      <c r="E838" t="str">
        <f>"Q"&amp;ROUNDUP(MONTH(Raw_Data!B838)/3,0)</f>
        <v>Q4</v>
      </c>
      <c r="F838" t="str">
        <f>TEXT(Raw_Data!B838,"mmm")</f>
        <v>Oct</v>
      </c>
      <c r="G838" t="str">
        <f>TEXT(Raw_Data!B838,"ddd")</f>
        <v>Tue</v>
      </c>
      <c r="H838" t="str">
        <f>Raw_Data!D838</f>
        <v>Invoiced</v>
      </c>
      <c r="I838" t="str">
        <f>Raw_Data!F838</f>
        <v>Web Lead</v>
      </c>
      <c r="J838" t="str">
        <f>Raw_Data!G838</f>
        <v>Web</v>
      </c>
      <c r="K838" t="str">
        <f>IFERROR(VLOOKUP(J838,Source_Assumptions!$A:$C,2,0),"Unmapped")</f>
        <v>Digital - Owned</v>
      </c>
      <c r="L838" t="str">
        <f>Raw_Data!H838</f>
        <v>AMAZE Petrol</v>
      </c>
      <c r="M838" t="str">
        <f>IFERROR(VLOOKUP(L838,Model_Assumptions!$A:$D,2,0),"Unmapped")</f>
        <v>Sub-4m Sedan</v>
      </c>
      <c r="N838" t="str">
        <f>IFERROR(VLOOKUP(L838,Model_Assumptions!$A:$D,3,0),"Unmapped")</f>
        <v>Petrol</v>
      </c>
      <c r="O838">
        <f>IFERROR(VLOOKUP(L838,Model_Assumptions!$A:$D,4,0),0)</f>
        <v>850000</v>
      </c>
      <c r="P838">
        <f>IFERROR(VLOOKUP(J838,Source_Assumptions!$A:$C,3,0),0)</f>
        <v>300</v>
      </c>
    </row>
    <row r="839" spans="1:16" x14ac:dyDescent="0.3">
      <c r="A839">
        <f>Raw_Data!A839</f>
        <v>838</v>
      </c>
      <c r="B839" s="2">
        <f>Raw_Data!B839</f>
        <v>45230</v>
      </c>
      <c r="C839">
        <f>YEAR(Raw_Data!B839)</f>
        <v>2023</v>
      </c>
      <c r="D839" t="str">
        <f>IF(MONTH(Raw_Data!B839)&gt;=4,YEAR(Raw_Data!B839)&amp;"-"&amp;RIGHT(YEAR(Raw_Data!B839)+1,2),YEAR(Raw_Data!B839)-1&amp;"-"&amp;RIGHT(YEAR(Raw_Data!B839),2))</f>
        <v>2023-24</v>
      </c>
      <c r="E839" t="str">
        <f>"Q"&amp;ROUNDUP(MONTH(Raw_Data!B839)/3,0)</f>
        <v>Q4</v>
      </c>
      <c r="F839" t="str">
        <f>TEXT(Raw_Data!B839,"mmm")</f>
        <v>Oct</v>
      </c>
      <c r="G839" t="str">
        <f>TEXT(Raw_Data!B839,"ddd")</f>
        <v>Tue</v>
      </c>
      <c r="H839" t="str">
        <f>Raw_Data!D839</f>
        <v>Invoiced</v>
      </c>
      <c r="I839" t="str">
        <f>Raw_Data!F839</f>
        <v>SMS/ Tele-Out</v>
      </c>
      <c r="J839" t="str">
        <f>Raw_Data!G839</f>
        <v>Database Activity(Teleout/SMS)</v>
      </c>
      <c r="K839" t="str">
        <f>IFERROR(VLOOKUP(J839,Source_Assumptions!$A:$C,2,0),"Unmapped")</f>
        <v>Outbound/Database</v>
      </c>
      <c r="L839" t="str">
        <f>Raw_Data!H839</f>
        <v>ELEVATE</v>
      </c>
      <c r="M839" t="str">
        <f>IFERROR(VLOOKUP(L839,Model_Assumptions!$A:$D,2,0),"Unmapped")</f>
        <v>Compact SUV</v>
      </c>
      <c r="N839" t="str">
        <f>IFERROR(VLOOKUP(L839,Model_Assumptions!$A:$D,3,0),"Unmapped")</f>
        <v>Petrol</v>
      </c>
      <c r="O839">
        <f>IFERROR(VLOOKUP(L839,Model_Assumptions!$A:$D,4,0),0)</f>
        <v>1300000</v>
      </c>
      <c r="P839">
        <f>IFERROR(VLOOKUP(J839,Source_Assumptions!$A:$C,3,0),0)</f>
        <v>250</v>
      </c>
    </row>
    <row r="840" spans="1:16" x14ac:dyDescent="0.3">
      <c r="A840">
        <f>Raw_Data!A840</f>
        <v>839</v>
      </c>
      <c r="B840" s="2">
        <f>Raw_Data!B840</f>
        <v>45230</v>
      </c>
      <c r="C840">
        <f>YEAR(Raw_Data!B840)</f>
        <v>2023</v>
      </c>
      <c r="D840" t="str">
        <f>IF(MONTH(Raw_Data!B840)&gt;=4,YEAR(Raw_Data!B840)&amp;"-"&amp;RIGHT(YEAR(Raw_Data!B840)+1,2),YEAR(Raw_Data!B840)-1&amp;"-"&amp;RIGHT(YEAR(Raw_Data!B840),2))</f>
        <v>2023-24</v>
      </c>
      <c r="E840" t="str">
        <f>"Q"&amp;ROUNDUP(MONTH(Raw_Data!B840)/3,0)</f>
        <v>Q4</v>
      </c>
      <c r="F840" t="str">
        <f>TEXT(Raw_Data!B840,"mmm")</f>
        <v>Oct</v>
      </c>
      <c r="G840" t="str">
        <f>TEXT(Raw_Data!B840,"ddd")</f>
        <v>Tue</v>
      </c>
      <c r="H840" t="str">
        <f>Raw_Data!D840</f>
        <v>Invoiced</v>
      </c>
      <c r="I840" t="str">
        <f>Raw_Data!F840</f>
        <v>Walk-in Showroom</v>
      </c>
      <c r="J840" t="str">
        <f>Raw_Data!G840</f>
        <v>Adver. (TVC/Print/Hoarding/FM)</v>
      </c>
      <c r="K840" t="str">
        <f>IFERROR(VLOOKUP(J840,Source_Assumptions!$A:$C,2,0),"Unmapped")</f>
        <v>Traditional Advertising</v>
      </c>
      <c r="L840" t="str">
        <f>Raw_Data!H840</f>
        <v>5TH GEN CITY PE</v>
      </c>
      <c r="M840" t="str">
        <f>IFERROR(VLOOKUP(L840,Model_Assumptions!$A:$D,2,0),"Unmapped")</f>
        <v>Mid-size Sedan</v>
      </c>
      <c r="N840" t="str">
        <f>IFERROR(VLOOKUP(L840,Model_Assumptions!$A:$D,3,0),"Unmapped")</f>
        <v>Petrol</v>
      </c>
      <c r="O840">
        <f>IFERROR(VLOOKUP(L840,Model_Assumptions!$A:$D,4,0),0)</f>
        <v>1250000</v>
      </c>
      <c r="P840">
        <f>IFERROR(VLOOKUP(J840,Source_Assumptions!$A:$C,3,0),0)</f>
        <v>1200</v>
      </c>
    </row>
    <row r="841" spans="1:16" x14ac:dyDescent="0.3">
      <c r="A841">
        <f>Raw_Data!A841</f>
        <v>840</v>
      </c>
      <c r="B841" s="2">
        <f>Raw_Data!B841</f>
        <v>45230</v>
      </c>
      <c r="C841">
        <f>YEAR(Raw_Data!B841)</f>
        <v>2023</v>
      </c>
      <c r="D841" t="str">
        <f>IF(MONTH(Raw_Data!B841)&gt;=4,YEAR(Raw_Data!B841)&amp;"-"&amp;RIGHT(YEAR(Raw_Data!B841)+1,2),YEAR(Raw_Data!B841)-1&amp;"-"&amp;RIGHT(YEAR(Raw_Data!B841),2))</f>
        <v>2023-24</v>
      </c>
      <c r="E841" t="str">
        <f>"Q"&amp;ROUNDUP(MONTH(Raw_Data!B841)/3,0)</f>
        <v>Q4</v>
      </c>
      <c r="F841" t="str">
        <f>TEXT(Raw_Data!B841,"mmm")</f>
        <v>Oct</v>
      </c>
      <c r="G841" t="str">
        <f>TEXT(Raw_Data!B841,"ddd")</f>
        <v>Tue</v>
      </c>
      <c r="H841" t="str">
        <f>Raw_Data!D841</f>
        <v>Invoiced</v>
      </c>
      <c r="I841" t="str">
        <f>Raw_Data!F841</f>
        <v>Tele-in</v>
      </c>
      <c r="J841" t="str">
        <f>Raw_Data!G841</f>
        <v>Dealer Webpage Tele-In</v>
      </c>
      <c r="K841" t="str">
        <f>IFERROR(VLOOKUP(J841,Source_Assumptions!$A:$C,2,0),"Unmapped")</f>
        <v>Digital - Owned</v>
      </c>
      <c r="L841" t="str">
        <f>Raw_Data!H841</f>
        <v>AMAZE Petrol</v>
      </c>
      <c r="M841" t="str">
        <f>IFERROR(VLOOKUP(L841,Model_Assumptions!$A:$D,2,0),"Unmapped")</f>
        <v>Sub-4m Sedan</v>
      </c>
      <c r="N841" t="str">
        <f>IFERROR(VLOOKUP(L841,Model_Assumptions!$A:$D,3,0),"Unmapped")</f>
        <v>Petrol</v>
      </c>
      <c r="O841">
        <f>IFERROR(VLOOKUP(L841,Model_Assumptions!$A:$D,4,0),0)</f>
        <v>850000</v>
      </c>
      <c r="P841">
        <f>IFERROR(VLOOKUP(J841,Source_Assumptions!$A:$C,3,0),0)</f>
        <v>300</v>
      </c>
    </row>
    <row r="842" spans="1:16" x14ac:dyDescent="0.3">
      <c r="A842">
        <f>Raw_Data!A842</f>
        <v>841</v>
      </c>
      <c r="B842" s="2">
        <f>Raw_Data!B842</f>
        <v>45230</v>
      </c>
      <c r="C842">
        <f>YEAR(Raw_Data!B842)</f>
        <v>2023</v>
      </c>
      <c r="D842" t="str">
        <f>IF(MONTH(Raw_Data!B842)&gt;=4,YEAR(Raw_Data!B842)&amp;"-"&amp;RIGHT(YEAR(Raw_Data!B842)+1,2),YEAR(Raw_Data!B842)-1&amp;"-"&amp;RIGHT(YEAR(Raw_Data!B842),2))</f>
        <v>2023-24</v>
      </c>
      <c r="E842" t="str">
        <f>"Q"&amp;ROUNDUP(MONTH(Raw_Data!B842)/3,0)</f>
        <v>Q4</v>
      </c>
      <c r="F842" t="str">
        <f>TEXT(Raw_Data!B842,"mmm")</f>
        <v>Oct</v>
      </c>
      <c r="G842" t="str">
        <f>TEXT(Raw_Data!B842,"ddd")</f>
        <v>Tue</v>
      </c>
      <c r="H842" t="str">
        <f>Raw_Data!D842</f>
        <v>Invoiced</v>
      </c>
      <c r="I842" t="str">
        <f>Raw_Data!F842</f>
        <v>SMS/ Tele-Out</v>
      </c>
      <c r="J842" t="str">
        <f>Raw_Data!G842</f>
        <v>Database Activity(Teleout/SMS)</v>
      </c>
      <c r="K842" t="str">
        <f>IFERROR(VLOOKUP(J842,Source_Assumptions!$A:$C,2,0),"Unmapped")</f>
        <v>Outbound/Database</v>
      </c>
      <c r="L842" t="str">
        <f>Raw_Data!H842</f>
        <v>5TH GEN CITY PE</v>
      </c>
      <c r="M842" t="str">
        <f>IFERROR(VLOOKUP(L842,Model_Assumptions!$A:$D,2,0),"Unmapped")</f>
        <v>Mid-size Sedan</v>
      </c>
      <c r="N842" t="str">
        <f>IFERROR(VLOOKUP(L842,Model_Assumptions!$A:$D,3,0),"Unmapped")</f>
        <v>Petrol</v>
      </c>
      <c r="O842">
        <f>IFERROR(VLOOKUP(L842,Model_Assumptions!$A:$D,4,0),0)</f>
        <v>1250000</v>
      </c>
      <c r="P842">
        <f>IFERROR(VLOOKUP(J842,Source_Assumptions!$A:$C,3,0),0)</f>
        <v>250</v>
      </c>
    </row>
    <row r="843" spans="1:16" x14ac:dyDescent="0.3">
      <c r="A843">
        <f>Raw_Data!A843</f>
        <v>842</v>
      </c>
      <c r="B843" s="2">
        <f>Raw_Data!B843</f>
        <v>45230</v>
      </c>
      <c r="C843">
        <f>YEAR(Raw_Data!B843)</f>
        <v>2023</v>
      </c>
      <c r="D843" t="str">
        <f>IF(MONTH(Raw_Data!B843)&gt;=4,YEAR(Raw_Data!B843)&amp;"-"&amp;RIGHT(YEAR(Raw_Data!B843)+1,2),YEAR(Raw_Data!B843)-1&amp;"-"&amp;RIGHT(YEAR(Raw_Data!B843),2))</f>
        <v>2023-24</v>
      </c>
      <c r="E843" t="str">
        <f>"Q"&amp;ROUNDUP(MONTH(Raw_Data!B843)/3,0)</f>
        <v>Q4</v>
      </c>
      <c r="F843" t="str">
        <f>TEXT(Raw_Data!B843,"mmm")</f>
        <v>Oct</v>
      </c>
      <c r="G843" t="str">
        <f>TEXT(Raw_Data!B843,"ddd")</f>
        <v>Tue</v>
      </c>
      <c r="H843" t="str">
        <f>Raw_Data!D843</f>
        <v>Invoiced</v>
      </c>
      <c r="I843" t="str">
        <f>Raw_Data!F843</f>
        <v>Walk-in Showroom</v>
      </c>
      <c r="J843" t="str">
        <f>Raw_Data!G843</f>
        <v>Adver. (TVC/Print/Hoarding/FM)</v>
      </c>
      <c r="K843" t="str">
        <f>IFERROR(VLOOKUP(J843,Source_Assumptions!$A:$C,2,0),"Unmapped")</f>
        <v>Traditional Advertising</v>
      </c>
      <c r="L843" t="str">
        <f>Raw_Data!H843</f>
        <v>AMAZE Petrol</v>
      </c>
      <c r="M843" t="str">
        <f>IFERROR(VLOOKUP(L843,Model_Assumptions!$A:$D,2,0),"Unmapped")</f>
        <v>Sub-4m Sedan</v>
      </c>
      <c r="N843" t="str">
        <f>IFERROR(VLOOKUP(L843,Model_Assumptions!$A:$D,3,0),"Unmapped")</f>
        <v>Petrol</v>
      </c>
      <c r="O843">
        <f>IFERROR(VLOOKUP(L843,Model_Assumptions!$A:$D,4,0),0)</f>
        <v>850000</v>
      </c>
      <c r="P843">
        <f>IFERROR(VLOOKUP(J843,Source_Assumptions!$A:$C,3,0),0)</f>
        <v>1200</v>
      </c>
    </row>
    <row r="844" spans="1:16" x14ac:dyDescent="0.3">
      <c r="A844">
        <f>Raw_Data!A844</f>
        <v>843</v>
      </c>
      <c r="B844" s="2">
        <f>Raw_Data!B844</f>
        <v>45238</v>
      </c>
      <c r="C844">
        <f>YEAR(Raw_Data!B844)</f>
        <v>2023</v>
      </c>
      <c r="D844" t="str">
        <f>IF(MONTH(Raw_Data!B844)&gt;=4,YEAR(Raw_Data!B844)&amp;"-"&amp;RIGHT(YEAR(Raw_Data!B844)+1,2),YEAR(Raw_Data!B844)-1&amp;"-"&amp;RIGHT(YEAR(Raw_Data!B844),2))</f>
        <v>2023-24</v>
      </c>
      <c r="E844" t="str">
        <f>"Q"&amp;ROUNDUP(MONTH(Raw_Data!B844)/3,0)</f>
        <v>Q4</v>
      </c>
      <c r="F844" t="str">
        <f>TEXT(Raw_Data!B844,"mmm")</f>
        <v>Nov</v>
      </c>
      <c r="G844" t="str">
        <f>TEXT(Raw_Data!B844,"ddd")</f>
        <v>Wed</v>
      </c>
      <c r="H844" t="str">
        <f>Raw_Data!D844</f>
        <v>Invoiced</v>
      </c>
      <c r="I844" t="str">
        <f>Raw_Data!F844</f>
        <v>Tele-in</v>
      </c>
      <c r="J844" t="str">
        <f>Raw_Data!G844</f>
        <v>Dealer Webpage Tele-In</v>
      </c>
      <c r="K844" t="str">
        <f>IFERROR(VLOOKUP(J844,Source_Assumptions!$A:$C,2,0),"Unmapped")</f>
        <v>Digital - Owned</v>
      </c>
      <c r="L844" t="str">
        <f>Raw_Data!H844</f>
        <v>AMAZE Petrol</v>
      </c>
      <c r="M844" t="str">
        <f>IFERROR(VLOOKUP(L844,Model_Assumptions!$A:$D,2,0),"Unmapped")</f>
        <v>Sub-4m Sedan</v>
      </c>
      <c r="N844" t="str">
        <f>IFERROR(VLOOKUP(L844,Model_Assumptions!$A:$D,3,0),"Unmapped")</f>
        <v>Petrol</v>
      </c>
      <c r="O844">
        <f>IFERROR(VLOOKUP(L844,Model_Assumptions!$A:$D,4,0),0)</f>
        <v>850000</v>
      </c>
      <c r="P844">
        <f>IFERROR(VLOOKUP(J844,Source_Assumptions!$A:$C,3,0),0)</f>
        <v>300</v>
      </c>
    </row>
    <row r="845" spans="1:16" x14ac:dyDescent="0.3">
      <c r="A845">
        <f>Raw_Data!A845</f>
        <v>844</v>
      </c>
      <c r="B845" s="2">
        <f>Raw_Data!B845</f>
        <v>45240</v>
      </c>
      <c r="C845">
        <f>YEAR(Raw_Data!B845)</f>
        <v>2023</v>
      </c>
      <c r="D845" t="str">
        <f>IF(MONTH(Raw_Data!B845)&gt;=4,YEAR(Raw_Data!B845)&amp;"-"&amp;RIGHT(YEAR(Raw_Data!B845)+1,2),YEAR(Raw_Data!B845)-1&amp;"-"&amp;RIGHT(YEAR(Raw_Data!B845),2))</f>
        <v>2023-24</v>
      </c>
      <c r="E845" t="str">
        <f>"Q"&amp;ROUNDUP(MONTH(Raw_Data!B845)/3,0)</f>
        <v>Q4</v>
      </c>
      <c r="F845" t="str">
        <f>TEXT(Raw_Data!B845,"mmm")</f>
        <v>Nov</v>
      </c>
      <c r="G845" t="str">
        <f>TEXT(Raw_Data!B845,"ddd")</f>
        <v>Fri</v>
      </c>
      <c r="H845" t="str">
        <f>Raw_Data!D845</f>
        <v>Invoiced</v>
      </c>
      <c r="I845" t="str">
        <f>Raw_Data!F845</f>
        <v>Tele-in</v>
      </c>
      <c r="J845" t="str">
        <f>Raw_Data!G845</f>
        <v>Referral-CAM</v>
      </c>
      <c r="K845" t="str">
        <f>IFERROR(VLOOKUP(J845,Source_Assumptions!$A:$C,2,0),"Unmapped")</f>
        <v>Referral</v>
      </c>
      <c r="L845" t="str">
        <f>Raw_Data!H845</f>
        <v>ELEVATE</v>
      </c>
      <c r="M845" t="str">
        <f>IFERROR(VLOOKUP(L845,Model_Assumptions!$A:$D,2,0),"Unmapped")</f>
        <v>Compact SUV</v>
      </c>
      <c r="N845" t="str">
        <f>IFERROR(VLOOKUP(L845,Model_Assumptions!$A:$D,3,0),"Unmapped")</f>
        <v>Petrol</v>
      </c>
      <c r="O845">
        <f>IFERROR(VLOOKUP(L845,Model_Assumptions!$A:$D,4,0),0)</f>
        <v>1300000</v>
      </c>
      <c r="P845">
        <f>IFERROR(VLOOKUP(J845,Source_Assumptions!$A:$C,3,0),0)</f>
        <v>150</v>
      </c>
    </row>
    <row r="846" spans="1:16" x14ac:dyDescent="0.3">
      <c r="A846">
        <f>Raw_Data!A846</f>
        <v>845</v>
      </c>
      <c r="B846" s="2">
        <f>Raw_Data!B846</f>
        <v>45240</v>
      </c>
      <c r="C846">
        <f>YEAR(Raw_Data!B846)</f>
        <v>2023</v>
      </c>
      <c r="D846" t="str">
        <f>IF(MONTH(Raw_Data!B846)&gt;=4,YEAR(Raw_Data!B846)&amp;"-"&amp;RIGHT(YEAR(Raw_Data!B846)+1,2),YEAR(Raw_Data!B846)-1&amp;"-"&amp;RIGHT(YEAR(Raw_Data!B846),2))</f>
        <v>2023-24</v>
      </c>
      <c r="E846" t="str">
        <f>"Q"&amp;ROUNDUP(MONTH(Raw_Data!B846)/3,0)</f>
        <v>Q4</v>
      </c>
      <c r="F846" t="str">
        <f>TEXT(Raw_Data!B846,"mmm")</f>
        <v>Nov</v>
      </c>
      <c r="G846" t="str">
        <f>TEXT(Raw_Data!B846,"ddd")</f>
        <v>Fri</v>
      </c>
      <c r="H846" t="str">
        <f>Raw_Data!D846</f>
        <v>Invoiced</v>
      </c>
      <c r="I846" t="str">
        <f>Raw_Data!F846</f>
        <v>SMS/ Tele-Out</v>
      </c>
      <c r="J846" t="str">
        <f>Raw_Data!G846</f>
        <v>I-BAP Referral</v>
      </c>
      <c r="K846" t="str">
        <f>IFERROR(VLOOKUP(J846,Source_Assumptions!$A:$C,2,0),"Unmapped")</f>
        <v>Referral (Insurance/Banking Partner)</v>
      </c>
      <c r="L846" t="str">
        <f>Raw_Data!H846</f>
        <v>AMAZE Petrol</v>
      </c>
      <c r="M846" t="str">
        <f>IFERROR(VLOOKUP(L846,Model_Assumptions!$A:$D,2,0),"Unmapped")</f>
        <v>Sub-4m Sedan</v>
      </c>
      <c r="N846" t="str">
        <f>IFERROR(VLOOKUP(L846,Model_Assumptions!$A:$D,3,0),"Unmapped")</f>
        <v>Petrol</v>
      </c>
      <c r="O846">
        <f>IFERROR(VLOOKUP(L846,Model_Assumptions!$A:$D,4,0),0)</f>
        <v>850000</v>
      </c>
      <c r="P846">
        <f>IFERROR(VLOOKUP(J846,Source_Assumptions!$A:$C,3,0),0)</f>
        <v>150</v>
      </c>
    </row>
    <row r="847" spans="1:16" x14ac:dyDescent="0.3">
      <c r="A847">
        <f>Raw_Data!A847</f>
        <v>846</v>
      </c>
      <c r="B847" s="2">
        <f>Raw_Data!B847</f>
        <v>45240</v>
      </c>
      <c r="C847">
        <f>YEAR(Raw_Data!B847)</f>
        <v>2023</v>
      </c>
      <c r="D847" t="str">
        <f>IF(MONTH(Raw_Data!B847)&gt;=4,YEAR(Raw_Data!B847)&amp;"-"&amp;RIGHT(YEAR(Raw_Data!B847)+1,2),YEAR(Raw_Data!B847)-1&amp;"-"&amp;RIGHT(YEAR(Raw_Data!B847),2))</f>
        <v>2023-24</v>
      </c>
      <c r="E847" t="str">
        <f>"Q"&amp;ROUNDUP(MONTH(Raw_Data!B847)/3,0)</f>
        <v>Q4</v>
      </c>
      <c r="F847" t="str">
        <f>TEXT(Raw_Data!B847,"mmm")</f>
        <v>Nov</v>
      </c>
      <c r="G847" t="str">
        <f>TEXT(Raw_Data!B847,"ddd")</f>
        <v>Fri</v>
      </c>
      <c r="H847" t="str">
        <f>Raw_Data!D847</f>
        <v>Invoiced</v>
      </c>
      <c r="I847" t="str">
        <f>Raw_Data!F847</f>
        <v>SMS/ Tele-Out</v>
      </c>
      <c r="J847" t="str">
        <f>Raw_Data!G847</f>
        <v>Database Activity(Teleout/SMS)</v>
      </c>
      <c r="K847" t="str">
        <f>IFERROR(VLOOKUP(J847,Source_Assumptions!$A:$C,2,0),"Unmapped")</f>
        <v>Outbound/Database</v>
      </c>
      <c r="L847" t="str">
        <f>Raw_Data!H847</f>
        <v>5TH GEN CITY PE</v>
      </c>
      <c r="M847" t="str">
        <f>IFERROR(VLOOKUP(L847,Model_Assumptions!$A:$D,2,0),"Unmapped")</f>
        <v>Mid-size Sedan</v>
      </c>
      <c r="N847" t="str">
        <f>IFERROR(VLOOKUP(L847,Model_Assumptions!$A:$D,3,0),"Unmapped")</f>
        <v>Petrol</v>
      </c>
      <c r="O847">
        <f>IFERROR(VLOOKUP(L847,Model_Assumptions!$A:$D,4,0),0)</f>
        <v>1250000</v>
      </c>
      <c r="P847">
        <f>IFERROR(VLOOKUP(J847,Source_Assumptions!$A:$C,3,0),0)</f>
        <v>250</v>
      </c>
    </row>
    <row r="848" spans="1:16" x14ac:dyDescent="0.3">
      <c r="A848">
        <f>Raw_Data!A848</f>
        <v>847</v>
      </c>
      <c r="B848" s="2">
        <f>Raw_Data!B848</f>
        <v>45240</v>
      </c>
      <c r="C848">
        <f>YEAR(Raw_Data!B848)</f>
        <v>2023</v>
      </c>
      <c r="D848" t="str">
        <f>IF(MONTH(Raw_Data!B848)&gt;=4,YEAR(Raw_Data!B848)&amp;"-"&amp;RIGHT(YEAR(Raw_Data!B848)+1,2),YEAR(Raw_Data!B848)-1&amp;"-"&amp;RIGHT(YEAR(Raw_Data!B848),2))</f>
        <v>2023-24</v>
      </c>
      <c r="E848" t="str">
        <f>"Q"&amp;ROUNDUP(MONTH(Raw_Data!B848)/3,0)</f>
        <v>Q4</v>
      </c>
      <c r="F848" t="str">
        <f>TEXT(Raw_Data!B848,"mmm")</f>
        <v>Nov</v>
      </c>
      <c r="G848" t="str">
        <f>TEXT(Raw_Data!B848,"ddd")</f>
        <v>Fri</v>
      </c>
      <c r="H848" t="str">
        <f>Raw_Data!D848</f>
        <v>Invoiced</v>
      </c>
      <c r="I848" t="str">
        <f>Raw_Data!F848</f>
        <v>SMS/ Tele-Out</v>
      </c>
      <c r="J848" t="str">
        <f>Raw_Data!G848</f>
        <v>Database Activity(Teleout/SMS)</v>
      </c>
      <c r="K848" t="str">
        <f>IFERROR(VLOOKUP(J848,Source_Assumptions!$A:$C,2,0),"Unmapped")</f>
        <v>Outbound/Database</v>
      </c>
      <c r="L848" t="str">
        <f>Raw_Data!H848</f>
        <v>ELEVATE</v>
      </c>
      <c r="M848" t="str">
        <f>IFERROR(VLOOKUP(L848,Model_Assumptions!$A:$D,2,0),"Unmapped")</f>
        <v>Compact SUV</v>
      </c>
      <c r="N848" t="str">
        <f>IFERROR(VLOOKUP(L848,Model_Assumptions!$A:$D,3,0),"Unmapped")</f>
        <v>Petrol</v>
      </c>
      <c r="O848">
        <f>IFERROR(VLOOKUP(L848,Model_Assumptions!$A:$D,4,0),0)</f>
        <v>1300000</v>
      </c>
      <c r="P848">
        <f>IFERROR(VLOOKUP(J848,Source_Assumptions!$A:$C,3,0),0)</f>
        <v>250</v>
      </c>
    </row>
    <row r="849" spans="1:16" x14ac:dyDescent="0.3">
      <c r="A849">
        <f>Raw_Data!A849</f>
        <v>848</v>
      </c>
      <c r="B849" s="2">
        <f>Raw_Data!B849</f>
        <v>45240</v>
      </c>
      <c r="C849">
        <f>YEAR(Raw_Data!B849)</f>
        <v>2023</v>
      </c>
      <c r="D849" t="str">
        <f>IF(MONTH(Raw_Data!B849)&gt;=4,YEAR(Raw_Data!B849)&amp;"-"&amp;RIGHT(YEAR(Raw_Data!B849)+1,2),YEAR(Raw_Data!B849)-1&amp;"-"&amp;RIGHT(YEAR(Raw_Data!B849),2))</f>
        <v>2023-24</v>
      </c>
      <c r="E849" t="str">
        <f>"Q"&amp;ROUNDUP(MONTH(Raw_Data!B849)/3,0)</f>
        <v>Q4</v>
      </c>
      <c r="F849" t="str">
        <f>TEXT(Raw_Data!B849,"mmm")</f>
        <v>Nov</v>
      </c>
      <c r="G849" t="str">
        <f>TEXT(Raw_Data!B849,"ddd")</f>
        <v>Fri</v>
      </c>
      <c r="H849" t="str">
        <f>Raw_Data!D849</f>
        <v>Invoiced</v>
      </c>
      <c r="I849" t="str">
        <f>Raw_Data!F849</f>
        <v>SMS/ Tele-Out</v>
      </c>
      <c r="J849" t="str">
        <f>Raw_Data!G849</f>
        <v>Database Activity(Teleout/SMS)</v>
      </c>
      <c r="K849" t="str">
        <f>IFERROR(VLOOKUP(J849,Source_Assumptions!$A:$C,2,0),"Unmapped")</f>
        <v>Outbound/Database</v>
      </c>
      <c r="L849" t="str">
        <f>Raw_Data!H849</f>
        <v>5TH GEN CITY PE</v>
      </c>
      <c r="M849" t="str">
        <f>IFERROR(VLOOKUP(L849,Model_Assumptions!$A:$D,2,0),"Unmapped")</f>
        <v>Mid-size Sedan</v>
      </c>
      <c r="N849" t="str">
        <f>IFERROR(VLOOKUP(L849,Model_Assumptions!$A:$D,3,0),"Unmapped")</f>
        <v>Petrol</v>
      </c>
      <c r="O849">
        <f>IFERROR(VLOOKUP(L849,Model_Assumptions!$A:$D,4,0),0)</f>
        <v>1250000</v>
      </c>
      <c r="P849">
        <f>IFERROR(VLOOKUP(J849,Source_Assumptions!$A:$C,3,0),0)</f>
        <v>250</v>
      </c>
    </row>
    <row r="850" spans="1:16" x14ac:dyDescent="0.3">
      <c r="A850">
        <f>Raw_Data!A850</f>
        <v>849</v>
      </c>
      <c r="B850" s="2">
        <f>Raw_Data!B850</f>
        <v>45241</v>
      </c>
      <c r="C850">
        <f>YEAR(Raw_Data!B850)</f>
        <v>2023</v>
      </c>
      <c r="D850" t="str">
        <f>IF(MONTH(Raw_Data!B850)&gt;=4,YEAR(Raw_Data!B850)&amp;"-"&amp;RIGHT(YEAR(Raw_Data!B850)+1,2),YEAR(Raw_Data!B850)-1&amp;"-"&amp;RIGHT(YEAR(Raw_Data!B850),2))</f>
        <v>2023-24</v>
      </c>
      <c r="E850" t="str">
        <f>"Q"&amp;ROUNDUP(MONTH(Raw_Data!B850)/3,0)</f>
        <v>Q4</v>
      </c>
      <c r="F850" t="str">
        <f>TEXT(Raw_Data!B850,"mmm")</f>
        <v>Nov</v>
      </c>
      <c r="G850" t="str">
        <f>TEXT(Raw_Data!B850,"ddd")</f>
        <v>Sat</v>
      </c>
      <c r="H850" t="str">
        <f>Raw_Data!D850</f>
        <v>Invoiced</v>
      </c>
      <c r="I850" t="str">
        <f>Raw_Data!F850</f>
        <v>Walk-in Showroom</v>
      </c>
      <c r="J850" t="str">
        <f>Raw_Data!G850</f>
        <v>Adver. (TVC/Print/Hoarding/FM)</v>
      </c>
      <c r="K850" t="str">
        <f>IFERROR(VLOOKUP(J850,Source_Assumptions!$A:$C,2,0),"Unmapped")</f>
        <v>Traditional Advertising</v>
      </c>
      <c r="L850" t="str">
        <f>Raw_Data!H850</f>
        <v>ELEVATE</v>
      </c>
      <c r="M850" t="str">
        <f>IFERROR(VLOOKUP(L850,Model_Assumptions!$A:$D,2,0),"Unmapped")</f>
        <v>Compact SUV</v>
      </c>
      <c r="N850" t="str">
        <f>IFERROR(VLOOKUP(L850,Model_Assumptions!$A:$D,3,0),"Unmapped")</f>
        <v>Petrol</v>
      </c>
      <c r="O850">
        <f>IFERROR(VLOOKUP(L850,Model_Assumptions!$A:$D,4,0),0)</f>
        <v>1300000</v>
      </c>
      <c r="P850">
        <f>IFERROR(VLOOKUP(J850,Source_Assumptions!$A:$C,3,0),0)</f>
        <v>1200</v>
      </c>
    </row>
    <row r="851" spans="1:16" x14ac:dyDescent="0.3">
      <c r="A851">
        <f>Raw_Data!A851</f>
        <v>850</v>
      </c>
      <c r="B851" s="2">
        <f>Raw_Data!B851</f>
        <v>45241</v>
      </c>
      <c r="C851">
        <f>YEAR(Raw_Data!B851)</f>
        <v>2023</v>
      </c>
      <c r="D851" t="str">
        <f>IF(MONTH(Raw_Data!B851)&gt;=4,YEAR(Raw_Data!B851)&amp;"-"&amp;RIGHT(YEAR(Raw_Data!B851)+1,2),YEAR(Raw_Data!B851)-1&amp;"-"&amp;RIGHT(YEAR(Raw_Data!B851),2))</f>
        <v>2023-24</v>
      </c>
      <c r="E851" t="str">
        <f>"Q"&amp;ROUNDUP(MONTH(Raw_Data!B851)/3,0)</f>
        <v>Q4</v>
      </c>
      <c r="F851" t="str">
        <f>TEXT(Raw_Data!B851,"mmm")</f>
        <v>Nov</v>
      </c>
      <c r="G851" t="str">
        <f>TEXT(Raw_Data!B851,"ddd")</f>
        <v>Sat</v>
      </c>
      <c r="H851" t="str">
        <f>Raw_Data!D851</f>
        <v>Invoiced</v>
      </c>
      <c r="I851" t="str">
        <f>Raw_Data!F851</f>
        <v>Tele-in</v>
      </c>
      <c r="J851" t="str">
        <f>Raw_Data!G851</f>
        <v>Dealer Webpage Tele-In</v>
      </c>
      <c r="K851" t="str">
        <f>IFERROR(VLOOKUP(J851,Source_Assumptions!$A:$C,2,0),"Unmapped")</f>
        <v>Digital - Owned</v>
      </c>
      <c r="L851" t="str">
        <f>Raw_Data!H851</f>
        <v>ELEVATE</v>
      </c>
      <c r="M851" t="str">
        <f>IFERROR(VLOOKUP(L851,Model_Assumptions!$A:$D,2,0),"Unmapped")</f>
        <v>Compact SUV</v>
      </c>
      <c r="N851" t="str">
        <f>IFERROR(VLOOKUP(L851,Model_Assumptions!$A:$D,3,0),"Unmapped")</f>
        <v>Petrol</v>
      </c>
      <c r="O851">
        <f>IFERROR(VLOOKUP(L851,Model_Assumptions!$A:$D,4,0),0)</f>
        <v>1300000</v>
      </c>
      <c r="P851">
        <f>IFERROR(VLOOKUP(J851,Source_Assumptions!$A:$C,3,0),0)</f>
        <v>300</v>
      </c>
    </row>
    <row r="852" spans="1:16" x14ac:dyDescent="0.3">
      <c r="A852">
        <f>Raw_Data!A852</f>
        <v>851</v>
      </c>
      <c r="B852" s="2">
        <f>Raw_Data!B852</f>
        <v>45241</v>
      </c>
      <c r="C852">
        <f>YEAR(Raw_Data!B852)</f>
        <v>2023</v>
      </c>
      <c r="D852" t="str">
        <f>IF(MONTH(Raw_Data!B852)&gt;=4,YEAR(Raw_Data!B852)&amp;"-"&amp;RIGHT(YEAR(Raw_Data!B852)+1,2),YEAR(Raw_Data!B852)-1&amp;"-"&amp;RIGHT(YEAR(Raw_Data!B852),2))</f>
        <v>2023-24</v>
      </c>
      <c r="E852" t="str">
        <f>"Q"&amp;ROUNDUP(MONTH(Raw_Data!B852)/3,0)</f>
        <v>Q4</v>
      </c>
      <c r="F852" t="str">
        <f>TEXT(Raw_Data!B852,"mmm")</f>
        <v>Nov</v>
      </c>
      <c r="G852" t="str">
        <f>TEXT(Raw_Data!B852,"ddd")</f>
        <v>Sat</v>
      </c>
      <c r="H852" t="str">
        <f>Raw_Data!D852</f>
        <v>Invoiced</v>
      </c>
      <c r="I852" t="str">
        <f>Raw_Data!F852</f>
        <v>Web Lead</v>
      </c>
      <c r="J852" t="str">
        <f>Raw_Data!G852</f>
        <v>Web_Organic</v>
      </c>
      <c r="K852" t="str">
        <f>IFERROR(VLOOKUP(J852,Source_Assumptions!$A:$C,2,0),"Unmapped")</f>
        <v>Digital - Organic</v>
      </c>
      <c r="L852" t="str">
        <f>Raw_Data!H852</f>
        <v>ELEVATE</v>
      </c>
      <c r="M852" t="str">
        <f>IFERROR(VLOOKUP(L852,Model_Assumptions!$A:$D,2,0),"Unmapped")</f>
        <v>Compact SUV</v>
      </c>
      <c r="N852" t="str">
        <f>IFERROR(VLOOKUP(L852,Model_Assumptions!$A:$D,3,0),"Unmapped")</f>
        <v>Petrol</v>
      </c>
      <c r="O852">
        <f>IFERROR(VLOOKUP(L852,Model_Assumptions!$A:$D,4,0),0)</f>
        <v>1300000</v>
      </c>
      <c r="P852">
        <f>IFERROR(VLOOKUP(J852,Source_Assumptions!$A:$C,3,0),0)</f>
        <v>100</v>
      </c>
    </row>
    <row r="853" spans="1:16" x14ac:dyDescent="0.3">
      <c r="A853">
        <f>Raw_Data!A853</f>
        <v>852</v>
      </c>
      <c r="B853" s="2">
        <f>Raw_Data!B853</f>
        <v>45245</v>
      </c>
      <c r="C853">
        <f>YEAR(Raw_Data!B853)</f>
        <v>2023</v>
      </c>
      <c r="D853" t="str">
        <f>IF(MONTH(Raw_Data!B853)&gt;=4,YEAR(Raw_Data!B853)&amp;"-"&amp;RIGHT(YEAR(Raw_Data!B853)+1,2),YEAR(Raw_Data!B853)-1&amp;"-"&amp;RIGHT(YEAR(Raw_Data!B853),2))</f>
        <v>2023-24</v>
      </c>
      <c r="E853" t="str">
        <f>"Q"&amp;ROUNDUP(MONTH(Raw_Data!B853)/3,0)</f>
        <v>Q4</v>
      </c>
      <c r="F853" t="str">
        <f>TEXT(Raw_Data!B853,"mmm")</f>
        <v>Nov</v>
      </c>
      <c r="G853" t="str">
        <f>TEXT(Raw_Data!B853,"ddd")</f>
        <v>Wed</v>
      </c>
      <c r="H853" t="str">
        <f>Raw_Data!D853</f>
        <v>Invoiced</v>
      </c>
      <c r="I853" t="str">
        <f>Raw_Data!F853</f>
        <v>Tele-in</v>
      </c>
      <c r="J853" t="str">
        <f>Raw_Data!G853</f>
        <v>Dealer Webpage Tele-In</v>
      </c>
      <c r="K853" t="str">
        <f>IFERROR(VLOOKUP(J853,Source_Assumptions!$A:$C,2,0),"Unmapped")</f>
        <v>Digital - Owned</v>
      </c>
      <c r="L853" t="str">
        <f>Raw_Data!H853</f>
        <v>AMAZE Petrol</v>
      </c>
      <c r="M853" t="str">
        <f>IFERROR(VLOOKUP(L853,Model_Assumptions!$A:$D,2,0),"Unmapped")</f>
        <v>Sub-4m Sedan</v>
      </c>
      <c r="N853" t="str">
        <f>IFERROR(VLOOKUP(L853,Model_Assumptions!$A:$D,3,0),"Unmapped")</f>
        <v>Petrol</v>
      </c>
      <c r="O853">
        <f>IFERROR(VLOOKUP(L853,Model_Assumptions!$A:$D,4,0),0)</f>
        <v>850000</v>
      </c>
      <c r="P853">
        <f>IFERROR(VLOOKUP(J853,Source_Assumptions!$A:$C,3,0),0)</f>
        <v>300</v>
      </c>
    </row>
    <row r="854" spans="1:16" x14ac:dyDescent="0.3">
      <c r="A854">
        <f>Raw_Data!A854</f>
        <v>853</v>
      </c>
      <c r="B854" s="2">
        <f>Raw_Data!B854</f>
        <v>45245</v>
      </c>
      <c r="C854">
        <f>YEAR(Raw_Data!B854)</f>
        <v>2023</v>
      </c>
      <c r="D854" t="str">
        <f>IF(MONTH(Raw_Data!B854)&gt;=4,YEAR(Raw_Data!B854)&amp;"-"&amp;RIGHT(YEAR(Raw_Data!B854)+1,2),YEAR(Raw_Data!B854)-1&amp;"-"&amp;RIGHT(YEAR(Raw_Data!B854),2))</f>
        <v>2023-24</v>
      </c>
      <c r="E854" t="str">
        <f>"Q"&amp;ROUNDUP(MONTH(Raw_Data!B854)/3,0)</f>
        <v>Q4</v>
      </c>
      <c r="F854" t="str">
        <f>TEXT(Raw_Data!B854,"mmm")</f>
        <v>Nov</v>
      </c>
      <c r="G854" t="str">
        <f>TEXT(Raw_Data!B854,"ddd")</f>
        <v>Wed</v>
      </c>
      <c r="H854" t="str">
        <f>Raw_Data!D854</f>
        <v>Invoiced</v>
      </c>
      <c r="I854" t="str">
        <f>Raw_Data!F854</f>
        <v>Walk-in Showroom</v>
      </c>
      <c r="J854" t="str">
        <f>Raw_Data!G854</f>
        <v>Adver. (TVC/Print/Hoarding/FM)</v>
      </c>
      <c r="K854" t="str">
        <f>IFERROR(VLOOKUP(J854,Source_Assumptions!$A:$C,2,0),"Unmapped")</f>
        <v>Traditional Advertising</v>
      </c>
      <c r="L854" t="str">
        <f>Raw_Data!H854</f>
        <v>AMAZE Petrol</v>
      </c>
      <c r="M854" t="str">
        <f>IFERROR(VLOOKUP(L854,Model_Assumptions!$A:$D,2,0),"Unmapped")</f>
        <v>Sub-4m Sedan</v>
      </c>
      <c r="N854" t="str">
        <f>IFERROR(VLOOKUP(L854,Model_Assumptions!$A:$D,3,0),"Unmapped")</f>
        <v>Petrol</v>
      </c>
      <c r="O854">
        <f>IFERROR(VLOOKUP(L854,Model_Assumptions!$A:$D,4,0),0)</f>
        <v>850000</v>
      </c>
      <c r="P854">
        <f>IFERROR(VLOOKUP(J854,Source_Assumptions!$A:$C,3,0),0)</f>
        <v>1200</v>
      </c>
    </row>
    <row r="855" spans="1:16" x14ac:dyDescent="0.3">
      <c r="A855">
        <f>Raw_Data!A855</f>
        <v>854</v>
      </c>
      <c r="B855" s="2">
        <f>Raw_Data!B855</f>
        <v>45245</v>
      </c>
      <c r="C855">
        <f>YEAR(Raw_Data!B855)</f>
        <v>2023</v>
      </c>
      <c r="D855" t="str">
        <f>IF(MONTH(Raw_Data!B855)&gt;=4,YEAR(Raw_Data!B855)&amp;"-"&amp;RIGHT(YEAR(Raw_Data!B855)+1,2),YEAR(Raw_Data!B855)-1&amp;"-"&amp;RIGHT(YEAR(Raw_Data!B855),2))</f>
        <v>2023-24</v>
      </c>
      <c r="E855" t="str">
        <f>"Q"&amp;ROUNDUP(MONTH(Raw_Data!B855)/3,0)</f>
        <v>Q4</v>
      </c>
      <c r="F855" t="str">
        <f>TEXT(Raw_Data!B855,"mmm")</f>
        <v>Nov</v>
      </c>
      <c r="G855" t="str">
        <f>TEXT(Raw_Data!B855,"ddd")</f>
        <v>Wed</v>
      </c>
      <c r="H855" t="str">
        <f>Raw_Data!D855</f>
        <v>Invoiced</v>
      </c>
      <c r="I855" t="str">
        <f>Raw_Data!F855</f>
        <v>SMS/ Tele-Out</v>
      </c>
      <c r="J855" t="str">
        <f>Raw_Data!G855</f>
        <v>I-BAP Referral</v>
      </c>
      <c r="K855" t="str">
        <f>IFERROR(VLOOKUP(J855,Source_Assumptions!$A:$C,2,0),"Unmapped")</f>
        <v>Referral (Insurance/Banking Partner)</v>
      </c>
      <c r="L855" t="str">
        <f>Raw_Data!H855</f>
        <v>5TH GEN CITY e:HEV</v>
      </c>
      <c r="M855" t="str">
        <f>IFERROR(VLOOKUP(L855,Model_Assumptions!$A:$D,2,0),"Unmapped")</f>
        <v>Mid-size Sedan</v>
      </c>
      <c r="N855" t="str">
        <f>IFERROR(VLOOKUP(L855,Model_Assumptions!$A:$D,3,0),"Unmapped")</f>
        <v>Hybrid</v>
      </c>
      <c r="O855">
        <f>IFERROR(VLOOKUP(L855,Model_Assumptions!$A:$D,4,0),0)</f>
        <v>1950000</v>
      </c>
      <c r="P855">
        <f>IFERROR(VLOOKUP(J855,Source_Assumptions!$A:$C,3,0),0)</f>
        <v>150</v>
      </c>
    </row>
    <row r="856" spans="1:16" x14ac:dyDescent="0.3">
      <c r="A856">
        <f>Raw_Data!A856</f>
        <v>855</v>
      </c>
      <c r="B856" s="2">
        <f>Raw_Data!B856</f>
        <v>45246</v>
      </c>
      <c r="C856">
        <f>YEAR(Raw_Data!B856)</f>
        <v>2023</v>
      </c>
      <c r="D856" t="str">
        <f>IF(MONTH(Raw_Data!B856)&gt;=4,YEAR(Raw_Data!B856)&amp;"-"&amp;RIGHT(YEAR(Raw_Data!B856)+1,2),YEAR(Raw_Data!B856)-1&amp;"-"&amp;RIGHT(YEAR(Raw_Data!B856),2))</f>
        <v>2023-24</v>
      </c>
      <c r="E856" t="str">
        <f>"Q"&amp;ROUNDUP(MONTH(Raw_Data!B856)/3,0)</f>
        <v>Q4</v>
      </c>
      <c r="F856" t="str">
        <f>TEXT(Raw_Data!B856,"mmm")</f>
        <v>Nov</v>
      </c>
      <c r="G856" t="str">
        <f>TEXT(Raw_Data!B856,"ddd")</f>
        <v>Thu</v>
      </c>
      <c r="H856" t="str">
        <f>Raw_Data!D856</f>
        <v>Invoiced</v>
      </c>
      <c r="I856" t="str">
        <f>Raw_Data!F856</f>
        <v>SMS/ Tele-Out</v>
      </c>
      <c r="J856" t="str">
        <f>Raw_Data!G856</f>
        <v>Database Activity(Teleout/SMS)</v>
      </c>
      <c r="K856" t="str">
        <f>IFERROR(VLOOKUP(J856,Source_Assumptions!$A:$C,2,0),"Unmapped")</f>
        <v>Outbound/Database</v>
      </c>
      <c r="L856" t="str">
        <f>Raw_Data!H856</f>
        <v>AMAZE Petrol</v>
      </c>
      <c r="M856" t="str">
        <f>IFERROR(VLOOKUP(L856,Model_Assumptions!$A:$D,2,0),"Unmapped")</f>
        <v>Sub-4m Sedan</v>
      </c>
      <c r="N856" t="str">
        <f>IFERROR(VLOOKUP(L856,Model_Assumptions!$A:$D,3,0),"Unmapped")</f>
        <v>Petrol</v>
      </c>
      <c r="O856">
        <f>IFERROR(VLOOKUP(L856,Model_Assumptions!$A:$D,4,0),0)</f>
        <v>850000</v>
      </c>
      <c r="P856">
        <f>IFERROR(VLOOKUP(J856,Source_Assumptions!$A:$C,3,0),0)</f>
        <v>250</v>
      </c>
    </row>
    <row r="857" spans="1:16" x14ac:dyDescent="0.3">
      <c r="A857">
        <f>Raw_Data!A857</f>
        <v>856</v>
      </c>
      <c r="B857" s="2">
        <f>Raw_Data!B857</f>
        <v>45246</v>
      </c>
      <c r="C857">
        <f>YEAR(Raw_Data!B857)</f>
        <v>2023</v>
      </c>
      <c r="D857" t="str">
        <f>IF(MONTH(Raw_Data!B857)&gt;=4,YEAR(Raw_Data!B857)&amp;"-"&amp;RIGHT(YEAR(Raw_Data!B857)+1,2),YEAR(Raw_Data!B857)-1&amp;"-"&amp;RIGHT(YEAR(Raw_Data!B857),2))</f>
        <v>2023-24</v>
      </c>
      <c r="E857" t="str">
        <f>"Q"&amp;ROUNDUP(MONTH(Raw_Data!B857)/3,0)</f>
        <v>Q4</v>
      </c>
      <c r="F857" t="str">
        <f>TEXT(Raw_Data!B857,"mmm")</f>
        <v>Nov</v>
      </c>
      <c r="G857" t="str">
        <f>TEXT(Raw_Data!B857,"ddd")</f>
        <v>Thu</v>
      </c>
      <c r="H857" t="str">
        <f>Raw_Data!D857</f>
        <v>Invoiced</v>
      </c>
      <c r="I857" t="str">
        <f>Raw_Data!F857</f>
        <v>Tele-in</v>
      </c>
      <c r="J857" t="str">
        <f>Raw_Data!G857</f>
        <v>Dealer Webpage Tele-In</v>
      </c>
      <c r="K857" t="str">
        <f>IFERROR(VLOOKUP(J857,Source_Assumptions!$A:$C,2,0),"Unmapped")</f>
        <v>Digital - Owned</v>
      </c>
      <c r="L857" t="str">
        <f>Raw_Data!H857</f>
        <v>AMAZE Petrol</v>
      </c>
      <c r="M857" t="str">
        <f>IFERROR(VLOOKUP(L857,Model_Assumptions!$A:$D,2,0),"Unmapped")</f>
        <v>Sub-4m Sedan</v>
      </c>
      <c r="N857" t="str">
        <f>IFERROR(VLOOKUP(L857,Model_Assumptions!$A:$D,3,0),"Unmapped")</f>
        <v>Petrol</v>
      </c>
      <c r="O857">
        <f>IFERROR(VLOOKUP(L857,Model_Assumptions!$A:$D,4,0),0)</f>
        <v>850000</v>
      </c>
      <c r="P857">
        <f>IFERROR(VLOOKUP(J857,Source_Assumptions!$A:$C,3,0),0)</f>
        <v>300</v>
      </c>
    </row>
    <row r="858" spans="1:16" x14ac:dyDescent="0.3">
      <c r="A858">
        <f>Raw_Data!A858</f>
        <v>857</v>
      </c>
      <c r="B858" s="2">
        <f>Raw_Data!B858</f>
        <v>45247</v>
      </c>
      <c r="C858">
        <f>YEAR(Raw_Data!B858)</f>
        <v>2023</v>
      </c>
      <c r="D858" t="str">
        <f>IF(MONTH(Raw_Data!B858)&gt;=4,YEAR(Raw_Data!B858)&amp;"-"&amp;RIGHT(YEAR(Raw_Data!B858)+1,2),YEAR(Raw_Data!B858)-1&amp;"-"&amp;RIGHT(YEAR(Raw_Data!B858),2))</f>
        <v>2023-24</v>
      </c>
      <c r="E858" t="str">
        <f>"Q"&amp;ROUNDUP(MONTH(Raw_Data!B858)/3,0)</f>
        <v>Q4</v>
      </c>
      <c r="F858" t="str">
        <f>TEXT(Raw_Data!B858,"mmm")</f>
        <v>Nov</v>
      </c>
      <c r="G858" t="str">
        <f>TEXT(Raw_Data!B858,"ddd")</f>
        <v>Fri</v>
      </c>
      <c r="H858" t="str">
        <f>Raw_Data!D858</f>
        <v>Invoiced</v>
      </c>
      <c r="I858" t="str">
        <f>Raw_Data!F858</f>
        <v>Tele-in</v>
      </c>
      <c r="J858" t="str">
        <f>Raw_Data!G858</f>
        <v>Referral-CAM</v>
      </c>
      <c r="K858" t="str">
        <f>IFERROR(VLOOKUP(J858,Source_Assumptions!$A:$C,2,0),"Unmapped")</f>
        <v>Referral</v>
      </c>
      <c r="L858" t="str">
        <f>Raw_Data!H858</f>
        <v>ELEVATE</v>
      </c>
      <c r="M858" t="str">
        <f>IFERROR(VLOOKUP(L858,Model_Assumptions!$A:$D,2,0),"Unmapped")</f>
        <v>Compact SUV</v>
      </c>
      <c r="N858" t="str">
        <f>IFERROR(VLOOKUP(L858,Model_Assumptions!$A:$D,3,0),"Unmapped")</f>
        <v>Petrol</v>
      </c>
      <c r="O858">
        <f>IFERROR(VLOOKUP(L858,Model_Assumptions!$A:$D,4,0),0)</f>
        <v>1300000</v>
      </c>
      <c r="P858">
        <f>IFERROR(VLOOKUP(J858,Source_Assumptions!$A:$C,3,0),0)</f>
        <v>150</v>
      </c>
    </row>
    <row r="859" spans="1:16" x14ac:dyDescent="0.3">
      <c r="A859">
        <f>Raw_Data!A859</f>
        <v>858</v>
      </c>
      <c r="B859" s="2">
        <f>Raw_Data!B859</f>
        <v>45247</v>
      </c>
      <c r="C859">
        <f>YEAR(Raw_Data!B859)</f>
        <v>2023</v>
      </c>
      <c r="D859" t="str">
        <f>IF(MONTH(Raw_Data!B859)&gt;=4,YEAR(Raw_Data!B859)&amp;"-"&amp;RIGHT(YEAR(Raw_Data!B859)+1,2),YEAR(Raw_Data!B859)-1&amp;"-"&amp;RIGHT(YEAR(Raw_Data!B859),2))</f>
        <v>2023-24</v>
      </c>
      <c r="E859" t="str">
        <f>"Q"&amp;ROUNDUP(MONTH(Raw_Data!B859)/3,0)</f>
        <v>Q4</v>
      </c>
      <c r="F859" t="str">
        <f>TEXT(Raw_Data!B859,"mmm")</f>
        <v>Nov</v>
      </c>
      <c r="G859" t="str">
        <f>TEXT(Raw_Data!B859,"ddd")</f>
        <v>Fri</v>
      </c>
      <c r="H859" t="str">
        <f>Raw_Data!D859</f>
        <v>Invoiced</v>
      </c>
      <c r="I859" t="str">
        <f>Raw_Data!F859</f>
        <v>Tele-in</v>
      </c>
      <c r="J859" t="str">
        <f>Raw_Data!G859</f>
        <v>Referral-CAM</v>
      </c>
      <c r="K859" t="str">
        <f>IFERROR(VLOOKUP(J859,Source_Assumptions!$A:$C,2,0),"Unmapped")</f>
        <v>Referral</v>
      </c>
      <c r="L859" t="str">
        <f>Raw_Data!H859</f>
        <v>5TH GEN CITY PE</v>
      </c>
      <c r="M859" t="str">
        <f>IFERROR(VLOOKUP(L859,Model_Assumptions!$A:$D,2,0),"Unmapped")</f>
        <v>Mid-size Sedan</v>
      </c>
      <c r="N859" t="str">
        <f>IFERROR(VLOOKUP(L859,Model_Assumptions!$A:$D,3,0),"Unmapped")</f>
        <v>Petrol</v>
      </c>
      <c r="O859">
        <f>IFERROR(VLOOKUP(L859,Model_Assumptions!$A:$D,4,0),0)</f>
        <v>1250000</v>
      </c>
      <c r="P859">
        <f>IFERROR(VLOOKUP(J859,Source_Assumptions!$A:$C,3,0),0)</f>
        <v>150</v>
      </c>
    </row>
    <row r="860" spans="1:16" x14ac:dyDescent="0.3">
      <c r="A860">
        <f>Raw_Data!A860</f>
        <v>859</v>
      </c>
      <c r="B860" s="2">
        <f>Raw_Data!B860</f>
        <v>45248</v>
      </c>
      <c r="C860">
        <f>YEAR(Raw_Data!B860)</f>
        <v>2023</v>
      </c>
      <c r="D860" t="str">
        <f>IF(MONTH(Raw_Data!B860)&gt;=4,YEAR(Raw_Data!B860)&amp;"-"&amp;RIGHT(YEAR(Raw_Data!B860)+1,2),YEAR(Raw_Data!B860)-1&amp;"-"&amp;RIGHT(YEAR(Raw_Data!B860),2))</f>
        <v>2023-24</v>
      </c>
      <c r="E860" t="str">
        <f>"Q"&amp;ROUNDUP(MONTH(Raw_Data!B860)/3,0)</f>
        <v>Q4</v>
      </c>
      <c r="F860" t="str">
        <f>TEXT(Raw_Data!B860,"mmm")</f>
        <v>Nov</v>
      </c>
      <c r="G860" t="str">
        <f>TEXT(Raw_Data!B860,"ddd")</f>
        <v>Sat</v>
      </c>
      <c r="H860" t="str">
        <f>Raw_Data!D860</f>
        <v>Invoiced</v>
      </c>
      <c r="I860" t="str">
        <f>Raw_Data!F860</f>
        <v>Tele-in</v>
      </c>
      <c r="J860" t="str">
        <f>Raw_Data!G860</f>
        <v>Dealer Webpage Tele-In</v>
      </c>
      <c r="K860" t="str">
        <f>IFERROR(VLOOKUP(J860,Source_Assumptions!$A:$C,2,0),"Unmapped")</f>
        <v>Digital - Owned</v>
      </c>
      <c r="L860" t="str">
        <f>Raw_Data!H860</f>
        <v>ELEVATE</v>
      </c>
      <c r="M860" t="str">
        <f>IFERROR(VLOOKUP(L860,Model_Assumptions!$A:$D,2,0),"Unmapped")</f>
        <v>Compact SUV</v>
      </c>
      <c r="N860" t="str">
        <f>IFERROR(VLOOKUP(L860,Model_Assumptions!$A:$D,3,0),"Unmapped")</f>
        <v>Petrol</v>
      </c>
      <c r="O860">
        <f>IFERROR(VLOOKUP(L860,Model_Assumptions!$A:$D,4,0),0)</f>
        <v>1300000</v>
      </c>
      <c r="P860">
        <f>IFERROR(VLOOKUP(J860,Source_Assumptions!$A:$C,3,0),0)</f>
        <v>300</v>
      </c>
    </row>
    <row r="861" spans="1:16" x14ac:dyDescent="0.3">
      <c r="A861">
        <f>Raw_Data!A861</f>
        <v>860</v>
      </c>
      <c r="B861" s="2">
        <f>Raw_Data!B861</f>
        <v>45248</v>
      </c>
      <c r="C861">
        <f>YEAR(Raw_Data!B861)</f>
        <v>2023</v>
      </c>
      <c r="D861" t="str">
        <f>IF(MONTH(Raw_Data!B861)&gt;=4,YEAR(Raw_Data!B861)&amp;"-"&amp;RIGHT(YEAR(Raw_Data!B861)+1,2),YEAR(Raw_Data!B861)-1&amp;"-"&amp;RIGHT(YEAR(Raw_Data!B861),2))</f>
        <v>2023-24</v>
      </c>
      <c r="E861" t="str">
        <f>"Q"&amp;ROUNDUP(MONTH(Raw_Data!B861)/3,0)</f>
        <v>Q4</v>
      </c>
      <c r="F861" t="str">
        <f>TEXT(Raw_Data!B861,"mmm")</f>
        <v>Nov</v>
      </c>
      <c r="G861" t="str">
        <f>TEXT(Raw_Data!B861,"ddd")</f>
        <v>Sat</v>
      </c>
      <c r="H861" t="str">
        <f>Raw_Data!D861</f>
        <v>Invoiced</v>
      </c>
      <c r="I861" t="str">
        <f>Raw_Data!F861</f>
        <v>Web Lead</v>
      </c>
      <c r="J861" t="str">
        <f>Raw_Data!G861</f>
        <v>Web_Facebook</v>
      </c>
      <c r="K861" t="str">
        <f>IFERROR(VLOOKUP(J861,Source_Assumptions!$A:$C,2,0),"Unmapped")</f>
        <v>Digital - Paid Social</v>
      </c>
      <c r="L861" t="str">
        <f>Raw_Data!H861</f>
        <v>ELEVATE</v>
      </c>
      <c r="M861" t="str">
        <f>IFERROR(VLOOKUP(L861,Model_Assumptions!$A:$D,2,0),"Unmapped")</f>
        <v>Compact SUV</v>
      </c>
      <c r="N861" t="str">
        <f>IFERROR(VLOOKUP(L861,Model_Assumptions!$A:$D,3,0),"Unmapped")</f>
        <v>Petrol</v>
      </c>
      <c r="O861">
        <f>IFERROR(VLOOKUP(L861,Model_Assumptions!$A:$D,4,0),0)</f>
        <v>1300000</v>
      </c>
      <c r="P861">
        <f>IFERROR(VLOOKUP(J861,Source_Assumptions!$A:$C,3,0),0)</f>
        <v>600</v>
      </c>
    </row>
    <row r="862" spans="1:16" x14ac:dyDescent="0.3">
      <c r="A862">
        <f>Raw_Data!A862</f>
        <v>861</v>
      </c>
      <c r="B862" s="2">
        <f>Raw_Data!B862</f>
        <v>45251</v>
      </c>
      <c r="C862">
        <f>YEAR(Raw_Data!B862)</f>
        <v>2023</v>
      </c>
      <c r="D862" t="str">
        <f>IF(MONTH(Raw_Data!B862)&gt;=4,YEAR(Raw_Data!B862)&amp;"-"&amp;RIGHT(YEAR(Raw_Data!B862)+1,2),YEAR(Raw_Data!B862)-1&amp;"-"&amp;RIGHT(YEAR(Raw_Data!B862),2))</f>
        <v>2023-24</v>
      </c>
      <c r="E862" t="str">
        <f>"Q"&amp;ROUNDUP(MONTH(Raw_Data!B862)/3,0)</f>
        <v>Q4</v>
      </c>
      <c r="F862" t="str">
        <f>TEXT(Raw_Data!B862,"mmm")</f>
        <v>Nov</v>
      </c>
      <c r="G862" t="str">
        <f>TEXT(Raw_Data!B862,"ddd")</f>
        <v>Tue</v>
      </c>
      <c r="H862" t="str">
        <f>Raw_Data!D862</f>
        <v>Invoiced</v>
      </c>
      <c r="I862" t="str">
        <f>Raw_Data!F862</f>
        <v>Web Lead</v>
      </c>
      <c r="J862" t="str">
        <f>Raw_Data!G862</f>
        <v>Web_Facebook</v>
      </c>
      <c r="K862" t="str">
        <f>IFERROR(VLOOKUP(J862,Source_Assumptions!$A:$C,2,0),"Unmapped")</f>
        <v>Digital - Paid Social</v>
      </c>
      <c r="L862" t="str">
        <f>Raw_Data!H862</f>
        <v>ELEVATE</v>
      </c>
      <c r="M862" t="str">
        <f>IFERROR(VLOOKUP(L862,Model_Assumptions!$A:$D,2,0),"Unmapped")</f>
        <v>Compact SUV</v>
      </c>
      <c r="N862" t="str">
        <f>IFERROR(VLOOKUP(L862,Model_Assumptions!$A:$D,3,0),"Unmapped")</f>
        <v>Petrol</v>
      </c>
      <c r="O862">
        <f>IFERROR(VLOOKUP(L862,Model_Assumptions!$A:$D,4,0),0)</f>
        <v>1300000</v>
      </c>
      <c r="P862">
        <f>IFERROR(VLOOKUP(J862,Source_Assumptions!$A:$C,3,0),0)</f>
        <v>600</v>
      </c>
    </row>
    <row r="863" spans="1:16" x14ac:dyDescent="0.3">
      <c r="A863">
        <f>Raw_Data!A863</f>
        <v>862</v>
      </c>
      <c r="B863" s="2">
        <f>Raw_Data!B863</f>
        <v>45252</v>
      </c>
      <c r="C863">
        <f>YEAR(Raw_Data!B863)</f>
        <v>2023</v>
      </c>
      <c r="D863" t="str">
        <f>IF(MONTH(Raw_Data!B863)&gt;=4,YEAR(Raw_Data!B863)&amp;"-"&amp;RIGHT(YEAR(Raw_Data!B863)+1,2),YEAR(Raw_Data!B863)-1&amp;"-"&amp;RIGHT(YEAR(Raw_Data!B863),2))</f>
        <v>2023-24</v>
      </c>
      <c r="E863" t="str">
        <f>"Q"&amp;ROUNDUP(MONTH(Raw_Data!B863)/3,0)</f>
        <v>Q4</v>
      </c>
      <c r="F863" t="str">
        <f>TEXT(Raw_Data!B863,"mmm")</f>
        <v>Nov</v>
      </c>
      <c r="G863" t="str">
        <f>TEXT(Raw_Data!B863,"ddd")</f>
        <v>Wed</v>
      </c>
      <c r="H863" t="str">
        <f>Raw_Data!D863</f>
        <v>Invoiced</v>
      </c>
      <c r="I863" t="str">
        <f>Raw_Data!F863</f>
        <v>SMS/ Tele-Out</v>
      </c>
      <c r="J863" t="str">
        <f>Raw_Data!G863</f>
        <v>Database Activity(Teleout/SMS)</v>
      </c>
      <c r="K863" t="str">
        <f>IFERROR(VLOOKUP(J863,Source_Assumptions!$A:$C,2,0),"Unmapped")</f>
        <v>Outbound/Database</v>
      </c>
      <c r="L863" t="str">
        <f>Raw_Data!H863</f>
        <v>ELEVATE</v>
      </c>
      <c r="M863" t="str">
        <f>IFERROR(VLOOKUP(L863,Model_Assumptions!$A:$D,2,0),"Unmapped")</f>
        <v>Compact SUV</v>
      </c>
      <c r="N863" t="str">
        <f>IFERROR(VLOOKUP(L863,Model_Assumptions!$A:$D,3,0),"Unmapped")</f>
        <v>Petrol</v>
      </c>
      <c r="O863">
        <f>IFERROR(VLOOKUP(L863,Model_Assumptions!$A:$D,4,0),0)</f>
        <v>1300000</v>
      </c>
      <c r="P863">
        <f>IFERROR(VLOOKUP(J863,Source_Assumptions!$A:$C,3,0),0)</f>
        <v>250</v>
      </c>
    </row>
    <row r="864" spans="1:16" x14ac:dyDescent="0.3">
      <c r="A864">
        <f>Raw_Data!A864</f>
        <v>863</v>
      </c>
      <c r="B864" s="2">
        <f>Raw_Data!B864</f>
        <v>45254</v>
      </c>
      <c r="C864">
        <f>YEAR(Raw_Data!B864)</f>
        <v>2023</v>
      </c>
      <c r="D864" t="str">
        <f>IF(MONTH(Raw_Data!B864)&gt;=4,YEAR(Raw_Data!B864)&amp;"-"&amp;RIGHT(YEAR(Raw_Data!B864)+1,2),YEAR(Raw_Data!B864)-1&amp;"-"&amp;RIGHT(YEAR(Raw_Data!B864),2))</f>
        <v>2023-24</v>
      </c>
      <c r="E864" t="str">
        <f>"Q"&amp;ROUNDUP(MONTH(Raw_Data!B864)/3,0)</f>
        <v>Q4</v>
      </c>
      <c r="F864" t="str">
        <f>TEXT(Raw_Data!B864,"mmm")</f>
        <v>Nov</v>
      </c>
      <c r="G864" t="str">
        <f>TEXT(Raw_Data!B864,"ddd")</f>
        <v>Fri</v>
      </c>
      <c r="H864" t="str">
        <f>Raw_Data!D864</f>
        <v>Invoiced</v>
      </c>
      <c r="I864" t="str">
        <f>Raw_Data!F864</f>
        <v>Walk-in Showroom</v>
      </c>
      <c r="J864" t="str">
        <f>Raw_Data!G864</f>
        <v>Adver. (TVC/Print/Hoarding/FM)</v>
      </c>
      <c r="K864" t="str">
        <f>IFERROR(VLOOKUP(J864,Source_Assumptions!$A:$C,2,0),"Unmapped")</f>
        <v>Traditional Advertising</v>
      </c>
      <c r="L864" t="str">
        <f>Raw_Data!H864</f>
        <v>5TH GEN CITY PE</v>
      </c>
      <c r="M864" t="str">
        <f>IFERROR(VLOOKUP(L864,Model_Assumptions!$A:$D,2,0),"Unmapped")</f>
        <v>Mid-size Sedan</v>
      </c>
      <c r="N864" t="str">
        <f>IFERROR(VLOOKUP(L864,Model_Assumptions!$A:$D,3,0),"Unmapped")</f>
        <v>Petrol</v>
      </c>
      <c r="O864">
        <f>IFERROR(VLOOKUP(L864,Model_Assumptions!$A:$D,4,0),0)</f>
        <v>1250000</v>
      </c>
      <c r="P864">
        <f>IFERROR(VLOOKUP(J864,Source_Assumptions!$A:$C,3,0),0)</f>
        <v>1200</v>
      </c>
    </row>
    <row r="865" spans="1:16" x14ac:dyDescent="0.3">
      <c r="A865">
        <f>Raw_Data!A865</f>
        <v>864</v>
      </c>
      <c r="B865" s="2">
        <f>Raw_Data!B865</f>
        <v>45254</v>
      </c>
      <c r="C865">
        <f>YEAR(Raw_Data!B865)</f>
        <v>2023</v>
      </c>
      <c r="D865" t="str">
        <f>IF(MONTH(Raw_Data!B865)&gt;=4,YEAR(Raw_Data!B865)&amp;"-"&amp;RIGHT(YEAR(Raw_Data!B865)+1,2),YEAR(Raw_Data!B865)-1&amp;"-"&amp;RIGHT(YEAR(Raw_Data!B865),2))</f>
        <v>2023-24</v>
      </c>
      <c r="E865" t="str">
        <f>"Q"&amp;ROUNDUP(MONTH(Raw_Data!B865)/3,0)</f>
        <v>Q4</v>
      </c>
      <c r="F865" t="str">
        <f>TEXT(Raw_Data!B865,"mmm")</f>
        <v>Nov</v>
      </c>
      <c r="G865" t="str">
        <f>TEXT(Raw_Data!B865,"ddd")</f>
        <v>Fri</v>
      </c>
      <c r="H865" t="str">
        <f>Raw_Data!D865</f>
        <v>Invoiced</v>
      </c>
      <c r="I865" t="str">
        <f>Raw_Data!F865</f>
        <v>Tele-in</v>
      </c>
      <c r="J865" t="str">
        <f>Raw_Data!G865</f>
        <v>Dealer Webpage Tele-In</v>
      </c>
      <c r="K865" t="str">
        <f>IFERROR(VLOOKUP(J865,Source_Assumptions!$A:$C,2,0),"Unmapped")</f>
        <v>Digital - Owned</v>
      </c>
      <c r="L865" t="str">
        <f>Raw_Data!H865</f>
        <v>AMAZE Petrol</v>
      </c>
      <c r="M865" t="str">
        <f>IFERROR(VLOOKUP(L865,Model_Assumptions!$A:$D,2,0),"Unmapped")</f>
        <v>Sub-4m Sedan</v>
      </c>
      <c r="N865" t="str">
        <f>IFERROR(VLOOKUP(L865,Model_Assumptions!$A:$D,3,0),"Unmapped")</f>
        <v>Petrol</v>
      </c>
      <c r="O865">
        <f>IFERROR(VLOOKUP(L865,Model_Assumptions!$A:$D,4,0),0)</f>
        <v>850000</v>
      </c>
      <c r="P865">
        <f>IFERROR(VLOOKUP(J865,Source_Assumptions!$A:$C,3,0),0)</f>
        <v>300</v>
      </c>
    </row>
    <row r="866" spans="1:16" x14ac:dyDescent="0.3">
      <c r="A866">
        <f>Raw_Data!A866</f>
        <v>865</v>
      </c>
      <c r="B866" s="2">
        <f>Raw_Data!B866</f>
        <v>45254</v>
      </c>
      <c r="C866">
        <f>YEAR(Raw_Data!B866)</f>
        <v>2023</v>
      </c>
      <c r="D866" t="str">
        <f>IF(MONTH(Raw_Data!B866)&gt;=4,YEAR(Raw_Data!B866)&amp;"-"&amp;RIGHT(YEAR(Raw_Data!B866)+1,2),YEAR(Raw_Data!B866)-1&amp;"-"&amp;RIGHT(YEAR(Raw_Data!B866),2))</f>
        <v>2023-24</v>
      </c>
      <c r="E866" t="str">
        <f>"Q"&amp;ROUNDUP(MONTH(Raw_Data!B866)/3,0)</f>
        <v>Q4</v>
      </c>
      <c r="F866" t="str">
        <f>TEXT(Raw_Data!B866,"mmm")</f>
        <v>Nov</v>
      </c>
      <c r="G866" t="str">
        <f>TEXT(Raw_Data!B866,"ddd")</f>
        <v>Fri</v>
      </c>
      <c r="H866" t="str">
        <f>Raw_Data!D866</f>
        <v>Invoiced</v>
      </c>
      <c r="I866" t="str">
        <f>Raw_Data!F866</f>
        <v>Tele-in</v>
      </c>
      <c r="J866" t="str">
        <f>Raw_Data!G866</f>
        <v>Dealer Webpage Tele-In</v>
      </c>
      <c r="K866" t="str">
        <f>IFERROR(VLOOKUP(J866,Source_Assumptions!$A:$C,2,0),"Unmapped")</f>
        <v>Digital - Owned</v>
      </c>
      <c r="L866" t="str">
        <f>Raw_Data!H866</f>
        <v>ELEVATE</v>
      </c>
      <c r="M866" t="str">
        <f>IFERROR(VLOOKUP(L866,Model_Assumptions!$A:$D,2,0),"Unmapped")</f>
        <v>Compact SUV</v>
      </c>
      <c r="N866" t="str">
        <f>IFERROR(VLOOKUP(L866,Model_Assumptions!$A:$D,3,0),"Unmapped")</f>
        <v>Petrol</v>
      </c>
      <c r="O866">
        <f>IFERROR(VLOOKUP(L866,Model_Assumptions!$A:$D,4,0),0)</f>
        <v>1300000</v>
      </c>
      <c r="P866">
        <f>IFERROR(VLOOKUP(J866,Source_Assumptions!$A:$C,3,0),0)</f>
        <v>300</v>
      </c>
    </row>
    <row r="867" spans="1:16" x14ac:dyDescent="0.3">
      <c r="A867">
        <f>Raw_Data!A867</f>
        <v>866</v>
      </c>
      <c r="B867" s="2">
        <f>Raw_Data!B867</f>
        <v>45254</v>
      </c>
      <c r="C867">
        <f>YEAR(Raw_Data!B867)</f>
        <v>2023</v>
      </c>
      <c r="D867" t="str">
        <f>IF(MONTH(Raw_Data!B867)&gt;=4,YEAR(Raw_Data!B867)&amp;"-"&amp;RIGHT(YEAR(Raw_Data!B867)+1,2),YEAR(Raw_Data!B867)-1&amp;"-"&amp;RIGHT(YEAR(Raw_Data!B867),2))</f>
        <v>2023-24</v>
      </c>
      <c r="E867" t="str">
        <f>"Q"&amp;ROUNDUP(MONTH(Raw_Data!B867)/3,0)</f>
        <v>Q4</v>
      </c>
      <c r="F867" t="str">
        <f>TEXT(Raw_Data!B867,"mmm")</f>
        <v>Nov</v>
      </c>
      <c r="G867" t="str">
        <f>TEXT(Raw_Data!B867,"ddd")</f>
        <v>Fri</v>
      </c>
      <c r="H867" t="str">
        <f>Raw_Data!D867</f>
        <v>Invoiced</v>
      </c>
      <c r="I867" t="str">
        <f>Raw_Data!F867</f>
        <v>Tele-in</v>
      </c>
      <c r="J867" t="str">
        <f>Raw_Data!G867</f>
        <v>Referral-CAM</v>
      </c>
      <c r="K867" t="str">
        <f>IFERROR(VLOOKUP(J867,Source_Assumptions!$A:$C,2,0),"Unmapped")</f>
        <v>Referral</v>
      </c>
      <c r="L867" t="str">
        <f>Raw_Data!H867</f>
        <v>ELEVATE</v>
      </c>
      <c r="M867" t="str">
        <f>IFERROR(VLOOKUP(L867,Model_Assumptions!$A:$D,2,0),"Unmapped")</f>
        <v>Compact SUV</v>
      </c>
      <c r="N867" t="str">
        <f>IFERROR(VLOOKUP(L867,Model_Assumptions!$A:$D,3,0),"Unmapped")</f>
        <v>Petrol</v>
      </c>
      <c r="O867">
        <f>IFERROR(VLOOKUP(L867,Model_Assumptions!$A:$D,4,0),0)</f>
        <v>1300000</v>
      </c>
      <c r="P867">
        <f>IFERROR(VLOOKUP(J867,Source_Assumptions!$A:$C,3,0),0)</f>
        <v>150</v>
      </c>
    </row>
    <row r="868" spans="1:16" x14ac:dyDescent="0.3">
      <c r="A868">
        <f>Raw_Data!A868</f>
        <v>867</v>
      </c>
      <c r="B868" s="2">
        <f>Raw_Data!B868</f>
        <v>45255</v>
      </c>
      <c r="C868">
        <f>YEAR(Raw_Data!B868)</f>
        <v>2023</v>
      </c>
      <c r="D868" t="str">
        <f>IF(MONTH(Raw_Data!B868)&gt;=4,YEAR(Raw_Data!B868)&amp;"-"&amp;RIGHT(YEAR(Raw_Data!B868)+1,2),YEAR(Raw_Data!B868)-1&amp;"-"&amp;RIGHT(YEAR(Raw_Data!B868),2))</f>
        <v>2023-24</v>
      </c>
      <c r="E868" t="str">
        <f>"Q"&amp;ROUNDUP(MONTH(Raw_Data!B868)/3,0)</f>
        <v>Q4</v>
      </c>
      <c r="F868" t="str">
        <f>TEXT(Raw_Data!B868,"mmm")</f>
        <v>Nov</v>
      </c>
      <c r="G868" t="str">
        <f>TEXT(Raw_Data!B868,"ddd")</f>
        <v>Sat</v>
      </c>
      <c r="H868" t="str">
        <f>Raw_Data!D868</f>
        <v>Invoiced</v>
      </c>
      <c r="I868" t="str">
        <f>Raw_Data!F868</f>
        <v>Tele-in</v>
      </c>
      <c r="J868" t="str">
        <f>Raw_Data!G868</f>
        <v>Dealer Webpage Tele-In</v>
      </c>
      <c r="K868" t="str">
        <f>IFERROR(VLOOKUP(J868,Source_Assumptions!$A:$C,2,0),"Unmapped")</f>
        <v>Digital - Owned</v>
      </c>
      <c r="L868" t="str">
        <f>Raw_Data!H868</f>
        <v>5TH GEN CITY e:HEV</v>
      </c>
      <c r="M868" t="str">
        <f>IFERROR(VLOOKUP(L868,Model_Assumptions!$A:$D,2,0),"Unmapped")</f>
        <v>Mid-size Sedan</v>
      </c>
      <c r="N868" t="str">
        <f>IFERROR(VLOOKUP(L868,Model_Assumptions!$A:$D,3,0),"Unmapped")</f>
        <v>Hybrid</v>
      </c>
      <c r="O868">
        <f>IFERROR(VLOOKUP(L868,Model_Assumptions!$A:$D,4,0),0)</f>
        <v>1950000</v>
      </c>
      <c r="P868">
        <f>IFERROR(VLOOKUP(J868,Source_Assumptions!$A:$C,3,0),0)</f>
        <v>300</v>
      </c>
    </row>
    <row r="869" spans="1:16" x14ac:dyDescent="0.3">
      <c r="A869">
        <f>Raw_Data!A869</f>
        <v>868</v>
      </c>
      <c r="B869" s="2">
        <f>Raw_Data!B869</f>
        <v>45255</v>
      </c>
      <c r="C869">
        <f>YEAR(Raw_Data!B869)</f>
        <v>2023</v>
      </c>
      <c r="D869" t="str">
        <f>IF(MONTH(Raw_Data!B869)&gt;=4,YEAR(Raw_Data!B869)&amp;"-"&amp;RIGHT(YEAR(Raw_Data!B869)+1,2),YEAR(Raw_Data!B869)-1&amp;"-"&amp;RIGHT(YEAR(Raw_Data!B869),2))</f>
        <v>2023-24</v>
      </c>
      <c r="E869" t="str">
        <f>"Q"&amp;ROUNDUP(MONTH(Raw_Data!B869)/3,0)</f>
        <v>Q4</v>
      </c>
      <c r="F869" t="str">
        <f>TEXT(Raw_Data!B869,"mmm")</f>
        <v>Nov</v>
      </c>
      <c r="G869" t="str">
        <f>TEXT(Raw_Data!B869,"ddd")</f>
        <v>Sat</v>
      </c>
      <c r="H869" t="str">
        <f>Raw_Data!D869</f>
        <v>Invoiced</v>
      </c>
      <c r="I869" t="str">
        <f>Raw_Data!F869</f>
        <v>Walk-in Showroom</v>
      </c>
      <c r="J869" t="str">
        <f>Raw_Data!G869</f>
        <v>Adver. (TVC/Print/Hoarding/FM)</v>
      </c>
      <c r="K869" t="str">
        <f>IFERROR(VLOOKUP(J869,Source_Assumptions!$A:$C,2,0),"Unmapped")</f>
        <v>Traditional Advertising</v>
      </c>
      <c r="L869" t="str">
        <f>Raw_Data!H869</f>
        <v>5TH GEN CITY PE</v>
      </c>
      <c r="M869" t="str">
        <f>IFERROR(VLOOKUP(L869,Model_Assumptions!$A:$D,2,0),"Unmapped")</f>
        <v>Mid-size Sedan</v>
      </c>
      <c r="N869" t="str">
        <f>IFERROR(VLOOKUP(L869,Model_Assumptions!$A:$D,3,0),"Unmapped")</f>
        <v>Petrol</v>
      </c>
      <c r="O869">
        <f>IFERROR(VLOOKUP(L869,Model_Assumptions!$A:$D,4,0),0)</f>
        <v>1250000</v>
      </c>
      <c r="P869">
        <f>IFERROR(VLOOKUP(J869,Source_Assumptions!$A:$C,3,0),0)</f>
        <v>1200</v>
      </c>
    </row>
    <row r="870" spans="1:16" x14ac:dyDescent="0.3">
      <c r="A870">
        <f>Raw_Data!A870</f>
        <v>869</v>
      </c>
      <c r="B870" s="2">
        <f>Raw_Data!B870</f>
        <v>45255</v>
      </c>
      <c r="C870">
        <f>YEAR(Raw_Data!B870)</f>
        <v>2023</v>
      </c>
      <c r="D870" t="str">
        <f>IF(MONTH(Raw_Data!B870)&gt;=4,YEAR(Raw_Data!B870)&amp;"-"&amp;RIGHT(YEAR(Raw_Data!B870)+1,2),YEAR(Raw_Data!B870)-1&amp;"-"&amp;RIGHT(YEAR(Raw_Data!B870),2))</f>
        <v>2023-24</v>
      </c>
      <c r="E870" t="str">
        <f>"Q"&amp;ROUNDUP(MONTH(Raw_Data!B870)/3,0)</f>
        <v>Q4</v>
      </c>
      <c r="F870" t="str">
        <f>TEXT(Raw_Data!B870,"mmm")</f>
        <v>Nov</v>
      </c>
      <c r="G870" t="str">
        <f>TEXT(Raw_Data!B870,"ddd")</f>
        <v>Sat</v>
      </c>
      <c r="H870" t="str">
        <f>Raw_Data!D870</f>
        <v>Invoiced</v>
      </c>
      <c r="I870" t="str">
        <f>Raw_Data!F870</f>
        <v>Tele-in</v>
      </c>
      <c r="J870" t="str">
        <f>Raw_Data!G870</f>
        <v>Dealer Webpage Tele-In</v>
      </c>
      <c r="K870" t="str">
        <f>IFERROR(VLOOKUP(J870,Source_Assumptions!$A:$C,2,0),"Unmapped")</f>
        <v>Digital - Owned</v>
      </c>
      <c r="L870" t="str">
        <f>Raw_Data!H870</f>
        <v>5TH GEN CITY PE</v>
      </c>
      <c r="M870" t="str">
        <f>IFERROR(VLOOKUP(L870,Model_Assumptions!$A:$D,2,0),"Unmapped")</f>
        <v>Mid-size Sedan</v>
      </c>
      <c r="N870" t="str">
        <f>IFERROR(VLOOKUP(L870,Model_Assumptions!$A:$D,3,0),"Unmapped")</f>
        <v>Petrol</v>
      </c>
      <c r="O870">
        <f>IFERROR(VLOOKUP(L870,Model_Assumptions!$A:$D,4,0),0)</f>
        <v>1250000</v>
      </c>
      <c r="P870">
        <f>IFERROR(VLOOKUP(J870,Source_Assumptions!$A:$C,3,0),0)</f>
        <v>300</v>
      </c>
    </row>
    <row r="871" spans="1:16" x14ac:dyDescent="0.3">
      <c r="A871">
        <f>Raw_Data!A871</f>
        <v>870</v>
      </c>
      <c r="B871" s="2">
        <f>Raw_Data!B871</f>
        <v>45257</v>
      </c>
      <c r="C871">
        <f>YEAR(Raw_Data!B871)</f>
        <v>2023</v>
      </c>
      <c r="D871" t="str">
        <f>IF(MONTH(Raw_Data!B871)&gt;=4,YEAR(Raw_Data!B871)&amp;"-"&amp;RIGHT(YEAR(Raw_Data!B871)+1,2),YEAR(Raw_Data!B871)-1&amp;"-"&amp;RIGHT(YEAR(Raw_Data!B871),2))</f>
        <v>2023-24</v>
      </c>
      <c r="E871" t="str">
        <f>"Q"&amp;ROUNDUP(MONTH(Raw_Data!B871)/3,0)</f>
        <v>Q4</v>
      </c>
      <c r="F871" t="str">
        <f>TEXT(Raw_Data!B871,"mmm")</f>
        <v>Nov</v>
      </c>
      <c r="G871" t="str">
        <f>TEXT(Raw_Data!B871,"ddd")</f>
        <v>Mon</v>
      </c>
      <c r="H871" t="str">
        <f>Raw_Data!D871</f>
        <v>Invoiced</v>
      </c>
      <c r="I871" t="str">
        <f>Raw_Data!F871</f>
        <v>SMS/ Tele-Out</v>
      </c>
      <c r="J871" t="str">
        <f>Raw_Data!G871</f>
        <v>I-BAP Self</v>
      </c>
      <c r="K871" t="str">
        <f>IFERROR(VLOOKUP(J871,Source_Assumptions!$A:$C,2,0),"Unmapped")</f>
        <v>Referral (Insurance/Banking Partner)</v>
      </c>
      <c r="L871" t="str">
        <f>Raw_Data!H871</f>
        <v>ELEVATE</v>
      </c>
      <c r="M871" t="str">
        <f>IFERROR(VLOOKUP(L871,Model_Assumptions!$A:$D,2,0),"Unmapped")</f>
        <v>Compact SUV</v>
      </c>
      <c r="N871" t="str">
        <f>IFERROR(VLOOKUP(L871,Model_Assumptions!$A:$D,3,0),"Unmapped")</f>
        <v>Petrol</v>
      </c>
      <c r="O871">
        <f>IFERROR(VLOOKUP(L871,Model_Assumptions!$A:$D,4,0),0)</f>
        <v>1300000</v>
      </c>
      <c r="P871">
        <f>IFERROR(VLOOKUP(J871,Source_Assumptions!$A:$C,3,0),0)</f>
        <v>100</v>
      </c>
    </row>
    <row r="872" spans="1:16" x14ac:dyDescent="0.3">
      <c r="A872">
        <f>Raw_Data!A872</f>
        <v>871</v>
      </c>
      <c r="B872" s="2">
        <f>Raw_Data!B872</f>
        <v>45257</v>
      </c>
      <c r="C872">
        <f>YEAR(Raw_Data!B872)</f>
        <v>2023</v>
      </c>
      <c r="D872" t="str">
        <f>IF(MONTH(Raw_Data!B872)&gt;=4,YEAR(Raw_Data!B872)&amp;"-"&amp;RIGHT(YEAR(Raw_Data!B872)+1,2),YEAR(Raw_Data!B872)-1&amp;"-"&amp;RIGHT(YEAR(Raw_Data!B872),2))</f>
        <v>2023-24</v>
      </c>
      <c r="E872" t="str">
        <f>"Q"&amp;ROUNDUP(MONTH(Raw_Data!B872)/3,0)</f>
        <v>Q4</v>
      </c>
      <c r="F872" t="str">
        <f>TEXT(Raw_Data!B872,"mmm")</f>
        <v>Nov</v>
      </c>
      <c r="G872" t="str">
        <f>TEXT(Raw_Data!B872,"ddd")</f>
        <v>Mon</v>
      </c>
      <c r="H872" t="str">
        <f>Raw_Data!D872</f>
        <v>Invoiced</v>
      </c>
      <c r="I872" t="str">
        <f>Raw_Data!F872</f>
        <v>Tele-in</v>
      </c>
      <c r="J872" t="str">
        <f>Raw_Data!G872</f>
        <v>Referral-CAM</v>
      </c>
      <c r="K872" t="str">
        <f>IFERROR(VLOOKUP(J872,Source_Assumptions!$A:$C,2,0),"Unmapped")</f>
        <v>Referral</v>
      </c>
      <c r="L872" t="str">
        <f>Raw_Data!H872</f>
        <v>ELEVATE</v>
      </c>
      <c r="M872" t="str">
        <f>IFERROR(VLOOKUP(L872,Model_Assumptions!$A:$D,2,0),"Unmapped")</f>
        <v>Compact SUV</v>
      </c>
      <c r="N872" t="str">
        <f>IFERROR(VLOOKUP(L872,Model_Assumptions!$A:$D,3,0),"Unmapped")</f>
        <v>Petrol</v>
      </c>
      <c r="O872">
        <f>IFERROR(VLOOKUP(L872,Model_Assumptions!$A:$D,4,0),0)</f>
        <v>1300000</v>
      </c>
      <c r="P872">
        <f>IFERROR(VLOOKUP(J872,Source_Assumptions!$A:$C,3,0),0)</f>
        <v>150</v>
      </c>
    </row>
    <row r="873" spans="1:16" x14ac:dyDescent="0.3">
      <c r="A873">
        <f>Raw_Data!A873</f>
        <v>872</v>
      </c>
      <c r="B873" s="2">
        <f>Raw_Data!B873</f>
        <v>45257</v>
      </c>
      <c r="C873">
        <f>YEAR(Raw_Data!B873)</f>
        <v>2023</v>
      </c>
      <c r="D873" t="str">
        <f>IF(MONTH(Raw_Data!B873)&gt;=4,YEAR(Raw_Data!B873)&amp;"-"&amp;RIGHT(YEAR(Raw_Data!B873)+1,2),YEAR(Raw_Data!B873)-1&amp;"-"&amp;RIGHT(YEAR(Raw_Data!B873),2))</f>
        <v>2023-24</v>
      </c>
      <c r="E873" t="str">
        <f>"Q"&amp;ROUNDUP(MONTH(Raw_Data!B873)/3,0)</f>
        <v>Q4</v>
      </c>
      <c r="F873" t="str">
        <f>TEXT(Raw_Data!B873,"mmm")</f>
        <v>Nov</v>
      </c>
      <c r="G873" t="str">
        <f>TEXT(Raw_Data!B873,"ddd")</f>
        <v>Mon</v>
      </c>
      <c r="H873" t="str">
        <f>Raw_Data!D873</f>
        <v>Invoiced</v>
      </c>
      <c r="I873" t="str">
        <f>Raw_Data!F873</f>
        <v>Web Lead</v>
      </c>
      <c r="J873" t="str">
        <f>Raw_Data!G873</f>
        <v>Web_Organic</v>
      </c>
      <c r="K873" t="str">
        <f>IFERROR(VLOOKUP(J873,Source_Assumptions!$A:$C,2,0),"Unmapped")</f>
        <v>Digital - Organic</v>
      </c>
      <c r="L873" t="str">
        <f>Raw_Data!H873</f>
        <v>ELEVATE</v>
      </c>
      <c r="M873" t="str">
        <f>IFERROR(VLOOKUP(L873,Model_Assumptions!$A:$D,2,0),"Unmapped")</f>
        <v>Compact SUV</v>
      </c>
      <c r="N873" t="str">
        <f>IFERROR(VLOOKUP(L873,Model_Assumptions!$A:$D,3,0),"Unmapped")</f>
        <v>Petrol</v>
      </c>
      <c r="O873">
        <f>IFERROR(VLOOKUP(L873,Model_Assumptions!$A:$D,4,0),0)</f>
        <v>1300000</v>
      </c>
      <c r="P873">
        <f>IFERROR(VLOOKUP(J873,Source_Assumptions!$A:$C,3,0),0)</f>
        <v>100</v>
      </c>
    </row>
    <row r="874" spans="1:16" x14ac:dyDescent="0.3">
      <c r="A874">
        <f>Raw_Data!A874</f>
        <v>873</v>
      </c>
      <c r="B874" s="2">
        <f>Raw_Data!B874</f>
        <v>45259</v>
      </c>
      <c r="C874">
        <f>YEAR(Raw_Data!B874)</f>
        <v>2023</v>
      </c>
      <c r="D874" t="str">
        <f>IF(MONTH(Raw_Data!B874)&gt;=4,YEAR(Raw_Data!B874)&amp;"-"&amp;RIGHT(YEAR(Raw_Data!B874)+1,2),YEAR(Raw_Data!B874)-1&amp;"-"&amp;RIGHT(YEAR(Raw_Data!B874),2))</f>
        <v>2023-24</v>
      </c>
      <c r="E874" t="str">
        <f>"Q"&amp;ROUNDUP(MONTH(Raw_Data!B874)/3,0)</f>
        <v>Q4</v>
      </c>
      <c r="F874" t="str">
        <f>TEXT(Raw_Data!B874,"mmm")</f>
        <v>Nov</v>
      </c>
      <c r="G874" t="str">
        <f>TEXT(Raw_Data!B874,"ddd")</f>
        <v>Wed</v>
      </c>
      <c r="H874" t="str">
        <f>Raw_Data!D874</f>
        <v>Invoiced</v>
      </c>
      <c r="I874" t="str">
        <f>Raw_Data!F874</f>
        <v>Web Lead</v>
      </c>
      <c r="J874" t="str">
        <f>Raw_Data!G874</f>
        <v>Web_Facebook</v>
      </c>
      <c r="K874" t="str">
        <f>IFERROR(VLOOKUP(J874,Source_Assumptions!$A:$C,2,0),"Unmapped")</f>
        <v>Digital - Paid Social</v>
      </c>
      <c r="L874" t="str">
        <f>Raw_Data!H874</f>
        <v>AMAZE Petrol</v>
      </c>
      <c r="M874" t="str">
        <f>IFERROR(VLOOKUP(L874,Model_Assumptions!$A:$D,2,0),"Unmapped")</f>
        <v>Sub-4m Sedan</v>
      </c>
      <c r="N874" t="str">
        <f>IFERROR(VLOOKUP(L874,Model_Assumptions!$A:$D,3,0),"Unmapped")</f>
        <v>Petrol</v>
      </c>
      <c r="O874">
        <f>IFERROR(VLOOKUP(L874,Model_Assumptions!$A:$D,4,0),0)</f>
        <v>850000</v>
      </c>
      <c r="P874">
        <f>IFERROR(VLOOKUP(J874,Source_Assumptions!$A:$C,3,0),0)</f>
        <v>600</v>
      </c>
    </row>
    <row r="875" spans="1:16" x14ac:dyDescent="0.3">
      <c r="A875">
        <f>Raw_Data!A875</f>
        <v>874</v>
      </c>
      <c r="B875" s="2">
        <f>Raw_Data!B875</f>
        <v>45259</v>
      </c>
      <c r="C875">
        <f>YEAR(Raw_Data!B875)</f>
        <v>2023</v>
      </c>
      <c r="D875" t="str">
        <f>IF(MONTH(Raw_Data!B875)&gt;=4,YEAR(Raw_Data!B875)&amp;"-"&amp;RIGHT(YEAR(Raw_Data!B875)+1,2),YEAR(Raw_Data!B875)-1&amp;"-"&amp;RIGHT(YEAR(Raw_Data!B875),2))</f>
        <v>2023-24</v>
      </c>
      <c r="E875" t="str">
        <f>"Q"&amp;ROUNDUP(MONTH(Raw_Data!B875)/3,0)</f>
        <v>Q4</v>
      </c>
      <c r="F875" t="str">
        <f>TEXT(Raw_Data!B875,"mmm")</f>
        <v>Nov</v>
      </c>
      <c r="G875" t="str">
        <f>TEXT(Raw_Data!B875,"ddd")</f>
        <v>Wed</v>
      </c>
      <c r="H875" t="str">
        <f>Raw_Data!D875</f>
        <v>Invoiced</v>
      </c>
      <c r="I875" t="str">
        <f>Raw_Data!F875</f>
        <v>SMS/ Tele-Out</v>
      </c>
      <c r="J875" t="str">
        <f>Raw_Data!G875</f>
        <v>Database Activity(Teleout/SMS)</v>
      </c>
      <c r="K875" t="str">
        <f>IFERROR(VLOOKUP(J875,Source_Assumptions!$A:$C,2,0),"Unmapped")</f>
        <v>Outbound/Database</v>
      </c>
      <c r="L875" t="str">
        <f>Raw_Data!H875</f>
        <v>ELEVATE</v>
      </c>
      <c r="M875" t="str">
        <f>IFERROR(VLOOKUP(L875,Model_Assumptions!$A:$D,2,0),"Unmapped")</f>
        <v>Compact SUV</v>
      </c>
      <c r="N875" t="str">
        <f>IFERROR(VLOOKUP(L875,Model_Assumptions!$A:$D,3,0),"Unmapped")</f>
        <v>Petrol</v>
      </c>
      <c r="O875">
        <f>IFERROR(VLOOKUP(L875,Model_Assumptions!$A:$D,4,0),0)</f>
        <v>1300000</v>
      </c>
      <c r="P875">
        <f>IFERROR(VLOOKUP(J875,Source_Assumptions!$A:$C,3,0),0)</f>
        <v>250</v>
      </c>
    </row>
    <row r="876" spans="1:16" x14ac:dyDescent="0.3">
      <c r="A876">
        <f>Raw_Data!A876</f>
        <v>875</v>
      </c>
      <c r="B876" s="2">
        <f>Raw_Data!B876</f>
        <v>45259</v>
      </c>
      <c r="C876">
        <f>YEAR(Raw_Data!B876)</f>
        <v>2023</v>
      </c>
      <c r="D876" t="str">
        <f>IF(MONTH(Raw_Data!B876)&gt;=4,YEAR(Raw_Data!B876)&amp;"-"&amp;RIGHT(YEAR(Raw_Data!B876)+1,2),YEAR(Raw_Data!B876)-1&amp;"-"&amp;RIGHT(YEAR(Raw_Data!B876),2))</f>
        <v>2023-24</v>
      </c>
      <c r="E876" t="str">
        <f>"Q"&amp;ROUNDUP(MONTH(Raw_Data!B876)/3,0)</f>
        <v>Q4</v>
      </c>
      <c r="F876" t="str">
        <f>TEXT(Raw_Data!B876,"mmm")</f>
        <v>Nov</v>
      </c>
      <c r="G876" t="str">
        <f>TEXT(Raw_Data!B876,"ddd")</f>
        <v>Wed</v>
      </c>
      <c r="H876" t="str">
        <f>Raw_Data!D876</f>
        <v>Invoiced</v>
      </c>
      <c r="I876" t="str">
        <f>Raw_Data!F876</f>
        <v>SMS/ Tele-Out</v>
      </c>
      <c r="J876" t="str">
        <f>Raw_Data!G876</f>
        <v>Database Activity(Teleout/SMS)</v>
      </c>
      <c r="K876" t="str">
        <f>IFERROR(VLOOKUP(J876,Source_Assumptions!$A:$C,2,0),"Unmapped")</f>
        <v>Outbound/Database</v>
      </c>
      <c r="L876" t="str">
        <f>Raw_Data!H876</f>
        <v>5TH GEN CITY PE</v>
      </c>
      <c r="M876" t="str">
        <f>IFERROR(VLOOKUP(L876,Model_Assumptions!$A:$D,2,0),"Unmapped")</f>
        <v>Mid-size Sedan</v>
      </c>
      <c r="N876" t="str">
        <f>IFERROR(VLOOKUP(L876,Model_Assumptions!$A:$D,3,0),"Unmapped")</f>
        <v>Petrol</v>
      </c>
      <c r="O876">
        <f>IFERROR(VLOOKUP(L876,Model_Assumptions!$A:$D,4,0),0)</f>
        <v>1250000</v>
      </c>
      <c r="P876">
        <f>IFERROR(VLOOKUP(J876,Source_Assumptions!$A:$C,3,0),0)</f>
        <v>250</v>
      </c>
    </row>
    <row r="877" spans="1:16" x14ac:dyDescent="0.3">
      <c r="A877">
        <f>Raw_Data!A877</f>
        <v>876</v>
      </c>
      <c r="B877" s="2">
        <f>Raw_Data!B877</f>
        <v>45260</v>
      </c>
      <c r="C877">
        <f>YEAR(Raw_Data!B877)</f>
        <v>2023</v>
      </c>
      <c r="D877" t="str">
        <f>IF(MONTH(Raw_Data!B877)&gt;=4,YEAR(Raw_Data!B877)&amp;"-"&amp;RIGHT(YEAR(Raw_Data!B877)+1,2),YEAR(Raw_Data!B877)-1&amp;"-"&amp;RIGHT(YEAR(Raw_Data!B877),2))</f>
        <v>2023-24</v>
      </c>
      <c r="E877" t="str">
        <f>"Q"&amp;ROUNDUP(MONTH(Raw_Data!B877)/3,0)</f>
        <v>Q4</v>
      </c>
      <c r="F877" t="str">
        <f>TEXT(Raw_Data!B877,"mmm")</f>
        <v>Nov</v>
      </c>
      <c r="G877" t="str">
        <f>TEXT(Raw_Data!B877,"ddd")</f>
        <v>Thu</v>
      </c>
      <c r="H877" t="str">
        <f>Raw_Data!D877</f>
        <v>Invoiced</v>
      </c>
      <c r="I877" t="str">
        <f>Raw_Data!F877</f>
        <v>Tele-in</v>
      </c>
      <c r="J877" t="str">
        <f>Raw_Data!G877</f>
        <v>Dealer Webpage Tele-In</v>
      </c>
      <c r="K877" t="str">
        <f>IFERROR(VLOOKUP(J877,Source_Assumptions!$A:$C,2,0),"Unmapped")</f>
        <v>Digital - Owned</v>
      </c>
      <c r="L877" t="str">
        <f>Raw_Data!H877</f>
        <v>ELEVATE</v>
      </c>
      <c r="M877" t="str">
        <f>IFERROR(VLOOKUP(L877,Model_Assumptions!$A:$D,2,0),"Unmapped")</f>
        <v>Compact SUV</v>
      </c>
      <c r="N877" t="str">
        <f>IFERROR(VLOOKUP(L877,Model_Assumptions!$A:$D,3,0),"Unmapped")</f>
        <v>Petrol</v>
      </c>
      <c r="O877">
        <f>IFERROR(VLOOKUP(L877,Model_Assumptions!$A:$D,4,0),0)</f>
        <v>1300000</v>
      </c>
      <c r="P877">
        <f>IFERROR(VLOOKUP(J877,Source_Assumptions!$A:$C,3,0),0)</f>
        <v>300</v>
      </c>
    </row>
    <row r="878" spans="1:16" x14ac:dyDescent="0.3">
      <c r="A878">
        <f>Raw_Data!A878</f>
        <v>877</v>
      </c>
      <c r="B878" s="2">
        <f>Raw_Data!B878</f>
        <v>45260</v>
      </c>
      <c r="C878">
        <f>YEAR(Raw_Data!B878)</f>
        <v>2023</v>
      </c>
      <c r="D878" t="str">
        <f>IF(MONTH(Raw_Data!B878)&gt;=4,YEAR(Raw_Data!B878)&amp;"-"&amp;RIGHT(YEAR(Raw_Data!B878)+1,2),YEAR(Raw_Data!B878)-1&amp;"-"&amp;RIGHT(YEAR(Raw_Data!B878),2))</f>
        <v>2023-24</v>
      </c>
      <c r="E878" t="str">
        <f>"Q"&amp;ROUNDUP(MONTH(Raw_Data!B878)/3,0)</f>
        <v>Q4</v>
      </c>
      <c r="F878" t="str">
        <f>TEXT(Raw_Data!B878,"mmm")</f>
        <v>Nov</v>
      </c>
      <c r="G878" t="str">
        <f>TEXT(Raw_Data!B878,"ddd")</f>
        <v>Thu</v>
      </c>
      <c r="H878" t="str">
        <f>Raw_Data!D878</f>
        <v>Invoiced</v>
      </c>
      <c r="I878" t="str">
        <f>Raw_Data!F878</f>
        <v>SMS/ Tele-Out</v>
      </c>
      <c r="J878" t="str">
        <f>Raw_Data!G878</f>
        <v>Database Activity(Teleout/SMS)</v>
      </c>
      <c r="K878" t="str">
        <f>IFERROR(VLOOKUP(J878,Source_Assumptions!$A:$C,2,0),"Unmapped")</f>
        <v>Outbound/Database</v>
      </c>
      <c r="L878" t="str">
        <f>Raw_Data!H878</f>
        <v>ELEVATE</v>
      </c>
      <c r="M878" t="str">
        <f>IFERROR(VLOOKUP(L878,Model_Assumptions!$A:$D,2,0),"Unmapped")</f>
        <v>Compact SUV</v>
      </c>
      <c r="N878" t="str">
        <f>IFERROR(VLOOKUP(L878,Model_Assumptions!$A:$D,3,0),"Unmapped")</f>
        <v>Petrol</v>
      </c>
      <c r="O878">
        <f>IFERROR(VLOOKUP(L878,Model_Assumptions!$A:$D,4,0),0)</f>
        <v>1300000</v>
      </c>
      <c r="P878">
        <f>IFERROR(VLOOKUP(J878,Source_Assumptions!$A:$C,3,0),0)</f>
        <v>250</v>
      </c>
    </row>
    <row r="879" spans="1:16" x14ac:dyDescent="0.3">
      <c r="A879">
        <f>Raw_Data!A879</f>
        <v>878</v>
      </c>
      <c r="B879" s="2">
        <f>Raw_Data!B879</f>
        <v>45260</v>
      </c>
      <c r="C879">
        <f>YEAR(Raw_Data!B879)</f>
        <v>2023</v>
      </c>
      <c r="D879" t="str">
        <f>IF(MONTH(Raw_Data!B879)&gt;=4,YEAR(Raw_Data!B879)&amp;"-"&amp;RIGHT(YEAR(Raw_Data!B879)+1,2),YEAR(Raw_Data!B879)-1&amp;"-"&amp;RIGHT(YEAR(Raw_Data!B879),2))</f>
        <v>2023-24</v>
      </c>
      <c r="E879" t="str">
        <f>"Q"&amp;ROUNDUP(MONTH(Raw_Data!B879)/3,0)</f>
        <v>Q4</v>
      </c>
      <c r="F879" t="str">
        <f>TEXT(Raw_Data!B879,"mmm")</f>
        <v>Nov</v>
      </c>
      <c r="G879" t="str">
        <f>TEXT(Raw_Data!B879,"ddd")</f>
        <v>Thu</v>
      </c>
      <c r="H879" t="str">
        <f>Raw_Data!D879</f>
        <v>Invoiced</v>
      </c>
      <c r="I879" t="str">
        <f>Raw_Data!F879</f>
        <v>Tele-in</v>
      </c>
      <c r="J879" t="str">
        <f>Raw_Data!G879</f>
        <v>Dealer Webpage Tele-In</v>
      </c>
      <c r="K879" t="str">
        <f>IFERROR(VLOOKUP(J879,Source_Assumptions!$A:$C,2,0),"Unmapped")</f>
        <v>Digital - Owned</v>
      </c>
      <c r="L879" t="str">
        <f>Raw_Data!H879</f>
        <v>ELEVATE</v>
      </c>
      <c r="M879" t="str">
        <f>IFERROR(VLOOKUP(L879,Model_Assumptions!$A:$D,2,0),"Unmapped")</f>
        <v>Compact SUV</v>
      </c>
      <c r="N879" t="str">
        <f>IFERROR(VLOOKUP(L879,Model_Assumptions!$A:$D,3,0),"Unmapped")</f>
        <v>Petrol</v>
      </c>
      <c r="O879">
        <f>IFERROR(VLOOKUP(L879,Model_Assumptions!$A:$D,4,0),0)</f>
        <v>1300000</v>
      </c>
      <c r="P879">
        <f>IFERROR(VLOOKUP(J879,Source_Assumptions!$A:$C,3,0),0)</f>
        <v>300</v>
      </c>
    </row>
    <row r="880" spans="1:16" x14ac:dyDescent="0.3">
      <c r="A880">
        <f>Raw_Data!A880</f>
        <v>879</v>
      </c>
      <c r="B880" s="2">
        <f>Raw_Data!B880</f>
        <v>45260</v>
      </c>
      <c r="C880">
        <f>YEAR(Raw_Data!B880)</f>
        <v>2023</v>
      </c>
      <c r="D880" t="str">
        <f>IF(MONTH(Raw_Data!B880)&gt;=4,YEAR(Raw_Data!B880)&amp;"-"&amp;RIGHT(YEAR(Raw_Data!B880)+1,2),YEAR(Raw_Data!B880)-1&amp;"-"&amp;RIGHT(YEAR(Raw_Data!B880),2))</f>
        <v>2023-24</v>
      </c>
      <c r="E880" t="str">
        <f>"Q"&amp;ROUNDUP(MONTH(Raw_Data!B880)/3,0)</f>
        <v>Q4</v>
      </c>
      <c r="F880" t="str">
        <f>TEXT(Raw_Data!B880,"mmm")</f>
        <v>Nov</v>
      </c>
      <c r="G880" t="str">
        <f>TEXT(Raw_Data!B880,"ddd")</f>
        <v>Thu</v>
      </c>
      <c r="H880" t="str">
        <f>Raw_Data!D880</f>
        <v>Invoiced</v>
      </c>
      <c r="I880" t="str">
        <f>Raw_Data!F880</f>
        <v>SMS/ Tele-Out</v>
      </c>
      <c r="J880" t="str">
        <f>Raw_Data!G880</f>
        <v>Database Activity(Teleout/SMS)</v>
      </c>
      <c r="K880" t="str">
        <f>IFERROR(VLOOKUP(J880,Source_Assumptions!$A:$C,2,0),"Unmapped")</f>
        <v>Outbound/Database</v>
      </c>
      <c r="L880" t="str">
        <f>Raw_Data!H880</f>
        <v>ELEVATE</v>
      </c>
      <c r="M880" t="str">
        <f>IFERROR(VLOOKUP(L880,Model_Assumptions!$A:$D,2,0),"Unmapped")</f>
        <v>Compact SUV</v>
      </c>
      <c r="N880" t="str">
        <f>IFERROR(VLOOKUP(L880,Model_Assumptions!$A:$D,3,0),"Unmapped")</f>
        <v>Petrol</v>
      </c>
      <c r="O880">
        <f>IFERROR(VLOOKUP(L880,Model_Assumptions!$A:$D,4,0),0)</f>
        <v>1300000</v>
      </c>
      <c r="P880">
        <f>IFERROR(VLOOKUP(J880,Source_Assumptions!$A:$C,3,0),0)</f>
        <v>250</v>
      </c>
    </row>
    <row r="881" spans="1:16" x14ac:dyDescent="0.3">
      <c r="A881">
        <f>Raw_Data!A881</f>
        <v>880</v>
      </c>
      <c r="B881" s="2">
        <f>Raw_Data!B881</f>
        <v>45260</v>
      </c>
      <c r="C881">
        <f>YEAR(Raw_Data!B881)</f>
        <v>2023</v>
      </c>
      <c r="D881" t="str">
        <f>IF(MONTH(Raw_Data!B881)&gt;=4,YEAR(Raw_Data!B881)&amp;"-"&amp;RIGHT(YEAR(Raw_Data!B881)+1,2),YEAR(Raw_Data!B881)-1&amp;"-"&amp;RIGHT(YEAR(Raw_Data!B881),2))</f>
        <v>2023-24</v>
      </c>
      <c r="E881" t="str">
        <f>"Q"&amp;ROUNDUP(MONTH(Raw_Data!B881)/3,0)</f>
        <v>Q4</v>
      </c>
      <c r="F881" t="str">
        <f>TEXT(Raw_Data!B881,"mmm")</f>
        <v>Nov</v>
      </c>
      <c r="G881" t="str">
        <f>TEXT(Raw_Data!B881,"ddd")</f>
        <v>Thu</v>
      </c>
      <c r="H881" t="str">
        <f>Raw_Data!D881</f>
        <v>Invoiced</v>
      </c>
      <c r="I881" t="str">
        <f>Raw_Data!F881</f>
        <v>SMS/ Tele-Out</v>
      </c>
      <c r="J881" t="str">
        <f>Raw_Data!G881</f>
        <v>I-BAP Referral</v>
      </c>
      <c r="K881" t="str">
        <f>IFERROR(VLOOKUP(J881,Source_Assumptions!$A:$C,2,0),"Unmapped")</f>
        <v>Referral (Insurance/Banking Partner)</v>
      </c>
      <c r="L881" t="str">
        <f>Raw_Data!H881</f>
        <v>5TH GEN CITY PE</v>
      </c>
      <c r="M881" t="str">
        <f>IFERROR(VLOOKUP(L881,Model_Assumptions!$A:$D,2,0),"Unmapped")</f>
        <v>Mid-size Sedan</v>
      </c>
      <c r="N881" t="str">
        <f>IFERROR(VLOOKUP(L881,Model_Assumptions!$A:$D,3,0),"Unmapped")</f>
        <v>Petrol</v>
      </c>
      <c r="O881">
        <f>IFERROR(VLOOKUP(L881,Model_Assumptions!$A:$D,4,0),0)</f>
        <v>1250000</v>
      </c>
      <c r="P881">
        <f>IFERROR(VLOOKUP(J881,Source_Assumptions!$A:$C,3,0),0)</f>
        <v>150</v>
      </c>
    </row>
    <row r="882" spans="1:16" x14ac:dyDescent="0.3">
      <c r="A882">
        <f>Raw_Data!A882</f>
        <v>881</v>
      </c>
      <c r="B882" s="2">
        <f>Raw_Data!B882</f>
        <v>45260</v>
      </c>
      <c r="C882">
        <f>YEAR(Raw_Data!B882)</f>
        <v>2023</v>
      </c>
      <c r="D882" t="str">
        <f>IF(MONTH(Raw_Data!B882)&gt;=4,YEAR(Raw_Data!B882)&amp;"-"&amp;RIGHT(YEAR(Raw_Data!B882)+1,2),YEAR(Raw_Data!B882)-1&amp;"-"&amp;RIGHT(YEAR(Raw_Data!B882),2))</f>
        <v>2023-24</v>
      </c>
      <c r="E882" t="str">
        <f>"Q"&amp;ROUNDUP(MONTH(Raw_Data!B882)/3,0)</f>
        <v>Q4</v>
      </c>
      <c r="F882" t="str">
        <f>TEXT(Raw_Data!B882,"mmm")</f>
        <v>Nov</v>
      </c>
      <c r="G882" t="str">
        <f>TEXT(Raw_Data!B882,"ddd")</f>
        <v>Thu</v>
      </c>
      <c r="H882" t="str">
        <f>Raw_Data!D882</f>
        <v>Invoiced</v>
      </c>
      <c r="I882" t="str">
        <f>Raw_Data!F882</f>
        <v>Tele-in</v>
      </c>
      <c r="J882" t="str">
        <f>Raw_Data!G882</f>
        <v>Dealer Webpage Tele-In</v>
      </c>
      <c r="K882" t="str">
        <f>IFERROR(VLOOKUP(J882,Source_Assumptions!$A:$C,2,0),"Unmapped")</f>
        <v>Digital - Owned</v>
      </c>
      <c r="L882" t="str">
        <f>Raw_Data!H882</f>
        <v>ELEVATE</v>
      </c>
      <c r="M882" t="str">
        <f>IFERROR(VLOOKUP(L882,Model_Assumptions!$A:$D,2,0),"Unmapped")</f>
        <v>Compact SUV</v>
      </c>
      <c r="N882" t="str">
        <f>IFERROR(VLOOKUP(L882,Model_Assumptions!$A:$D,3,0),"Unmapped")</f>
        <v>Petrol</v>
      </c>
      <c r="O882">
        <f>IFERROR(VLOOKUP(L882,Model_Assumptions!$A:$D,4,0),0)</f>
        <v>1300000</v>
      </c>
      <c r="P882">
        <f>IFERROR(VLOOKUP(J882,Source_Assumptions!$A:$C,3,0),0)</f>
        <v>300</v>
      </c>
    </row>
    <row r="883" spans="1:16" x14ac:dyDescent="0.3">
      <c r="A883">
        <f>Raw_Data!A883</f>
        <v>882</v>
      </c>
      <c r="B883" s="2">
        <f>Raw_Data!B883</f>
        <v>45260</v>
      </c>
      <c r="C883">
        <f>YEAR(Raw_Data!B883)</f>
        <v>2023</v>
      </c>
      <c r="D883" t="str">
        <f>IF(MONTH(Raw_Data!B883)&gt;=4,YEAR(Raw_Data!B883)&amp;"-"&amp;RIGHT(YEAR(Raw_Data!B883)+1,2),YEAR(Raw_Data!B883)-1&amp;"-"&amp;RIGHT(YEAR(Raw_Data!B883),2))</f>
        <v>2023-24</v>
      </c>
      <c r="E883" t="str">
        <f>"Q"&amp;ROUNDUP(MONTH(Raw_Data!B883)/3,0)</f>
        <v>Q4</v>
      </c>
      <c r="F883" t="str">
        <f>TEXT(Raw_Data!B883,"mmm")</f>
        <v>Nov</v>
      </c>
      <c r="G883" t="str">
        <f>TEXT(Raw_Data!B883,"ddd")</f>
        <v>Thu</v>
      </c>
      <c r="H883" t="str">
        <f>Raw_Data!D883</f>
        <v>Invoiced</v>
      </c>
      <c r="I883" t="str">
        <f>Raw_Data!F883</f>
        <v>Tele-in</v>
      </c>
      <c r="J883" t="str">
        <f>Raw_Data!G883</f>
        <v>Dealer Webpage Tele-In</v>
      </c>
      <c r="K883" t="str">
        <f>IFERROR(VLOOKUP(J883,Source_Assumptions!$A:$C,2,0),"Unmapped")</f>
        <v>Digital - Owned</v>
      </c>
      <c r="L883" t="str">
        <f>Raw_Data!H883</f>
        <v>AMAZE Petrol</v>
      </c>
      <c r="M883" t="str">
        <f>IFERROR(VLOOKUP(L883,Model_Assumptions!$A:$D,2,0),"Unmapped")</f>
        <v>Sub-4m Sedan</v>
      </c>
      <c r="N883" t="str">
        <f>IFERROR(VLOOKUP(L883,Model_Assumptions!$A:$D,3,0),"Unmapped")</f>
        <v>Petrol</v>
      </c>
      <c r="O883">
        <f>IFERROR(VLOOKUP(L883,Model_Assumptions!$A:$D,4,0),0)</f>
        <v>850000</v>
      </c>
      <c r="P883">
        <f>IFERROR(VLOOKUP(J883,Source_Assumptions!$A:$C,3,0),0)</f>
        <v>300</v>
      </c>
    </row>
    <row r="884" spans="1:16" x14ac:dyDescent="0.3">
      <c r="A884">
        <f>Raw_Data!A884</f>
        <v>883</v>
      </c>
      <c r="B884" s="2">
        <f>Raw_Data!B884</f>
        <v>45260</v>
      </c>
      <c r="C884">
        <f>YEAR(Raw_Data!B884)</f>
        <v>2023</v>
      </c>
      <c r="D884" t="str">
        <f>IF(MONTH(Raw_Data!B884)&gt;=4,YEAR(Raw_Data!B884)&amp;"-"&amp;RIGHT(YEAR(Raw_Data!B884)+1,2),YEAR(Raw_Data!B884)-1&amp;"-"&amp;RIGHT(YEAR(Raw_Data!B884),2))</f>
        <v>2023-24</v>
      </c>
      <c r="E884" t="str">
        <f>"Q"&amp;ROUNDUP(MONTH(Raw_Data!B884)/3,0)</f>
        <v>Q4</v>
      </c>
      <c r="F884" t="str">
        <f>TEXT(Raw_Data!B884,"mmm")</f>
        <v>Nov</v>
      </c>
      <c r="G884" t="str">
        <f>TEXT(Raw_Data!B884,"ddd")</f>
        <v>Thu</v>
      </c>
      <c r="H884" t="str">
        <f>Raw_Data!D884</f>
        <v>Invoiced</v>
      </c>
      <c r="I884" t="str">
        <f>Raw_Data!F884</f>
        <v>Walk-in Showroom</v>
      </c>
      <c r="J884" t="str">
        <f>Raw_Data!G884</f>
        <v>Adver. (TVC/Print/Hoarding/FM)</v>
      </c>
      <c r="K884" t="str">
        <f>IFERROR(VLOOKUP(J884,Source_Assumptions!$A:$C,2,0),"Unmapped")</f>
        <v>Traditional Advertising</v>
      </c>
      <c r="L884" t="str">
        <f>Raw_Data!H884</f>
        <v>ELEVATE</v>
      </c>
      <c r="M884" t="str">
        <f>IFERROR(VLOOKUP(L884,Model_Assumptions!$A:$D,2,0),"Unmapped")</f>
        <v>Compact SUV</v>
      </c>
      <c r="N884" t="str">
        <f>IFERROR(VLOOKUP(L884,Model_Assumptions!$A:$D,3,0),"Unmapped")</f>
        <v>Petrol</v>
      </c>
      <c r="O884">
        <f>IFERROR(VLOOKUP(L884,Model_Assumptions!$A:$D,4,0),0)</f>
        <v>1300000</v>
      </c>
      <c r="P884">
        <f>IFERROR(VLOOKUP(J884,Source_Assumptions!$A:$C,3,0),0)</f>
        <v>1200</v>
      </c>
    </row>
    <row r="885" spans="1:16" x14ac:dyDescent="0.3">
      <c r="A885">
        <f>Raw_Data!A885</f>
        <v>884</v>
      </c>
      <c r="B885" s="2">
        <f>Raw_Data!B885</f>
        <v>45260</v>
      </c>
      <c r="C885">
        <f>YEAR(Raw_Data!B885)</f>
        <v>2023</v>
      </c>
      <c r="D885" t="str">
        <f>IF(MONTH(Raw_Data!B885)&gt;=4,YEAR(Raw_Data!B885)&amp;"-"&amp;RIGHT(YEAR(Raw_Data!B885)+1,2),YEAR(Raw_Data!B885)-1&amp;"-"&amp;RIGHT(YEAR(Raw_Data!B885),2))</f>
        <v>2023-24</v>
      </c>
      <c r="E885" t="str">
        <f>"Q"&amp;ROUNDUP(MONTH(Raw_Data!B885)/3,0)</f>
        <v>Q4</v>
      </c>
      <c r="F885" t="str">
        <f>TEXT(Raw_Data!B885,"mmm")</f>
        <v>Nov</v>
      </c>
      <c r="G885" t="str">
        <f>TEXT(Raw_Data!B885,"ddd")</f>
        <v>Thu</v>
      </c>
      <c r="H885" t="str">
        <f>Raw_Data!D885</f>
        <v>Invoiced</v>
      </c>
      <c r="I885" t="str">
        <f>Raw_Data!F885</f>
        <v>Walk-in Event</v>
      </c>
      <c r="J885" t="str">
        <f>Raw_Data!G885</f>
        <v>Event</v>
      </c>
      <c r="K885" t="str">
        <f>IFERROR(VLOOKUP(J885,Source_Assumptions!$A:$C,2,0),"Unmapped")</f>
        <v>Event/Offline</v>
      </c>
      <c r="L885" t="str">
        <f>Raw_Data!H885</f>
        <v>AMAZE Petrol</v>
      </c>
      <c r="M885" t="str">
        <f>IFERROR(VLOOKUP(L885,Model_Assumptions!$A:$D,2,0),"Unmapped")</f>
        <v>Sub-4m Sedan</v>
      </c>
      <c r="N885" t="str">
        <f>IFERROR(VLOOKUP(L885,Model_Assumptions!$A:$D,3,0),"Unmapped")</f>
        <v>Petrol</v>
      </c>
      <c r="O885">
        <f>IFERROR(VLOOKUP(L885,Model_Assumptions!$A:$D,4,0),0)</f>
        <v>850000</v>
      </c>
      <c r="P885">
        <f>IFERROR(VLOOKUP(J885,Source_Assumptions!$A:$C,3,0),0)</f>
        <v>1500</v>
      </c>
    </row>
    <row r="886" spans="1:16" x14ac:dyDescent="0.3">
      <c r="A886">
        <f>Raw_Data!A886</f>
        <v>885</v>
      </c>
      <c r="B886" s="2">
        <f>Raw_Data!B886</f>
        <v>45260</v>
      </c>
      <c r="C886">
        <f>YEAR(Raw_Data!B886)</f>
        <v>2023</v>
      </c>
      <c r="D886" t="str">
        <f>IF(MONTH(Raw_Data!B886)&gt;=4,YEAR(Raw_Data!B886)&amp;"-"&amp;RIGHT(YEAR(Raw_Data!B886)+1,2),YEAR(Raw_Data!B886)-1&amp;"-"&amp;RIGHT(YEAR(Raw_Data!B886),2))</f>
        <v>2023-24</v>
      </c>
      <c r="E886" t="str">
        <f>"Q"&amp;ROUNDUP(MONTH(Raw_Data!B886)/3,0)</f>
        <v>Q4</v>
      </c>
      <c r="F886" t="str">
        <f>TEXT(Raw_Data!B886,"mmm")</f>
        <v>Nov</v>
      </c>
      <c r="G886" t="str">
        <f>TEXT(Raw_Data!B886,"ddd")</f>
        <v>Thu</v>
      </c>
      <c r="H886" t="str">
        <f>Raw_Data!D886</f>
        <v>Invoiced</v>
      </c>
      <c r="I886" t="str">
        <f>Raw_Data!F886</f>
        <v>SMS/ Tele-Out</v>
      </c>
      <c r="J886" t="str">
        <f>Raw_Data!G886</f>
        <v>Database Activity(Teleout/SMS)</v>
      </c>
      <c r="K886" t="str">
        <f>IFERROR(VLOOKUP(J886,Source_Assumptions!$A:$C,2,0),"Unmapped")</f>
        <v>Outbound/Database</v>
      </c>
      <c r="L886" t="str">
        <f>Raw_Data!H886</f>
        <v>AMAZE Petrol</v>
      </c>
      <c r="M886" t="str">
        <f>IFERROR(VLOOKUP(L886,Model_Assumptions!$A:$D,2,0),"Unmapped")</f>
        <v>Sub-4m Sedan</v>
      </c>
      <c r="N886" t="str">
        <f>IFERROR(VLOOKUP(L886,Model_Assumptions!$A:$D,3,0),"Unmapped")</f>
        <v>Petrol</v>
      </c>
      <c r="O886">
        <f>IFERROR(VLOOKUP(L886,Model_Assumptions!$A:$D,4,0),0)</f>
        <v>850000</v>
      </c>
      <c r="P886">
        <f>IFERROR(VLOOKUP(J886,Source_Assumptions!$A:$C,3,0),0)</f>
        <v>250</v>
      </c>
    </row>
    <row r="887" spans="1:16" x14ac:dyDescent="0.3">
      <c r="A887">
        <f>Raw_Data!A887</f>
        <v>886</v>
      </c>
      <c r="B887" s="2">
        <f>Raw_Data!B887</f>
        <v>45260</v>
      </c>
      <c r="C887">
        <f>YEAR(Raw_Data!B887)</f>
        <v>2023</v>
      </c>
      <c r="D887" t="str">
        <f>IF(MONTH(Raw_Data!B887)&gt;=4,YEAR(Raw_Data!B887)&amp;"-"&amp;RIGHT(YEAR(Raw_Data!B887)+1,2),YEAR(Raw_Data!B887)-1&amp;"-"&amp;RIGHT(YEAR(Raw_Data!B887),2))</f>
        <v>2023-24</v>
      </c>
      <c r="E887" t="str">
        <f>"Q"&amp;ROUNDUP(MONTH(Raw_Data!B887)/3,0)</f>
        <v>Q4</v>
      </c>
      <c r="F887" t="str">
        <f>TEXT(Raw_Data!B887,"mmm")</f>
        <v>Nov</v>
      </c>
      <c r="G887" t="str">
        <f>TEXT(Raw_Data!B887,"ddd")</f>
        <v>Thu</v>
      </c>
      <c r="H887" t="str">
        <f>Raw_Data!D887</f>
        <v>Invoiced</v>
      </c>
      <c r="I887" t="str">
        <f>Raw_Data!F887</f>
        <v>SMS/ Tele-Out</v>
      </c>
      <c r="J887" t="str">
        <f>Raw_Data!G887</f>
        <v>I-BAP Referral</v>
      </c>
      <c r="K887" t="str">
        <f>IFERROR(VLOOKUP(J887,Source_Assumptions!$A:$C,2,0),"Unmapped")</f>
        <v>Referral (Insurance/Banking Partner)</v>
      </c>
      <c r="L887" t="str">
        <f>Raw_Data!H887</f>
        <v>5TH GEN CITY PE</v>
      </c>
      <c r="M887" t="str">
        <f>IFERROR(VLOOKUP(L887,Model_Assumptions!$A:$D,2,0),"Unmapped")</f>
        <v>Mid-size Sedan</v>
      </c>
      <c r="N887" t="str">
        <f>IFERROR(VLOOKUP(L887,Model_Assumptions!$A:$D,3,0),"Unmapped")</f>
        <v>Petrol</v>
      </c>
      <c r="O887">
        <f>IFERROR(VLOOKUP(L887,Model_Assumptions!$A:$D,4,0),0)</f>
        <v>1250000</v>
      </c>
      <c r="P887">
        <f>IFERROR(VLOOKUP(J887,Source_Assumptions!$A:$C,3,0),0)</f>
        <v>150</v>
      </c>
    </row>
    <row r="888" spans="1:16" x14ac:dyDescent="0.3">
      <c r="A888">
        <f>Raw_Data!A888</f>
        <v>887</v>
      </c>
      <c r="B888" s="2">
        <f>Raw_Data!B888</f>
        <v>45271</v>
      </c>
      <c r="C888">
        <f>YEAR(Raw_Data!B888)</f>
        <v>2023</v>
      </c>
      <c r="D888" t="str">
        <f>IF(MONTH(Raw_Data!B888)&gt;=4,YEAR(Raw_Data!B888)&amp;"-"&amp;RIGHT(YEAR(Raw_Data!B888)+1,2),YEAR(Raw_Data!B888)-1&amp;"-"&amp;RIGHT(YEAR(Raw_Data!B888),2))</f>
        <v>2023-24</v>
      </c>
      <c r="E888" t="str">
        <f>"Q"&amp;ROUNDUP(MONTH(Raw_Data!B888)/3,0)</f>
        <v>Q4</v>
      </c>
      <c r="F888" t="str">
        <f>TEXT(Raw_Data!B888,"mmm")</f>
        <v>Dec</v>
      </c>
      <c r="G888" t="str">
        <f>TEXT(Raw_Data!B888,"ddd")</f>
        <v>Mon</v>
      </c>
      <c r="H888" t="str">
        <f>Raw_Data!D888</f>
        <v>Invoiced</v>
      </c>
      <c r="I888" t="str">
        <f>Raw_Data!F888</f>
        <v>Tele-in</v>
      </c>
      <c r="J888" t="str">
        <f>Raw_Data!G888</f>
        <v>Dealer Webpage Tele-In</v>
      </c>
      <c r="K888" t="str">
        <f>IFERROR(VLOOKUP(J888,Source_Assumptions!$A:$C,2,0),"Unmapped")</f>
        <v>Digital - Owned</v>
      </c>
      <c r="L888" t="str">
        <f>Raw_Data!H888</f>
        <v>ELEVATE</v>
      </c>
      <c r="M888" t="str">
        <f>IFERROR(VLOOKUP(L888,Model_Assumptions!$A:$D,2,0),"Unmapped")</f>
        <v>Compact SUV</v>
      </c>
      <c r="N888" t="str">
        <f>IFERROR(VLOOKUP(L888,Model_Assumptions!$A:$D,3,0),"Unmapped")</f>
        <v>Petrol</v>
      </c>
      <c r="O888">
        <f>IFERROR(VLOOKUP(L888,Model_Assumptions!$A:$D,4,0),0)</f>
        <v>1300000</v>
      </c>
      <c r="P888">
        <f>IFERROR(VLOOKUP(J888,Source_Assumptions!$A:$C,3,0),0)</f>
        <v>300</v>
      </c>
    </row>
    <row r="889" spans="1:16" x14ac:dyDescent="0.3">
      <c r="A889">
        <f>Raw_Data!A889</f>
        <v>888</v>
      </c>
      <c r="B889" s="2">
        <f>Raw_Data!B889</f>
        <v>45271</v>
      </c>
      <c r="C889">
        <f>YEAR(Raw_Data!B889)</f>
        <v>2023</v>
      </c>
      <c r="D889" t="str">
        <f>IF(MONTH(Raw_Data!B889)&gt;=4,YEAR(Raw_Data!B889)&amp;"-"&amp;RIGHT(YEAR(Raw_Data!B889)+1,2),YEAR(Raw_Data!B889)-1&amp;"-"&amp;RIGHT(YEAR(Raw_Data!B889),2))</f>
        <v>2023-24</v>
      </c>
      <c r="E889" t="str">
        <f>"Q"&amp;ROUNDUP(MONTH(Raw_Data!B889)/3,0)</f>
        <v>Q4</v>
      </c>
      <c r="F889" t="str">
        <f>TEXT(Raw_Data!B889,"mmm")</f>
        <v>Dec</v>
      </c>
      <c r="G889" t="str">
        <f>TEXT(Raw_Data!B889,"ddd")</f>
        <v>Mon</v>
      </c>
      <c r="H889" t="str">
        <f>Raw_Data!D889</f>
        <v>Invoiced</v>
      </c>
      <c r="I889" t="str">
        <f>Raw_Data!F889</f>
        <v>SMS/ Tele-Out</v>
      </c>
      <c r="J889" t="str">
        <f>Raw_Data!G889</f>
        <v>Database Activity(Teleout/SMS)</v>
      </c>
      <c r="K889" t="str">
        <f>IFERROR(VLOOKUP(J889,Source_Assumptions!$A:$C,2,0),"Unmapped")</f>
        <v>Outbound/Database</v>
      </c>
      <c r="L889" t="str">
        <f>Raw_Data!H889</f>
        <v>5TH GEN CITY PE</v>
      </c>
      <c r="M889" t="str">
        <f>IFERROR(VLOOKUP(L889,Model_Assumptions!$A:$D,2,0),"Unmapped")</f>
        <v>Mid-size Sedan</v>
      </c>
      <c r="N889" t="str">
        <f>IFERROR(VLOOKUP(L889,Model_Assumptions!$A:$D,3,0),"Unmapped")</f>
        <v>Petrol</v>
      </c>
      <c r="O889">
        <f>IFERROR(VLOOKUP(L889,Model_Assumptions!$A:$D,4,0),0)</f>
        <v>1250000</v>
      </c>
      <c r="P889">
        <f>IFERROR(VLOOKUP(J889,Source_Assumptions!$A:$C,3,0),0)</f>
        <v>250</v>
      </c>
    </row>
    <row r="890" spans="1:16" x14ac:dyDescent="0.3">
      <c r="A890">
        <f>Raw_Data!A890</f>
        <v>889</v>
      </c>
      <c r="B890" s="2">
        <f>Raw_Data!B890</f>
        <v>45273</v>
      </c>
      <c r="C890">
        <f>YEAR(Raw_Data!B890)</f>
        <v>2023</v>
      </c>
      <c r="D890" t="str">
        <f>IF(MONTH(Raw_Data!B890)&gt;=4,YEAR(Raw_Data!B890)&amp;"-"&amp;RIGHT(YEAR(Raw_Data!B890)+1,2),YEAR(Raw_Data!B890)-1&amp;"-"&amp;RIGHT(YEAR(Raw_Data!B890),2))</f>
        <v>2023-24</v>
      </c>
      <c r="E890" t="str">
        <f>"Q"&amp;ROUNDUP(MONTH(Raw_Data!B890)/3,0)</f>
        <v>Q4</v>
      </c>
      <c r="F890" t="str">
        <f>TEXT(Raw_Data!B890,"mmm")</f>
        <v>Dec</v>
      </c>
      <c r="G890" t="str">
        <f>TEXT(Raw_Data!B890,"ddd")</f>
        <v>Wed</v>
      </c>
      <c r="H890" t="str">
        <f>Raw_Data!D890</f>
        <v>Invoiced</v>
      </c>
      <c r="I890" t="str">
        <f>Raw_Data!F890</f>
        <v>Tele-in</v>
      </c>
      <c r="J890" t="str">
        <f>Raw_Data!G890</f>
        <v>Dealer Webpage Tele-In</v>
      </c>
      <c r="K890" t="str">
        <f>IFERROR(VLOOKUP(J890,Source_Assumptions!$A:$C,2,0),"Unmapped")</f>
        <v>Digital - Owned</v>
      </c>
      <c r="L890" t="str">
        <f>Raw_Data!H890</f>
        <v>ELEVATE</v>
      </c>
      <c r="M890" t="str">
        <f>IFERROR(VLOOKUP(L890,Model_Assumptions!$A:$D,2,0),"Unmapped")</f>
        <v>Compact SUV</v>
      </c>
      <c r="N890" t="str">
        <f>IFERROR(VLOOKUP(L890,Model_Assumptions!$A:$D,3,0),"Unmapped")</f>
        <v>Petrol</v>
      </c>
      <c r="O890">
        <f>IFERROR(VLOOKUP(L890,Model_Assumptions!$A:$D,4,0),0)</f>
        <v>1300000</v>
      </c>
      <c r="P890">
        <f>IFERROR(VLOOKUP(J890,Source_Assumptions!$A:$C,3,0),0)</f>
        <v>300</v>
      </c>
    </row>
    <row r="891" spans="1:16" x14ac:dyDescent="0.3">
      <c r="A891">
        <f>Raw_Data!A891</f>
        <v>890</v>
      </c>
      <c r="B891" s="2">
        <f>Raw_Data!B891</f>
        <v>45273</v>
      </c>
      <c r="C891">
        <f>YEAR(Raw_Data!B891)</f>
        <v>2023</v>
      </c>
      <c r="D891" t="str">
        <f>IF(MONTH(Raw_Data!B891)&gt;=4,YEAR(Raw_Data!B891)&amp;"-"&amp;RIGHT(YEAR(Raw_Data!B891)+1,2),YEAR(Raw_Data!B891)-1&amp;"-"&amp;RIGHT(YEAR(Raw_Data!B891),2))</f>
        <v>2023-24</v>
      </c>
      <c r="E891" t="str">
        <f>"Q"&amp;ROUNDUP(MONTH(Raw_Data!B891)/3,0)</f>
        <v>Q4</v>
      </c>
      <c r="F891" t="str">
        <f>TEXT(Raw_Data!B891,"mmm")</f>
        <v>Dec</v>
      </c>
      <c r="G891" t="str">
        <f>TEXT(Raw_Data!B891,"ddd")</f>
        <v>Wed</v>
      </c>
      <c r="H891" t="str">
        <f>Raw_Data!D891</f>
        <v>Invoiced</v>
      </c>
      <c r="I891" t="str">
        <f>Raw_Data!F891</f>
        <v>Tele-in</v>
      </c>
      <c r="J891" t="str">
        <f>Raw_Data!G891</f>
        <v>Referral-CAM</v>
      </c>
      <c r="K891" t="str">
        <f>IFERROR(VLOOKUP(J891,Source_Assumptions!$A:$C,2,0),"Unmapped")</f>
        <v>Referral</v>
      </c>
      <c r="L891" t="str">
        <f>Raw_Data!H891</f>
        <v>AMAZE Petrol</v>
      </c>
      <c r="M891" t="str">
        <f>IFERROR(VLOOKUP(L891,Model_Assumptions!$A:$D,2,0),"Unmapped")</f>
        <v>Sub-4m Sedan</v>
      </c>
      <c r="N891" t="str">
        <f>IFERROR(VLOOKUP(L891,Model_Assumptions!$A:$D,3,0),"Unmapped")</f>
        <v>Petrol</v>
      </c>
      <c r="O891">
        <f>IFERROR(VLOOKUP(L891,Model_Assumptions!$A:$D,4,0),0)</f>
        <v>850000</v>
      </c>
      <c r="P891">
        <f>IFERROR(VLOOKUP(J891,Source_Assumptions!$A:$C,3,0),0)</f>
        <v>150</v>
      </c>
    </row>
    <row r="892" spans="1:16" x14ac:dyDescent="0.3">
      <c r="A892">
        <f>Raw_Data!A892</f>
        <v>891</v>
      </c>
      <c r="B892" s="2">
        <f>Raw_Data!B892</f>
        <v>45272</v>
      </c>
      <c r="C892">
        <f>YEAR(Raw_Data!B892)</f>
        <v>2023</v>
      </c>
      <c r="D892" t="str">
        <f>IF(MONTH(Raw_Data!B892)&gt;=4,YEAR(Raw_Data!B892)&amp;"-"&amp;RIGHT(YEAR(Raw_Data!B892)+1,2),YEAR(Raw_Data!B892)-1&amp;"-"&amp;RIGHT(YEAR(Raw_Data!B892),2))</f>
        <v>2023-24</v>
      </c>
      <c r="E892" t="str">
        <f>"Q"&amp;ROUNDUP(MONTH(Raw_Data!B892)/3,0)</f>
        <v>Q4</v>
      </c>
      <c r="F892" t="str">
        <f>TEXT(Raw_Data!B892,"mmm")</f>
        <v>Dec</v>
      </c>
      <c r="G892" t="str">
        <f>TEXT(Raw_Data!B892,"ddd")</f>
        <v>Tue</v>
      </c>
      <c r="H892" t="str">
        <f>Raw_Data!D892</f>
        <v>Invoiced</v>
      </c>
      <c r="I892" t="str">
        <f>Raw_Data!F892</f>
        <v>Tele-in</v>
      </c>
      <c r="J892" t="str">
        <f>Raw_Data!G892</f>
        <v>Dealer Webpage Tele-In</v>
      </c>
      <c r="K892" t="str">
        <f>IFERROR(VLOOKUP(J892,Source_Assumptions!$A:$C,2,0),"Unmapped")</f>
        <v>Digital - Owned</v>
      </c>
      <c r="L892" t="str">
        <f>Raw_Data!H892</f>
        <v>ELEVATE</v>
      </c>
      <c r="M892" t="str">
        <f>IFERROR(VLOOKUP(L892,Model_Assumptions!$A:$D,2,0),"Unmapped")</f>
        <v>Compact SUV</v>
      </c>
      <c r="N892" t="str">
        <f>IFERROR(VLOOKUP(L892,Model_Assumptions!$A:$D,3,0),"Unmapped")</f>
        <v>Petrol</v>
      </c>
      <c r="O892">
        <f>IFERROR(VLOOKUP(L892,Model_Assumptions!$A:$D,4,0),0)</f>
        <v>1300000</v>
      </c>
      <c r="P892">
        <f>IFERROR(VLOOKUP(J892,Source_Assumptions!$A:$C,3,0),0)</f>
        <v>300</v>
      </c>
    </row>
    <row r="893" spans="1:16" x14ac:dyDescent="0.3">
      <c r="A893">
        <f>Raw_Data!A893</f>
        <v>892</v>
      </c>
      <c r="B893" s="2">
        <f>Raw_Data!B893</f>
        <v>45274</v>
      </c>
      <c r="C893">
        <f>YEAR(Raw_Data!B893)</f>
        <v>2023</v>
      </c>
      <c r="D893" t="str">
        <f>IF(MONTH(Raw_Data!B893)&gt;=4,YEAR(Raw_Data!B893)&amp;"-"&amp;RIGHT(YEAR(Raw_Data!B893)+1,2),YEAR(Raw_Data!B893)-1&amp;"-"&amp;RIGHT(YEAR(Raw_Data!B893),2))</f>
        <v>2023-24</v>
      </c>
      <c r="E893" t="str">
        <f>"Q"&amp;ROUNDUP(MONTH(Raw_Data!B893)/3,0)</f>
        <v>Q4</v>
      </c>
      <c r="F893" t="str">
        <f>TEXT(Raw_Data!B893,"mmm")</f>
        <v>Dec</v>
      </c>
      <c r="G893" t="str">
        <f>TEXT(Raw_Data!B893,"ddd")</f>
        <v>Thu</v>
      </c>
      <c r="H893" t="str">
        <f>Raw_Data!D893</f>
        <v>Invoiced</v>
      </c>
      <c r="I893" t="str">
        <f>Raw_Data!F893</f>
        <v>Web Lead</v>
      </c>
      <c r="J893" t="str">
        <f>Raw_Data!G893</f>
        <v>Web_Facebook</v>
      </c>
      <c r="K893" t="str">
        <f>IFERROR(VLOOKUP(J893,Source_Assumptions!$A:$C,2,0),"Unmapped")</f>
        <v>Digital - Paid Social</v>
      </c>
      <c r="L893" t="str">
        <f>Raw_Data!H893</f>
        <v>ELEVATE</v>
      </c>
      <c r="M893" t="str">
        <f>IFERROR(VLOOKUP(L893,Model_Assumptions!$A:$D,2,0),"Unmapped")</f>
        <v>Compact SUV</v>
      </c>
      <c r="N893" t="str">
        <f>IFERROR(VLOOKUP(L893,Model_Assumptions!$A:$D,3,0),"Unmapped")</f>
        <v>Petrol</v>
      </c>
      <c r="O893">
        <f>IFERROR(VLOOKUP(L893,Model_Assumptions!$A:$D,4,0),0)</f>
        <v>1300000</v>
      </c>
      <c r="P893">
        <f>IFERROR(VLOOKUP(J893,Source_Assumptions!$A:$C,3,0),0)</f>
        <v>600</v>
      </c>
    </row>
    <row r="894" spans="1:16" x14ac:dyDescent="0.3">
      <c r="A894">
        <f>Raw_Data!A894</f>
        <v>893</v>
      </c>
      <c r="B894" s="2">
        <f>Raw_Data!B894</f>
        <v>45274</v>
      </c>
      <c r="C894">
        <f>YEAR(Raw_Data!B894)</f>
        <v>2023</v>
      </c>
      <c r="D894" t="str">
        <f>IF(MONTH(Raw_Data!B894)&gt;=4,YEAR(Raw_Data!B894)&amp;"-"&amp;RIGHT(YEAR(Raw_Data!B894)+1,2),YEAR(Raw_Data!B894)-1&amp;"-"&amp;RIGHT(YEAR(Raw_Data!B894),2))</f>
        <v>2023-24</v>
      </c>
      <c r="E894" t="str">
        <f>"Q"&amp;ROUNDUP(MONTH(Raw_Data!B894)/3,0)</f>
        <v>Q4</v>
      </c>
      <c r="F894" t="str">
        <f>TEXT(Raw_Data!B894,"mmm")</f>
        <v>Dec</v>
      </c>
      <c r="G894" t="str">
        <f>TEXT(Raw_Data!B894,"ddd")</f>
        <v>Thu</v>
      </c>
      <c r="H894" t="str">
        <f>Raw_Data!D894</f>
        <v>Invoiced</v>
      </c>
      <c r="I894" t="str">
        <f>Raw_Data!F894</f>
        <v>SMS/ Tele-Out</v>
      </c>
      <c r="J894" t="str">
        <f>Raw_Data!G894</f>
        <v>I-BAP Referral</v>
      </c>
      <c r="K894" t="str">
        <f>IFERROR(VLOOKUP(J894,Source_Assumptions!$A:$C,2,0),"Unmapped")</f>
        <v>Referral (Insurance/Banking Partner)</v>
      </c>
      <c r="L894" t="str">
        <f>Raw_Data!H894</f>
        <v>5TH GEN CITY PE</v>
      </c>
      <c r="M894" t="str">
        <f>IFERROR(VLOOKUP(L894,Model_Assumptions!$A:$D,2,0),"Unmapped")</f>
        <v>Mid-size Sedan</v>
      </c>
      <c r="N894" t="str">
        <f>IFERROR(VLOOKUP(L894,Model_Assumptions!$A:$D,3,0),"Unmapped")</f>
        <v>Petrol</v>
      </c>
      <c r="O894">
        <f>IFERROR(VLOOKUP(L894,Model_Assumptions!$A:$D,4,0),0)</f>
        <v>1250000</v>
      </c>
      <c r="P894">
        <f>IFERROR(VLOOKUP(J894,Source_Assumptions!$A:$C,3,0),0)</f>
        <v>150</v>
      </c>
    </row>
    <row r="895" spans="1:16" x14ac:dyDescent="0.3">
      <c r="A895">
        <f>Raw_Data!A895</f>
        <v>894</v>
      </c>
      <c r="B895" s="2">
        <f>Raw_Data!B895</f>
        <v>45274</v>
      </c>
      <c r="C895">
        <f>YEAR(Raw_Data!B895)</f>
        <v>2023</v>
      </c>
      <c r="D895" t="str">
        <f>IF(MONTH(Raw_Data!B895)&gt;=4,YEAR(Raw_Data!B895)&amp;"-"&amp;RIGHT(YEAR(Raw_Data!B895)+1,2),YEAR(Raw_Data!B895)-1&amp;"-"&amp;RIGHT(YEAR(Raw_Data!B895),2))</f>
        <v>2023-24</v>
      </c>
      <c r="E895" t="str">
        <f>"Q"&amp;ROUNDUP(MONTH(Raw_Data!B895)/3,0)</f>
        <v>Q4</v>
      </c>
      <c r="F895" t="str">
        <f>TEXT(Raw_Data!B895,"mmm")</f>
        <v>Dec</v>
      </c>
      <c r="G895" t="str">
        <f>TEXT(Raw_Data!B895,"ddd")</f>
        <v>Thu</v>
      </c>
      <c r="H895" t="str">
        <f>Raw_Data!D895</f>
        <v>Invoiced</v>
      </c>
      <c r="I895" t="str">
        <f>Raw_Data!F895</f>
        <v>Web Lead</v>
      </c>
      <c r="J895" t="str">
        <f>Raw_Data!G895</f>
        <v>Web</v>
      </c>
      <c r="K895" t="str">
        <f>IFERROR(VLOOKUP(J895,Source_Assumptions!$A:$C,2,0),"Unmapped")</f>
        <v>Digital - Owned</v>
      </c>
      <c r="L895" t="str">
        <f>Raw_Data!H895</f>
        <v>ELEVATE</v>
      </c>
      <c r="M895" t="str">
        <f>IFERROR(VLOOKUP(L895,Model_Assumptions!$A:$D,2,0),"Unmapped")</f>
        <v>Compact SUV</v>
      </c>
      <c r="N895" t="str">
        <f>IFERROR(VLOOKUP(L895,Model_Assumptions!$A:$D,3,0),"Unmapped")</f>
        <v>Petrol</v>
      </c>
      <c r="O895">
        <f>IFERROR(VLOOKUP(L895,Model_Assumptions!$A:$D,4,0),0)</f>
        <v>1300000</v>
      </c>
      <c r="P895">
        <f>IFERROR(VLOOKUP(J895,Source_Assumptions!$A:$C,3,0),0)</f>
        <v>300</v>
      </c>
    </row>
    <row r="896" spans="1:16" x14ac:dyDescent="0.3">
      <c r="A896">
        <f>Raw_Data!A896</f>
        <v>895</v>
      </c>
      <c r="B896" s="2">
        <f>Raw_Data!B896</f>
        <v>45274</v>
      </c>
      <c r="C896">
        <f>YEAR(Raw_Data!B896)</f>
        <v>2023</v>
      </c>
      <c r="D896" t="str">
        <f>IF(MONTH(Raw_Data!B896)&gt;=4,YEAR(Raw_Data!B896)&amp;"-"&amp;RIGHT(YEAR(Raw_Data!B896)+1,2),YEAR(Raw_Data!B896)-1&amp;"-"&amp;RIGHT(YEAR(Raw_Data!B896),2))</f>
        <v>2023-24</v>
      </c>
      <c r="E896" t="str">
        <f>"Q"&amp;ROUNDUP(MONTH(Raw_Data!B896)/3,0)</f>
        <v>Q4</v>
      </c>
      <c r="F896" t="str">
        <f>TEXT(Raw_Data!B896,"mmm")</f>
        <v>Dec</v>
      </c>
      <c r="G896" t="str">
        <f>TEXT(Raw_Data!B896,"ddd")</f>
        <v>Thu</v>
      </c>
      <c r="H896" t="str">
        <f>Raw_Data!D896</f>
        <v>Invoiced</v>
      </c>
      <c r="I896" t="str">
        <f>Raw_Data!F896</f>
        <v>Tele-in</v>
      </c>
      <c r="J896" t="str">
        <f>Raw_Data!G896</f>
        <v>Dealer Webpage Tele-In</v>
      </c>
      <c r="K896" t="str">
        <f>IFERROR(VLOOKUP(J896,Source_Assumptions!$A:$C,2,0),"Unmapped")</f>
        <v>Digital - Owned</v>
      </c>
      <c r="L896" t="str">
        <f>Raw_Data!H896</f>
        <v>ELEVATE</v>
      </c>
      <c r="M896" t="str">
        <f>IFERROR(VLOOKUP(L896,Model_Assumptions!$A:$D,2,0),"Unmapped")</f>
        <v>Compact SUV</v>
      </c>
      <c r="N896" t="str">
        <f>IFERROR(VLOOKUP(L896,Model_Assumptions!$A:$D,3,0),"Unmapped")</f>
        <v>Petrol</v>
      </c>
      <c r="O896">
        <f>IFERROR(VLOOKUP(L896,Model_Assumptions!$A:$D,4,0),0)</f>
        <v>1300000</v>
      </c>
      <c r="P896">
        <f>IFERROR(VLOOKUP(J896,Source_Assumptions!$A:$C,3,0),0)</f>
        <v>300</v>
      </c>
    </row>
    <row r="897" spans="1:16" x14ac:dyDescent="0.3">
      <c r="A897">
        <f>Raw_Data!A897</f>
        <v>896</v>
      </c>
      <c r="B897" s="2">
        <f>Raw_Data!B897</f>
        <v>45275</v>
      </c>
      <c r="C897">
        <f>YEAR(Raw_Data!B897)</f>
        <v>2023</v>
      </c>
      <c r="D897" t="str">
        <f>IF(MONTH(Raw_Data!B897)&gt;=4,YEAR(Raw_Data!B897)&amp;"-"&amp;RIGHT(YEAR(Raw_Data!B897)+1,2),YEAR(Raw_Data!B897)-1&amp;"-"&amp;RIGHT(YEAR(Raw_Data!B897),2))</f>
        <v>2023-24</v>
      </c>
      <c r="E897" t="str">
        <f>"Q"&amp;ROUNDUP(MONTH(Raw_Data!B897)/3,0)</f>
        <v>Q4</v>
      </c>
      <c r="F897" t="str">
        <f>TEXT(Raw_Data!B897,"mmm")</f>
        <v>Dec</v>
      </c>
      <c r="G897" t="str">
        <f>TEXT(Raw_Data!B897,"ddd")</f>
        <v>Fri</v>
      </c>
      <c r="H897" t="str">
        <f>Raw_Data!D897</f>
        <v>Invoiced</v>
      </c>
      <c r="I897" t="str">
        <f>Raw_Data!F897</f>
        <v>Web Lead</v>
      </c>
      <c r="J897" t="str">
        <f>Raw_Data!G897</f>
        <v>Dealer Webpage Lead</v>
      </c>
      <c r="K897" t="str">
        <f>IFERROR(VLOOKUP(J897,Source_Assumptions!$A:$C,2,0),"Unmapped")</f>
        <v>Digital - Owned</v>
      </c>
      <c r="L897" t="str">
        <f>Raw_Data!H897</f>
        <v>ELEVATE</v>
      </c>
      <c r="M897" t="str">
        <f>IFERROR(VLOOKUP(L897,Model_Assumptions!$A:$D,2,0),"Unmapped")</f>
        <v>Compact SUV</v>
      </c>
      <c r="N897" t="str">
        <f>IFERROR(VLOOKUP(L897,Model_Assumptions!$A:$D,3,0),"Unmapped")</f>
        <v>Petrol</v>
      </c>
      <c r="O897">
        <f>IFERROR(VLOOKUP(L897,Model_Assumptions!$A:$D,4,0),0)</f>
        <v>1300000</v>
      </c>
      <c r="P897">
        <f>IFERROR(VLOOKUP(J897,Source_Assumptions!$A:$C,3,0),0)</f>
        <v>300</v>
      </c>
    </row>
    <row r="898" spans="1:16" x14ac:dyDescent="0.3">
      <c r="A898">
        <f>Raw_Data!A898</f>
        <v>897</v>
      </c>
      <c r="B898" s="2">
        <f>Raw_Data!B898</f>
        <v>45275</v>
      </c>
      <c r="C898">
        <f>YEAR(Raw_Data!B898)</f>
        <v>2023</v>
      </c>
      <c r="D898" t="str">
        <f>IF(MONTH(Raw_Data!B898)&gt;=4,YEAR(Raw_Data!B898)&amp;"-"&amp;RIGHT(YEAR(Raw_Data!B898)+1,2),YEAR(Raw_Data!B898)-1&amp;"-"&amp;RIGHT(YEAR(Raw_Data!B898),2))</f>
        <v>2023-24</v>
      </c>
      <c r="E898" t="str">
        <f>"Q"&amp;ROUNDUP(MONTH(Raw_Data!B898)/3,0)</f>
        <v>Q4</v>
      </c>
      <c r="F898" t="str">
        <f>TEXT(Raw_Data!B898,"mmm")</f>
        <v>Dec</v>
      </c>
      <c r="G898" t="str">
        <f>TEXT(Raw_Data!B898,"ddd")</f>
        <v>Fri</v>
      </c>
      <c r="H898" t="str">
        <f>Raw_Data!D898</f>
        <v>Invoiced</v>
      </c>
      <c r="I898" t="str">
        <f>Raw_Data!F898</f>
        <v>Tele-in</v>
      </c>
      <c r="J898" t="str">
        <f>Raw_Data!G898</f>
        <v>Dealer Webpage Tele-In</v>
      </c>
      <c r="K898" t="str">
        <f>IFERROR(VLOOKUP(J898,Source_Assumptions!$A:$C,2,0),"Unmapped")</f>
        <v>Digital - Owned</v>
      </c>
      <c r="L898" t="str">
        <f>Raw_Data!H898</f>
        <v>5TH GEN CITY PE</v>
      </c>
      <c r="M898" t="str">
        <f>IFERROR(VLOOKUP(L898,Model_Assumptions!$A:$D,2,0),"Unmapped")</f>
        <v>Mid-size Sedan</v>
      </c>
      <c r="N898" t="str">
        <f>IFERROR(VLOOKUP(L898,Model_Assumptions!$A:$D,3,0),"Unmapped")</f>
        <v>Petrol</v>
      </c>
      <c r="O898">
        <f>IFERROR(VLOOKUP(L898,Model_Assumptions!$A:$D,4,0),0)</f>
        <v>1250000</v>
      </c>
      <c r="P898">
        <f>IFERROR(VLOOKUP(J898,Source_Assumptions!$A:$C,3,0),0)</f>
        <v>300</v>
      </c>
    </row>
    <row r="899" spans="1:16" x14ac:dyDescent="0.3">
      <c r="A899">
        <f>Raw_Data!A899</f>
        <v>898</v>
      </c>
      <c r="B899" s="2">
        <f>Raw_Data!B899</f>
        <v>45276</v>
      </c>
      <c r="C899">
        <f>YEAR(Raw_Data!B899)</f>
        <v>2023</v>
      </c>
      <c r="D899" t="str">
        <f>IF(MONTH(Raw_Data!B899)&gt;=4,YEAR(Raw_Data!B899)&amp;"-"&amp;RIGHT(YEAR(Raw_Data!B899)+1,2),YEAR(Raw_Data!B899)-1&amp;"-"&amp;RIGHT(YEAR(Raw_Data!B899),2))</f>
        <v>2023-24</v>
      </c>
      <c r="E899" t="str">
        <f>"Q"&amp;ROUNDUP(MONTH(Raw_Data!B899)/3,0)</f>
        <v>Q4</v>
      </c>
      <c r="F899" t="str">
        <f>TEXT(Raw_Data!B899,"mmm")</f>
        <v>Dec</v>
      </c>
      <c r="G899" t="str">
        <f>TEXT(Raw_Data!B899,"ddd")</f>
        <v>Sat</v>
      </c>
      <c r="H899" t="str">
        <f>Raw_Data!D899</f>
        <v>Invoiced</v>
      </c>
      <c r="I899" t="str">
        <f>Raw_Data!F899</f>
        <v>Tele-in</v>
      </c>
      <c r="J899" t="str">
        <f>Raw_Data!G899</f>
        <v>Dealer Webpage Tele-In</v>
      </c>
      <c r="K899" t="str">
        <f>IFERROR(VLOOKUP(J899,Source_Assumptions!$A:$C,2,0),"Unmapped")</f>
        <v>Digital - Owned</v>
      </c>
      <c r="L899" t="str">
        <f>Raw_Data!H899</f>
        <v>5TH GEN CITY PE</v>
      </c>
      <c r="M899" t="str">
        <f>IFERROR(VLOOKUP(L899,Model_Assumptions!$A:$D,2,0),"Unmapped")</f>
        <v>Mid-size Sedan</v>
      </c>
      <c r="N899" t="str">
        <f>IFERROR(VLOOKUP(L899,Model_Assumptions!$A:$D,3,0),"Unmapped")</f>
        <v>Petrol</v>
      </c>
      <c r="O899">
        <f>IFERROR(VLOOKUP(L899,Model_Assumptions!$A:$D,4,0),0)</f>
        <v>1250000</v>
      </c>
      <c r="P899">
        <f>IFERROR(VLOOKUP(J899,Source_Assumptions!$A:$C,3,0),0)</f>
        <v>300</v>
      </c>
    </row>
    <row r="900" spans="1:16" x14ac:dyDescent="0.3">
      <c r="A900">
        <f>Raw_Data!A900</f>
        <v>899</v>
      </c>
      <c r="B900" s="2">
        <f>Raw_Data!B900</f>
        <v>45276</v>
      </c>
      <c r="C900">
        <f>YEAR(Raw_Data!B900)</f>
        <v>2023</v>
      </c>
      <c r="D900" t="str">
        <f>IF(MONTH(Raw_Data!B900)&gt;=4,YEAR(Raw_Data!B900)&amp;"-"&amp;RIGHT(YEAR(Raw_Data!B900)+1,2),YEAR(Raw_Data!B900)-1&amp;"-"&amp;RIGHT(YEAR(Raw_Data!B900),2))</f>
        <v>2023-24</v>
      </c>
      <c r="E900" t="str">
        <f>"Q"&amp;ROUNDUP(MONTH(Raw_Data!B900)/3,0)</f>
        <v>Q4</v>
      </c>
      <c r="F900" t="str">
        <f>TEXT(Raw_Data!B900,"mmm")</f>
        <v>Dec</v>
      </c>
      <c r="G900" t="str">
        <f>TEXT(Raw_Data!B900,"ddd")</f>
        <v>Sat</v>
      </c>
      <c r="H900" t="str">
        <f>Raw_Data!D900</f>
        <v>Invoiced</v>
      </c>
      <c r="I900" t="str">
        <f>Raw_Data!F900</f>
        <v>Walk-in Event</v>
      </c>
      <c r="J900" t="str">
        <f>Raw_Data!G900</f>
        <v>Event</v>
      </c>
      <c r="K900" t="str">
        <f>IFERROR(VLOOKUP(J900,Source_Assumptions!$A:$C,2,0),"Unmapped")</f>
        <v>Event/Offline</v>
      </c>
      <c r="L900" t="str">
        <f>Raw_Data!H900</f>
        <v>5TH GEN CITY PE</v>
      </c>
      <c r="M900" t="str">
        <f>IFERROR(VLOOKUP(L900,Model_Assumptions!$A:$D,2,0),"Unmapped")</f>
        <v>Mid-size Sedan</v>
      </c>
      <c r="N900" t="str">
        <f>IFERROR(VLOOKUP(L900,Model_Assumptions!$A:$D,3,0),"Unmapped")</f>
        <v>Petrol</v>
      </c>
      <c r="O900">
        <f>IFERROR(VLOOKUP(L900,Model_Assumptions!$A:$D,4,0),0)</f>
        <v>1250000</v>
      </c>
      <c r="P900">
        <f>IFERROR(VLOOKUP(J900,Source_Assumptions!$A:$C,3,0),0)</f>
        <v>1500</v>
      </c>
    </row>
    <row r="901" spans="1:16" x14ac:dyDescent="0.3">
      <c r="A901">
        <f>Raw_Data!A901</f>
        <v>900</v>
      </c>
      <c r="B901" s="2">
        <f>Raw_Data!B901</f>
        <v>45276</v>
      </c>
      <c r="C901">
        <f>YEAR(Raw_Data!B901)</f>
        <v>2023</v>
      </c>
      <c r="D901" t="str">
        <f>IF(MONTH(Raw_Data!B901)&gt;=4,YEAR(Raw_Data!B901)&amp;"-"&amp;RIGHT(YEAR(Raw_Data!B901)+1,2),YEAR(Raw_Data!B901)-1&amp;"-"&amp;RIGHT(YEAR(Raw_Data!B901),2))</f>
        <v>2023-24</v>
      </c>
      <c r="E901" t="str">
        <f>"Q"&amp;ROUNDUP(MONTH(Raw_Data!B901)/3,0)</f>
        <v>Q4</v>
      </c>
      <c r="F901" t="str">
        <f>TEXT(Raw_Data!B901,"mmm")</f>
        <v>Dec</v>
      </c>
      <c r="G901" t="str">
        <f>TEXT(Raw_Data!B901,"ddd")</f>
        <v>Sat</v>
      </c>
      <c r="H901" t="str">
        <f>Raw_Data!D901</f>
        <v>Invoiced</v>
      </c>
      <c r="I901" t="str">
        <f>Raw_Data!F901</f>
        <v>Walk-in Showroom</v>
      </c>
      <c r="J901" t="str">
        <f>Raw_Data!G901</f>
        <v>Adver. (TVC/Print/Hoarding/FM)</v>
      </c>
      <c r="K901" t="str">
        <f>IFERROR(VLOOKUP(J901,Source_Assumptions!$A:$C,2,0),"Unmapped")</f>
        <v>Traditional Advertising</v>
      </c>
      <c r="L901" t="str">
        <f>Raw_Data!H901</f>
        <v>ELEVATE</v>
      </c>
      <c r="M901" t="str">
        <f>IFERROR(VLOOKUP(L901,Model_Assumptions!$A:$D,2,0),"Unmapped")</f>
        <v>Compact SUV</v>
      </c>
      <c r="N901" t="str">
        <f>IFERROR(VLOOKUP(L901,Model_Assumptions!$A:$D,3,0),"Unmapped")</f>
        <v>Petrol</v>
      </c>
      <c r="O901">
        <f>IFERROR(VLOOKUP(L901,Model_Assumptions!$A:$D,4,0),0)</f>
        <v>1300000</v>
      </c>
      <c r="P901">
        <f>IFERROR(VLOOKUP(J901,Source_Assumptions!$A:$C,3,0),0)</f>
        <v>1200</v>
      </c>
    </row>
    <row r="902" spans="1:16" x14ac:dyDescent="0.3">
      <c r="A902">
        <f>Raw_Data!A902</f>
        <v>901</v>
      </c>
      <c r="B902" s="2">
        <f>Raw_Data!B902</f>
        <v>45276</v>
      </c>
      <c r="C902">
        <f>YEAR(Raw_Data!B902)</f>
        <v>2023</v>
      </c>
      <c r="D902" t="str">
        <f>IF(MONTH(Raw_Data!B902)&gt;=4,YEAR(Raw_Data!B902)&amp;"-"&amp;RIGHT(YEAR(Raw_Data!B902)+1,2),YEAR(Raw_Data!B902)-1&amp;"-"&amp;RIGHT(YEAR(Raw_Data!B902),2))</f>
        <v>2023-24</v>
      </c>
      <c r="E902" t="str">
        <f>"Q"&amp;ROUNDUP(MONTH(Raw_Data!B902)/3,0)</f>
        <v>Q4</v>
      </c>
      <c r="F902" t="str">
        <f>TEXT(Raw_Data!B902,"mmm")</f>
        <v>Dec</v>
      </c>
      <c r="G902" t="str">
        <f>TEXT(Raw_Data!B902,"ddd")</f>
        <v>Sat</v>
      </c>
      <c r="H902" t="str">
        <f>Raw_Data!D902</f>
        <v>Invoiced</v>
      </c>
      <c r="I902" t="str">
        <f>Raw_Data!F902</f>
        <v>SMS/ Tele-Out</v>
      </c>
      <c r="J902" t="str">
        <f>Raw_Data!G902</f>
        <v>I-BAP Referral</v>
      </c>
      <c r="K902" t="str">
        <f>IFERROR(VLOOKUP(J902,Source_Assumptions!$A:$C,2,0),"Unmapped")</f>
        <v>Referral (Insurance/Banking Partner)</v>
      </c>
      <c r="L902" t="str">
        <f>Raw_Data!H902</f>
        <v>ELEVATE</v>
      </c>
      <c r="M902" t="str">
        <f>IFERROR(VLOOKUP(L902,Model_Assumptions!$A:$D,2,0),"Unmapped")</f>
        <v>Compact SUV</v>
      </c>
      <c r="N902" t="str">
        <f>IFERROR(VLOOKUP(L902,Model_Assumptions!$A:$D,3,0),"Unmapped")</f>
        <v>Petrol</v>
      </c>
      <c r="O902">
        <f>IFERROR(VLOOKUP(L902,Model_Assumptions!$A:$D,4,0),0)</f>
        <v>1300000</v>
      </c>
      <c r="P902">
        <f>IFERROR(VLOOKUP(J902,Source_Assumptions!$A:$C,3,0),0)</f>
        <v>150</v>
      </c>
    </row>
    <row r="903" spans="1:16" x14ac:dyDescent="0.3">
      <c r="A903">
        <f>Raw_Data!A903</f>
        <v>902</v>
      </c>
      <c r="B903" s="2">
        <f>Raw_Data!B903</f>
        <v>45276</v>
      </c>
      <c r="C903">
        <f>YEAR(Raw_Data!B903)</f>
        <v>2023</v>
      </c>
      <c r="D903" t="str">
        <f>IF(MONTH(Raw_Data!B903)&gt;=4,YEAR(Raw_Data!B903)&amp;"-"&amp;RIGHT(YEAR(Raw_Data!B903)+1,2),YEAR(Raw_Data!B903)-1&amp;"-"&amp;RIGHT(YEAR(Raw_Data!B903),2))</f>
        <v>2023-24</v>
      </c>
      <c r="E903" t="str">
        <f>"Q"&amp;ROUNDUP(MONTH(Raw_Data!B903)/3,0)</f>
        <v>Q4</v>
      </c>
      <c r="F903" t="str">
        <f>TEXT(Raw_Data!B903,"mmm")</f>
        <v>Dec</v>
      </c>
      <c r="G903" t="str">
        <f>TEXT(Raw_Data!B903,"ddd")</f>
        <v>Sat</v>
      </c>
      <c r="H903" t="str">
        <f>Raw_Data!D903</f>
        <v>Invoiced</v>
      </c>
      <c r="I903" t="str">
        <f>Raw_Data!F903</f>
        <v>Tele-in</v>
      </c>
      <c r="J903" t="str">
        <f>Raw_Data!G903</f>
        <v>Dealer Webpage Tele-In</v>
      </c>
      <c r="K903" t="str">
        <f>IFERROR(VLOOKUP(J903,Source_Assumptions!$A:$C,2,0),"Unmapped")</f>
        <v>Digital - Owned</v>
      </c>
      <c r="L903" t="str">
        <f>Raw_Data!H903</f>
        <v>AMAZE Petrol</v>
      </c>
      <c r="M903" t="str">
        <f>IFERROR(VLOOKUP(L903,Model_Assumptions!$A:$D,2,0),"Unmapped")</f>
        <v>Sub-4m Sedan</v>
      </c>
      <c r="N903" t="str">
        <f>IFERROR(VLOOKUP(L903,Model_Assumptions!$A:$D,3,0),"Unmapped")</f>
        <v>Petrol</v>
      </c>
      <c r="O903">
        <f>IFERROR(VLOOKUP(L903,Model_Assumptions!$A:$D,4,0),0)</f>
        <v>850000</v>
      </c>
      <c r="P903">
        <f>IFERROR(VLOOKUP(J903,Source_Assumptions!$A:$C,3,0),0)</f>
        <v>300</v>
      </c>
    </row>
    <row r="904" spans="1:16" x14ac:dyDescent="0.3">
      <c r="A904">
        <f>Raw_Data!A904</f>
        <v>903</v>
      </c>
      <c r="B904" s="2">
        <f>Raw_Data!B904</f>
        <v>45276</v>
      </c>
      <c r="C904">
        <f>YEAR(Raw_Data!B904)</f>
        <v>2023</v>
      </c>
      <c r="D904" t="str">
        <f>IF(MONTH(Raw_Data!B904)&gt;=4,YEAR(Raw_Data!B904)&amp;"-"&amp;RIGHT(YEAR(Raw_Data!B904)+1,2),YEAR(Raw_Data!B904)-1&amp;"-"&amp;RIGHT(YEAR(Raw_Data!B904),2))</f>
        <v>2023-24</v>
      </c>
      <c r="E904" t="str">
        <f>"Q"&amp;ROUNDUP(MONTH(Raw_Data!B904)/3,0)</f>
        <v>Q4</v>
      </c>
      <c r="F904" t="str">
        <f>TEXT(Raw_Data!B904,"mmm")</f>
        <v>Dec</v>
      </c>
      <c r="G904" t="str">
        <f>TEXT(Raw_Data!B904,"ddd")</f>
        <v>Sat</v>
      </c>
      <c r="H904" t="str">
        <f>Raw_Data!D904</f>
        <v>Invoiced</v>
      </c>
      <c r="I904" t="str">
        <f>Raw_Data!F904</f>
        <v>Walk-in Showroom</v>
      </c>
      <c r="J904" t="str">
        <f>Raw_Data!G904</f>
        <v>Adver. (TVC/Print/Hoarding/FM)</v>
      </c>
      <c r="K904" t="str">
        <f>IFERROR(VLOOKUP(J904,Source_Assumptions!$A:$C,2,0),"Unmapped")</f>
        <v>Traditional Advertising</v>
      </c>
      <c r="L904" t="str">
        <f>Raw_Data!H904</f>
        <v>AMAZE Petrol</v>
      </c>
      <c r="M904" t="str">
        <f>IFERROR(VLOOKUP(L904,Model_Assumptions!$A:$D,2,0),"Unmapped")</f>
        <v>Sub-4m Sedan</v>
      </c>
      <c r="N904" t="str">
        <f>IFERROR(VLOOKUP(L904,Model_Assumptions!$A:$D,3,0),"Unmapped")</f>
        <v>Petrol</v>
      </c>
      <c r="O904">
        <f>IFERROR(VLOOKUP(L904,Model_Assumptions!$A:$D,4,0),0)</f>
        <v>850000</v>
      </c>
      <c r="P904">
        <f>IFERROR(VLOOKUP(J904,Source_Assumptions!$A:$C,3,0),0)</f>
        <v>1200</v>
      </c>
    </row>
    <row r="905" spans="1:16" x14ac:dyDescent="0.3">
      <c r="A905">
        <f>Raw_Data!A905</f>
        <v>904</v>
      </c>
      <c r="B905" s="2">
        <f>Raw_Data!B905</f>
        <v>45276</v>
      </c>
      <c r="C905">
        <f>YEAR(Raw_Data!B905)</f>
        <v>2023</v>
      </c>
      <c r="D905" t="str">
        <f>IF(MONTH(Raw_Data!B905)&gt;=4,YEAR(Raw_Data!B905)&amp;"-"&amp;RIGHT(YEAR(Raw_Data!B905)+1,2),YEAR(Raw_Data!B905)-1&amp;"-"&amp;RIGHT(YEAR(Raw_Data!B905),2))</f>
        <v>2023-24</v>
      </c>
      <c r="E905" t="str">
        <f>"Q"&amp;ROUNDUP(MONTH(Raw_Data!B905)/3,0)</f>
        <v>Q4</v>
      </c>
      <c r="F905" t="str">
        <f>TEXT(Raw_Data!B905,"mmm")</f>
        <v>Dec</v>
      </c>
      <c r="G905" t="str">
        <f>TEXT(Raw_Data!B905,"ddd")</f>
        <v>Sat</v>
      </c>
      <c r="H905" t="str">
        <f>Raw_Data!D905</f>
        <v>Invoiced</v>
      </c>
      <c r="I905" t="str">
        <f>Raw_Data!F905</f>
        <v>Walk-in Showroom</v>
      </c>
      <c r="J905" t="str">
        <f>Raw_Data!G905</f>
        <v>Adver. (TVC/Print/Hoarding/FM)</v>
      </c>
      <c r="K905" t="str">
        <f>IFERROR(VLOOKUP(J905,Source_Assumptions!$A:$C,2,0),"Unmapped")</f>
        <v>Traditional Advertising</v>
      </c>
      <c r="L905" t="str">
        <f>Raw_Data!H905</f>
        <v>ELEVATE</v>
      </c>
      <c r="M905" t="str">
        <f>IFERROR(VLOOKUP(L905,Model_Assumptions!$A:$D,2,0),"Unmapped")</f>
        <v>Compact SUV</v>
      </c>
      <c r="N905" t="str">
        <f>IFERROR(VLOOKUP(L905,Model_Assumptions!$A:$D,3,0),"Unmapped")</f>
        <v>Petrol</v>
      </c>
      <c r="O905">
        <f>IFERROR(VLOOKUP(L905,Model_Assumptions!$A:$D,4,0),0)</f>
        <v>1300000</v>
      </c>
      <c r="P905">
        <f>IFERROR(VLOOKUP(J905,Source_Assumptions!$A:$C,3,0),0)</f>
        <v>1200</v>
      </c>
    </row>
    <row r="906" spans="1:16" x14ac:dyDescent="0.3">
      <c r="A906">
        <f>Raw_Data!A906</f>
        <v>905</v>
      </c>
      <c r="B906" s="2">
        <f>Raw_Data!B906</f>
        <v>45276</v>
      </c>
      <c r="C906">
        <f>YEAR(Raw_Data!B906)</f>
        <v>2023</v>
      </c>
      <c r="D906" t="str">
        <f>IF(MONTH(Raw_Data!B906)&gt;=4,YEAR(Raw_Data!B906)&amp;"-"&amp;RIGHT(YEAR(Raw_Data!B906)+1,2),YEAR(Raw_Data!B906)-1&amp;"-"&amp;RIGHT(YEAR(Raw_Data!B906),2))</f>
        <v>2023-24</v>
      </c>
      <c r="E906" t="str">
        <f>"Q"&amp;ROUNDUP(MONTH(Raw_Data!B906)/3,0)</f>
        <v>Q4</v>
      </c>
      <c r="F906" t="str">
        <f>TEXT(Raw_Data!B906,"mmm")</f>
        <v>Dec</v>
      </c>
      <c r="G906" t="str">
        <f>TEXT(Raw_Data!B906,"ddd")</f>
        <v>Sat</v>
      </c>
      <c r="H906" t="str">
        <f>Raw_Data!D906</f>
        <v>Invoiced</v>
      </c>
      <c r="I906" t="str">
        <f>Raw_Data!F906</f>
        <v>Tele-in</v>
      </c>
      <c r="J906" t="str">
        <f>Raw_Data!G906</f>
        <v>Dealer Webpage Tele-In</v>
      </c>
      <c r="K906" t="str">
        <f>IFERROR(VLOOKUP(J906,Source_Assumptions!$A:$C,2,0),"Unmapped")</f>
        <v>Digital - Owned</v>
      </c>
      <c r="L906" t="str">
        <f>Raw_Data!H906</f>
        <v>ELEVATE</v>
      </c>
      <c r="M906" t="str">
        <f>IFERROR(VLOOKUP(L906,Model_Assumptions!$A:$D,2,0),"Unmapped")</f>
        <v>Compact SUV</v>
      </c>
      <c r="N906" t="str">
        <f>IFERROR(VLOOKUP(L906,Model_Assumptions!$A:$D,3,0),"Unmapped")</f>
        <v>Petrol</v>
      </c>
      <c r="O906">
        <f>IFERROR(VLOOKUP(L906,Model_Assumptions!$A:$D,4,0),0)</f>
        <v>1300000</v>
      </c>
      <c r="P906">
        <f>IFERROR(VLOOKUP(J906,Source_Assumptions!$A:$C,3,0),0)</f>
        <v>300</v>
      </c>
    </row>
    <row r="907" spans="1:16" x14ac:dyDescent="0.3">
      <c r="A907">
        <f>Raw_Data!A907</f>
        <v>906</v>
      </c>
      <c r="B907" s="2">
        <f>Raw_Data!B907</f>
        <v>45276</v>
      </c>
      <c r="C907">
        <f>YEAR(Raw_Data!B907)</f>
        <v>2023</v>
      </c>
      <c r="D907" t="str">
        <f>IF(MONTH(Raw_Data!B907)&gt;=4,YEAR(Raw_Data!B907)&amp;"-"&amp;RIGHT(YEAR(Raw_Data!B907)+1,2),YEAR(Raw_Data!B907)-1&amp;"-"&amp;RIGHT(YEAR(Raw_Data!B907),2))</f>
        <v>2023-24</v>
      </c>
      <c r="E907" t="str">
        <f>"Q"&amp;ROUNDUP(MONTH(Raw_Data!B907)/3,0)</f>
        <v>Q4</v>
      </c>
      <c r="F907" t="str">
        <f>TEXT(Raw_Data!B907,"mmm")</f>
        <v>Dec</v>
      </c>
      <c r="G907" t="str">
        <f>TEXT(Raw_Data!B907,"ddd")</f>
        <v>Sat</v>
      </c>
      <c r="H907" t="str">
        <f>Raw_Data!D907</f>
        <v>Invoiced</v>
      </c>
      <c r="I907" t="str">
        <f>Raw_Data!F907</f>
        <v>Tele-in</v>
      </c>
      <c r="J907" t="str">
        <f>Raw_Data!G907</f>
        <v>Dealer Webpage Tele-In</v>
      </c>
      <c r="K907" t="str">
        <f>IFERROR(VLOOKUP(J907,Source_Assumptions!$A:$C,2,0),"Unmapped")</f>
        <v>Digital - Owned</v>
      </c>
      <c r="L907" t="str">
        <f>Raw_Data!H907</f>
        <v>AMAZE Petrol</v>
      </c>
      <c r="M907" t="str">
        <f>IFERROR(VLOOKUP(L907,Model_Assumptions!$A:$D,2,0),"Unmapped")</f>
        <v>Sub-4m Sedan</v>
      </c>
      <c r="N907" t="str">
        <f>IFERROR(VLOOKUP(L907,Model_Assumptions!$A:$D,3,0),"Unmapped")</f>
        <v>Petrol</v>
      </c>
      <c r="O907">
        <f>IFERROR(VLOOKUP(L907,Model_Assumptions!$A:$D,4,0),0)</f>
        <v>850000</v>
      </c>
      <c r="P907">
        <f>IFERROR(VLOOKUP(J907,Source_Assumptions!$A:$C,3,0),0)</f>
        <v>300</v>
      </c>
    </row>
    <row r="908" spans="1:16" x14ac:dyDescent="0.3">
      <c r="A908">
        <f>Raw_Data!A908</f>
        <v>907</v>
      </c>
      <c r="B908" s="2">
        <f>Raw_Data!B908</f>
        <v>45276</v>
      </c>
      <c r="C908">
        <f>YEAR(Raw_Data!B908)</f>
        <v>2023</v>
      </c>
      <c r="D908" t="str">
        <f>IF(MONTH(Raw_Data!B908)&gt;=4,YEAR(Raw_Data!B908)&amp;"-"&amp;RIGHT(YEAR(Raw_Data!B908)+1,2),YEAR(Raw_Data!B908)-1&amp;"-"&amp;RIGHT(YEAR(Raw_Data!B908),2))</f>
        <v>2023-24</v>
      </c>
      <c r="E908" t="str">
        <f>"Q"&amp;ROUNDUP(MONTH(Raw_Data!B908)/3,0)</f>
        <v>Q4</v>
      </c>
      <c r="F908" t="str">
        <f>TEXT(Raw_Data!B908,"mmm")</f>
        <v>Dec</v>
      </c>
      <c r="G908" t="str">
        <f>TEXT(Raw_Data!B908,"ddd")</f>
        <v>Sat</v>
      </c>
      <c r="H908" t="str">
        <f>Raw_Data!D908</f>
        <v>Invoiced</v>
      </c>
      <c r="I908" t="str">
        <f>Raw_Data!F908</f>
        <v>Tele-in</v>
      </c>
      <c r="J908" t="str">
        <f>Raw_Data!G908</f>
        <v>Dealer Webpage Tele-In</v>
      </c>
      <c r="K908" t="str">
        <f>IFERROR(VLOOKUP(J908,Source_Assumptions!$A:$C,2,0),"Unmapped")</f>
        <v>Digital - Owned</v>
      </c>
      <c r="L908" t="str">
        <f>Raw_Data!H908</f>
        <v>ELEVATE</v>
      </c>
      <c r="M908" t="str">
        <f>IFERROR(VLOOKUP(L908,Model_Assumptions!$A:$D,2,0),"Unmapped")</f>
        <v>Compact SUV</v>
      </c>
      <c r="N908" t="str">
        <f>IFERROR(VLOOKUP(L908,Model_Assumptions!$A:$D,3,0),"Unmapped")</f>
        <v>Petrol</v>
      </c>
      <c r="O908">
        <f>IFERROR(VLOOKUP(L908,Model_Assumptions!$A:$D,4,0),0)</f>
        <v>1300000</v>
      </c>
      <c r="P908">
        <f>IFERROR(VLOOKUP(J908,Source_Assumptions!$A:$C,3,0),0)</f>
        <v>300</v>
      </c>
    </row>
    <row r="909" spans="1:16" x14ac:dyDescent="0.3">
      <c r="A909">
        <f>Raw_Data!A909</f>
        <v>908</v>
      </c>
      <c r="B909" s="2">
        <f>Raw_Data!B909</f>
        <v>45279</v>
      </c>
      <c r="C909">
        <f>YEAR(Raw_Data!B909)</f>
        <v>2023</v>
      </c>
      <c r="D909" t="str">
        <f>IF(MONTH(Raw_Data!B909)&gt;=4,YEAR(Raw_Data!B909)&amp;"-"&amp;RIGHT(YEAR(Raw_Data!B909)+1,2),YEAR(Raw_Data!B909)-1&amp;"-"&amp;RIGHT(YEAR(Raw_Data!B909),2))</f>
        <v>2023-24</v>
      </c>
      <c r="E909" t="str">
        <f>"Q"&amp;ROUNDUP(MONTH(Raw_Data!B909)/3,0)</f>
        <v>Q4</v>
      </c>
      <c r="F909" t="str">
        <f>TEXT(Raw_Data!B909,"mmm")</f>
        <v>Dec</v>
      </c>
      <c r="G909" t="str">
        <f>TEXT(Raw_Data!B909,"ddd")</f>
        <v>Tue</v>
      </c>
      <c r="H909" t="str">
        <f>Raw_Data!D909</f>
        <v>Invoiced</v>
      </c>
      <c r="I909" t="str">
        <f>Raw_Data!F909</f>
        <v>Walk-in Showroom</v>
      </c>
      <c r="J909" t="str">
        <f>Raw_Data!G909</f>
        <v>Adver. (TVC/Print/Hoarding/FM)</v>
      </c>
      <c r="K909" t="str">
        <f>IFERROR(VLOOKUP(J909,Source_Assumptions!$A:$C,2,0),"Unmapped")</f>
        <v>Traditional Advertising</v>
      </c>
      <c r="L909" t="str">
        <f>Raw_Data!H909</f>
        <v>ELEVATE</v>
      </c>
      <c r="M909" t="str">
        <f>IFERROR(VLOOKUP(L909,Model_Assumptions!$A:$D,2,0),"Unmapped")</f>
        <v>Compact SUV</v>
      </c>
      <c r="N909" t="str">
        <f>IFERROR(VLOOKUP(L909,Model_Assumptions!$A:$D,3,0),"Unmapped")</f>
        <v>Petrol</v>
      </c>
      <c r="O909">
        <f>IFERROR(VLOOKUP(L909,Model_Assumptions!$A:$D,4,0),0)</f>
        <v>1300000</v>
      </c>
      <c r="P909">
        <f>IFERROR(VLOOKUP(J909,Source_Assumptions!$A:$C,3,0),0)</f>
        <v>1200</v>
      </c>
    </row>
    <row r="910" spans="1:16" x14ac:dyDescent="0.3">
      <c r="A910">
        <f>Raw_Data!A910</f>
        <v>909</v>
      </c>
      <c r="B910" s="2">
        <f>Raw_Data!B910</f>
        <v>45279</v>
      </c>
      <c r="C910">
        <f>YEAR(Raw_Data!B910)</f>
        <v>2023</v>
      </c>
      <c r="D910" t="str">
        <f>IF(MONTH(Raw_Data!B910)&gt;=4,YEAR(Raw_Data!B910)&amp;"-"&amp;RIGHT(YEAR(Raw_Data!B910)+1,2),YEAR(Raw_Data!B910)-1&amp;"-"&amp;RIGHT(YEAR(Raw_Data!B910),2))</f>
        <v>2023-24</v>
      </c>
      <c r="E910" t="str">
        <f>"Q"&amp;ROUNDUP(MONTH(Raw_Data!B910)/3,0)</f>
        <v>Q4</v>
      </c>
      <c r="F910" t="str">
        <f>TEXT(Raw_Data!B910,"mmm")</f>
        <v>Dec</v>
      </c>
      <c r="G910" t="str">
        <f>TEXT(Raw_Data!B910,"ddd")</f>
        <v>Tue</v>
      </c>
      <c r="H910" t="str">
        <f>Raw_Data!D910</f>
        <v>Invoiced</v>
      </c>
      <c r="I910" t="str">
        <f>Raw_Data!F910</f>
        <v>SMS/ Tele-Out</v>
      </c>
      <c r="J910" t="str">
        <f>Raw_Data!G910</f>
        <v>Database Activity(Teleout/SMS)</v>
      </c>
      <c r="K910" t="str">
        <f>IFERROR(VLOOKUP(J910,Source_Assumptions!$A:$C,2,0),"Unmapped")</f>
        <v>Outbound/Database</v>
      </c>
      <c r="L910" t="str">
        <f>Raw_Data!H910</f>
        <v>ELEVATE</v>
      </c>
      <c r="M910" t="str">
        <f>IFERROR(VLOOKUP(L910,Model_Assumptions!$A:$D,2,0),"Unmapped")</f>
        <v>Compact SUV</v>
      </c>
      <c r="N910" t="str">
        <f>IFERROR(VLOOKUP(L910,Model_Assumptions!$A:$D,3,0),"Unmapped")</f>
        <v>Petrol</v>
      </c>
      <c r="O910">
        <f>IFERROR(VLOOKUP(L910,Model_Assumptions!$A:$D,4,0),0)</f>
        <v>1300000</v>
      </c>
      <c r="P910">
        <f>IFERROR(VLOOKUP(J910,Source_Assumptions!$A:$C,3,0),0)</f>
        <v>250</v>
      </c>
    </row>
    <row r="911" spans="1:16" x14ac:dyDescent="0.3">
      <c r="A911">
        <f>Raw_Data!A911</f>
        <v>910</v>
      </c>
      <c r="B911" s="2">
        <f>Raw_Data!B911</f>
        <v>45279</v>
      </c>
      <c r="C911">
        <f>YEAR(Raw_Data!B911)</f>
        <v>2023</v>
      </c>
      <c r="D911" t="str">
        <f>IF(MONTH(Raw_Data!B911)&gt;=4,YEAR(Raw_Data!B911)&amp;"-"&amp;RIGHT(YEAR(Raw_Data!B911)+1,2),YEAR(Raw_Data!B911)-1&amp;"-"&amp;RIGHT(YEAR(Raw_Data!B911),2))</f>
        <v>2023-24</v>
      </c>
      <c r="E911" t="str">
        <f>"Q"&amp;ROUNDUP(MONTH(Raw_Data!B911)/3,0)</f>
        <v>Q4</v>
      </c>
      <c r="F911" t="str">
        <f>TEXT(Raw_Data!B911,"mmm")</f>
        <v>Dec</v>
      </c>
      <c r="G911" t="str">
        <f>TEXT(Raw_Data!B911,"ddd")</f>
        <v>Tue</v>
      </c>
      <c r="H911" t="str">
        <f>Raw_Data!D911</f>
        <v>Invoiced</v>
      </c>
      <c r="I911" t="str">
        <f>Raw_Data!F911</f>
        <v>Tele-in</v>
      </c>
      <c r="J911" t="str">
        <f>Raw_Data!G911</f>
        <v>Dealer Webpage Tele-In</v>
      </c>
      <c r="K911" t="str">
        <f>IFERROR(VLOOKUP(J911,Source_Assumptions!$A:$C,2,0),"Unmapped")</f>
        <v>Digital - Owned</v>
      </c>
      <c r="L911" t="str">
        <f>Raw_Data!H911</f>
        <v>5TH GEN CITY PE</v>
      </c>
      <c r="M911" t="str">
        <f>IFERROR(VLOOKUP(L911,Model_Assumptions!$A:$D,2,0),"Unmapped")</f>
        <v>Mid-size Sedan</v>
      </c>
      <c r="N911" t="str">
        <f>IFERROR(VLOOKUP(L911,Model_Assumptions!$A:$D,3,0),"Unmapped")</f>
        <v>Petrol</v>
      </c>
      <c r="O911">
        <f>IFERROR(VLOOKUP(L911,Model_Assumptions!$A:$D,4,0),0)</f>
        <v>1250000</v>
      </c>
      <c r="P911">
        <f>IFERROR(VLOOKUP(J911,Source_Assumptions!$A:$C,3,0),0)</f>
        <v>300</v>
      </c>
    </row>
    <row r="912" spans="1:16" x14ac:dyDescent="0.3">
      <c r="A912">
        <f>Raw_Data!A912</f>
        <v>911</v>
      </c>
      <c r="B912" s="2">
        <f>Raw_Data!B912</f>
        <v>45280</v>
      </c>
      <c r="C912">
        <f>YEAR(Raw_Data!B912)</f>
        <v>2023</v>
      </c>
      <c r="D912" t="str">
        <f>IF(MONTH(Raw_Data!B912)&gt;=4,YEAR(Raw_Data!B912)&amp;"-"&amp;RIGHT(YEAR(Raw_Data!B912)+1,2),YEAR(Raw_Data!B912)-1&amp;"-"&amp;RIGHT(YEAR(Raw_Data!B912),2))</f>
        <v>2023-24</v>
      </c>
      <c r="E912" t="str">
        <f>"Q"&amp;ROUNDUP(MONTH(Raw_Data!B912)/3,0)</f>
        <v>Q4</v>
      </c>
      <c r="F912" t="str">
        <f>TEXT(Raw_Data!B912,"mmm")</f>
        <v>Dec</v>
      </c>
      <c r="G912" t="str">
        <f>TEXT(Raw_Data!B912,"ddd")</f>
        <v>Wed</v>
      </c>
      <c r="H912" t="str">
        <f>Raw_Data!D912</f>
        <v>Invoiced</v>
      </c>
      <c r="I912" t="str">
        <f>Raw_Data!F912</f>
        <v>Web Lead</v>
      </c>
      <c r="J912" t="str">
        <f>Raw_Data!G912</f>
        <v>Web_Facebook</v>
      </c>
      <c r="K912" t="str">
        <f>IFERROR(VLOOKUP(J912,Source_Assumptions!$A:$C,2,0),"Unmapped")</f>
        <v>Digital - Paid Social</v>
      </c>
      <c r="L912" t="str">
        <f>Raw_Data!H912</f>
        <v>5TH GEN CITY PE</v>
      </c>
      <c r="M912" t="str">
        <f>IFERROR(VLOOKUP(L912,Model_Assumptions!$A:$D,2,0),"Unmapped")</f>
        <v>Mid-size Sedan</v>
      </c>
      <c r="N912" t="str">
        <f>IFERROR(VLOOKUP(L912,Model_Assumptions!$A:$D,3,0),"Unmapped")</f>
        <v>Petrol</v>
      </c>
      <c r="O912">
        <f>IFERROR(VLOOKUP(L912,Model_Assumptions!$A:$D,4,0),0)</f>
        <v>1250000</v>
      </c>
      <c r="P912">
        <f>IFERROR(VLOOKUP(J912,Source_Assumptions!$A:$C,3,0),0)</f>
        <v>600</v>
      </c>
    </row>
    <row r="913" spans="1:16" x14ac:dyDescent="0.3">
      <c r="A913">
        <f>Raw_Data!A913</f>
        <v>912</v>
      </c>
      <c r="B913" s="2">
        <f>Raw_Data!B913</f>
        <v>45280</v>
      </c>
      <c r="C913">
        <f>YEAR(Raw_Data!B913)</f>
        <v>2023</v>
      </c>
      <c r="D913" t="str">
        <f>IF(MONTH(Raw_Data!B913)&gt;=4,YEAR(Raw_Data!B913)&amp;"-"&amp;RIGHT(YEAR(Raw_Data!B913)+1,2),YEAR(Raw_Data!B913)-1&amp;"-"&amp;RIGHT(YEAR(Raw_Data!B913),2))</f>
        <v>2023-24</v>
      </c>
      <c r="E913" t="str">
        <f>"Q"&amp;ROUNDUP(MONTH(Raw_Data!B913)/3,0)</f>
        <v>Q4</v>
      </c>
      <c r="F913" t="str">
        <f>TEXT(Raw_Data!B913,"mmm")</f>
        <v>Dec</v>
      </c>
      <c r="G913" t="str">
        <f>TEXT(Raw_Data!B913,"ddd")</f>
        <v>Wed</v>
      </c>
      <c r="H913" t="str">
        <f>Raw_Data!D913</f>
        <v>Invoiced</v>
      </c>
      <c r="I913" t="str">
        <f>Raw_Data!F913</f>
        <v>Walk-in Showroom</v>
      </c>
      <c r="J913" t="str">
        <f>Raw_Data!G913</f>
        <v>Adver. (TVC/Print/Hoarding/FM)</v>
      </c>
      <c r="K913" t="str">
        <f>IFERROR(VLOOKUP(J913,Source_Assumptions!$A:$C,2,0),"Unmapped")</f>
        <v>Traditional Advertising</v>
      </c>
      <c r="L913" t="str">
        <f>Raw_Data!H913</f>
        <v>ELEVATE</v>
      </c>
      <c r="M913" t="str">
        <f>IFERROR(VLOOKUP(L913,Model_Assumptions!$A:$D,2,0),"Unmapped")</f>
        <v>Compact SUV</v>
      </c>
      <c r="N913" t="str">
        <f>IFERROR(VLOOKUP(L913,Model_Assumptions!$A:$D,3,0),"Unmapped")</f>
        <v>Petrol</v>
      </c>
      <c r="O913">
        <f>IFERROR(VLOOKUP(L913,Model_Assumptions!$A:$D,4,0),0)</f>
        <v>1300000</v>
      </c>
      <c r="P913">
        <f>IFERROR(VLOOKUP(J913,Source_Assumptions!$A:$C,3,0),0)</f>
        <v>1200</v>
      </c>
    </row>
    <row r="914" spans="1:16" x14ac:dyDescent="0.3">
      <c r="A914">
        <f>Raw_Data!A914</f>
        <v>913</v>
      </c>
      <c r="B914" s="2">
        <f>Raw_Data!B914</f>
        <v>45280</v>
      </c>
      <c r="C914">
        <f>YEAR(Raw_Data!B914)</f>
        <v>2023</v>
      </c>
      <c r="D914" t="str">
        <f>IF(MONTH(Raw_Data!B914)&gt;=4,YEAR(Raw_Data!B914)&amp;"-"&amp;RIGHT(YEAR(Raw_Data!B914)+1,2),YEAR(Raw_Data!B914)-1&amp;"-"&amp;RIGHT(YEAR(Raw_Data!B914),2))</f>
        <v>2023-24</v>
      </c>
      <c r="E914" t="str">
        <f>"Q"&amp;ROUNDUP(MONTH(Raw_Data!B914)/3,0)</f>
        <v>Q4</v>
      </c>
      <c r="F914" t="str">
        <f>TEXT(Raw_Data!B914,"mmm")</f>
        <v>Dec</v>
      </c>
      <c r="G914" t="str">
        <f>TEXT(Raw_Data!B914,"ddd")</f>
        <v>Wed</v>
      </c>
      <c r="H914" t="str">
        <f>Raw_Data!D914</f>
        <v>Invoiced</v>
      </c>
      <c r="I914" t="str">
        <f>Raw_Data!F914</f>
        <v>Tele-in</v>
      </c>
      <c r="J914" t="str">
        <f>Raw_Data!G914</f>
        <v>Dealer Webpage Tele-In</v>
      </c>
      <c r="K914" t="str">
        <f>IFERROR(VLOOKUP(J914,Source_Assumptions!$A:$C,2,0),"Unmapped")</f>
        <v>Digital - Owned</v>
      </c>
      <c r="L914" t="str">
        <f>Raw_Data!H914</f>
        <v>ELEVATE</v>
      </c>
      <c r="M914" t="str">
        <f>IFERROR(VLOOKUP(L914,Model_Assumptions!$A:$D,2,0),"Unmapped")</f>
        <v>Compact SUV</v>
      </c>
      <c r="N914" t="str">
        <f>IFERROR(VLOOKUP(L914,Model_Assumptions!$A:$D,3,0),"Unmapped")</f>
        <v>Petrol</v>
      </c>
      <c r="O914">
        <f>IFERROR(VLOOKUP(L914,Model_Assumptions!$A:$D,4,0),0)</f>
        <v>1300000</v>
      </c>
      <c r="P914">
        <f>IFERROR(VLOOKUP(J914,Source_Assumptions!$A:$C,3,0),0)</f>
        <v>300</v>
      </c>
    </row>
    <row r="915" spans="1:16" x14ac:dyDescent="0.3">
      <c r="A915">
        <f>Raw_Data!A915</f>
        <v>914</v>
      </c>
      <c r="B915" s="2">
        <f>Raw_Data!B915</f>
        <v>45280</v>
      </c>
      <c r="C915">
        <f>YEAR(Raw_Data!B915)</f>
        <v>2023</v>
      </c>
      <c r="D915" t="str">
        <f>IF(MONTH(Raw_Data!B915)&gt;=4,YEAR(Raw_Data!B915)&amp;"-"&amp;RIGHT(YEAR(Raw_Data!B915)+1,2),YEAR(Raw_Data!B915)-1&amp;"-"&amp;RIGHT(YEAR(Raw_Data!B915),2))</f>
        <v>2023-24</v>
      </c>
      <c r="E915" t="str">
        <f>"Q"&amp;ROUNDUP(MONTH(Raw_Data!B915)/3,0)</f>
        <v>Q4</v>
      </c>
      <c r="F915" t="str">
        <f>TEXT(Raw_Data!B915,"mmm")</f>
        <v>Dec</v>
      </c>
      <c r="G915" t="str">
        <f>TEXT(Raw_Data!B915,"ddd")</f>
        <v>Wed</v>
      </c>
      <c r="H915" t="str">
        <f>Raw_Data!D915</f>
        <v>Invoiced</v>
      </c>
      <c r="I915" t="str">
        <f>Raw_Data!F915</f>
        <v>Tele-in</v>
      </c>
      <c r="J915" t="str">
        <f>Raw_Data!G915</f>
        <v>Dealer Webpage Tele-In</v>
      </c>
      <c r="K915" t="str">
        <f>IFERROR(VLOOKUP(J915,Source_Assumptions!$A:$C,2,0),"Unmapped")</f>
        <v>Digital - Owned</v>
      </c>
      <c r="L915" t="str">
        <f>Raw_Data!H915</f>
        <v>AMAZE Petrol</v>
      </c>
      <c r="M915" t="str">
        <f>IFERROR(VLOOKUP(L915,Model_Assumptions!$A:$D,2,0),"Unmapped")</f>
        <v>Sub-4m Sedan</v>
      </c>
      <c r="N915" t="str">
        <f>IFERROR(VLOOKUP(L915,Model_Assumptions!$A:$D,3,0),"Unmapped")</f>
        <v>Petrol</v>
      </c>
      <c r="O915">
        <f>IFERROR(VLOOKUP(L915,Model_Assumptions!$A:$D,4,0),0)</f>
        <v>850000</v>
      </c>
      <c r="P915">
        <f>IFERROR(VLOOKUP(J915,Source_Assumptions!$A:$C,3,0),0)</f>
        <v>300</v>
      </c>
    </row>
    <row r="916" spans="1:16" x14ac:dyDescent="0.3">
      <c r="A916">
        <f>Raw_Data!A916</f>
        <v>915</v>
      </c>
      <c r="B916" s="2">
        <f>Raw_Data!B916</f>
        <v>45280</v>
      </c>
      <c r="C916">
        <f>YEAR(Raw_Data!B916)</f>
        <v>2023</v>
      </c>
      <c r="D916" t="str">
        <f>IF(MONTH(Raw_Data!B916)&gt;=4,YEAR(Raw_Data!B916)&amp;"-"&amp;RIGHT(YEAR(Raw_Data!B916)+1,2),YEAR(Raw_Data!B916)-1&amp;"-"&amp;RIGHT(YEAR(Raw_Data!B916),2))</f>
        <v>2023-24</v>
      </c>
      <c r="E916" t="str">
        <f>"Q"&amp;ROUNDUP(MONTH(Raw_Data!B916)/3,0)</f>
        <v>Q4</v>
      </c>
      <c r="F916" t="str">
        <f>TEXT(Raw_Data!B916,"mmm")</f>
        <v>Dec</v>
      </c>
      <c r="G916" t="str">
        <f>TEXT(Raw_Data!B916,"ddd")</f>
        <v>Wed</v>
      </c>
      <c r="H916" t="str">
        <f>Raw_Data!D916</f>
        <v>Invoiced</v>
      </c>
      <c r="I916" t="str">
        <f>Raw_Data!F916</f>
        <v>Tele-in</v>
      </c>
      <c r="J916" t="str">
        <f>Raw_Data!G916</f>
        <v>Dealer Webpage Tele-In</v>
      </c>
      <c r="K916" t="str">
        <f>IFERROR(VLOOKUP(J916,Source_Assumptions!$A:$C,2,0),"Unmapped")</f>
        <v>Digital - Owned</v>
      </c>
      <c r="L916" t="str">
        <f>Raw_Data!H916</f>
        <v>5TH GEN CITY PE</v>
      </c>
      <c r="M916" t="str">
        <f>IFERROR(VLOOKUP(L916,Model_Assumptions!$A:$D,2,0),"Unmapped")</f>
        <v>Mid-size Sedan</v>
      </c>
      <c r="N916" t="str">
        <f>IFERROR(VLOOKUP(L916,Model_Assumptions!$A:$D,3,0),"Unmapped")</f>
        <v>Petrol</v>
      </c>
      <c r="O916">
        <f>IFERROR(VLOOKUP(L916,Model_Assumptions!$A:$D,4,0),0)</f>
        <v>1250000</v>
      </c>
      <c r="P916">
        <f>IFERROR(VLOOKUP(J916,Source_Assumptions!$A:$C,3,0),0)</f>
        <v>300</v>
      </c>
    </row>
    <row r="917" spans="1:16" x14ac:dyDescent="0.3">
      <c r="A917">
        <f>Raw_Data!A917</f>
        <v>916</v>
      </c>
      <c r="B917" s="2">
        <f>Raw_Data!B917</f>
        <v>45280</v>
      </c>
      <c r="C917">
        <f>YEAR(Raw_Data!B917)</f>
        <v>2023</v>
      </c>
      <c r="D917" t="str">
        <f>IF(MONTH(Raw_Data!B917)&gt;=4,YEAR(Raw_Data!B917)&amp;"-"&amp;RIGHT(YEAR(Raw_Data!B917)+1,2),YEAR(Raw_Data!B917)-1&amp;"-"&amp;RIGHT(YEAR(Raw_Data!B917),2))</f>
        <v>2023-24</v>
      </c>
      <c r="E917" t="str">
        <f>"Q"&amp;ROUNDUP(MONTH(Raw_Data!B917)/3,0)</f>
        <v>Q4</v>
      </c>
      <c r="F917" t="str">
        <f>TEXT(Raw_Data!B917,"mmm")</f>
        <v>Dec</v>
      </c>
      <c r="G917" t="str">
        <f>TEXT(Raw_Data!B917,"ddd")</f>
        <v>Wed</v>
      </c>
      <c r="H917" t="str">
        <f>Raw_Data!D917</f>
        <v>Invoiced</v>
      </c>
      <c r="I917" t="str">
        <f>Raw_Data!F917</f>
        <v>Web Lead</v>
      </c>
      <c r="J917" t="str">
        <f>Raw_Data!G917</f>
        <v>Web</v>
      </c>
      <c r="K917" t="str">
        <f>IFERROR(VLOOKUP(J917,Source_Assumptions!$A:$C,2,0),"Unmapped")</f>
        <v>Digital - Owned</v>
      </c>
      <c r="L917" t="str">
        <f>Raw_Data!H917</f>
        <v>ELEVATE</v>
      </c>
      <c r="M917" t="str">
        <f>IFERROR(VLOOKUP(L917,Model_Assumptions!$A:$D,2,0),"Unmapped")</f>
        <v>Compact SUV</v>
      </c>
      <c r="N917" t="str">
        <f>IFERROR(VLOOKUP(L917,Model_Assumptions!$A:$D,3,0),"Unmapped")</f>
        <v>Petrol</v>
      </c>
      <c r="O917">
        <f>IFERROR(VLOOKUP(L917,Model_Assumptions!$A:$D,4,0),0)</f>
        <v>1300000</v>
      </c>
      <c r="P917">
        <f>IFERROR(VLOOKUP(J917,Source_Assumptions!$A:$C,3,0),0)</f>
        <v>300</v>
      </c>
    </row>
    <row r="918" spans="1:16" x14ac:dyDescent="0.3">
      <c r="A918">
        <f>Raw_Data!A918</f>
        <v>917</v>
      </c>
      <c r="B918" s="2">
        <f>Raw_Data!B918</f>
        <v>45280</v>
      </c>
      <c r="C918">
        <f>YEAR(Raw_Data!B918)</f>
        <v>2023</v>
      </c>
      <c r="D918" t="str">
        <f>IF(MONTH(Raw_Data!B918)&gt;=4,YEAR(Raw_Data!B918)&amp;"-"&amp;RIGHT(YEAR(Raw_Data!B918)+1,2),YEAR(Raw_Data!B918)-1&amp;"-"&amp;RIGHT(YEAR(Raw_Data!B918),2))</f>
        <v>2023-24</v>
      </c>
      <c r="E918" t="str">
        <f>"Q"&amp;ROUNDUP(MONTH(Raw_Data!B918)/3,0)</f>
        <v>Q4</v>
      </c>
      <c r="F918" t="str">
        <f>TEXT(Raw_Data!B918,"mmm")</f>
        <v>Dec</v>
      </c>
      <c r="G918" t="str">
        <f>TEXT(Raw_Data!B918,"ddd")</f>
        <v>Wed</v>
      </c>
      <c r="H918" t="str">
        <f>Raw_Data!D918</f>
        <v>Invoiced</v>
      </c>
      <c r="I918" t="str">
        <f>Raw_Data!F918</f>
        <v>SMS/ Tele-Out</v>
      </c>
      <c r="J918" t="str">
        <f>Raw_Data!G918</f>
        <v>I-BAP Self</v>
      </c>
      <c r="K918" t="str">
        <f>IFERROR(VLOOKUP(J918,Source_Assumptions!$A:$C,2,0),"Unmapped")</f>
        <v>Referral (Insurance/Banking Partner)</v>
      </c>
      <c r="L918" t="str">
        <f>Raw_Data!H918</f>
        <v>ELEVATE</v>
      </c>
      <c r="M918" t="str">
        <f>IFERROR(VLOOKUP(L918,Model_Assumptions!$A:$D,2,0),"Unmapped")</f>
        <v>Compact SUV</v>
      </c>
      <c r="N918" t="str">
        <f>IFERROR(VLOOKUP(L918,Model_Assumptions!$A:$D,3,0),"Unmapped")</f>
        <v>Petrol</v>
      </c>
      <c r="O918">
        <f>IFERROR(VLOOKUP(L918,Model_Assumptions!$A:$D,4,0),0)</f>
        <v>1300000</v>
      </c>
      <c r="P918">
        <f>IFERROR(VLOOKUP(J918,Source_Assumptions!$A:$C,3,0),0)</f>
        <v>100</v>
      </c>
    </row>
    <row r="919" spans="1:16" x14ac:dyDescent="0.3">
      <c r="A919">
        <f>Raw_Data!A919</f>
        <v>918</v>
      </c>
      <c r="B919" s="2">
        <f>Raw_Data!B919</f>
        <v>45281</v>
      </c>
      <c r="C919">
        <f>YEAR(Raw_Data!B919)</f>
        <v>2023</v>
      </c>
      <c r="D919" t="str">
        <f>IF(MONTH(Raw_Data!B919)&gt;=4,YEAR(Raw_Data!B919)&amp;"-"&amp;RIGHT(YEAR(Raw_Data!B919)+1,2),YEAR(Raw_Data!B919)-1&amp;"-"&amp;RIGHT(YEAR(Raw_Data!B919),2))</f>
        <v>2023-24</v>
      </c>
      <c r="E919" t="str">
        <f>"Q"&amp;ROUNDUP(MONTH(Raw_Data!B919)/3,0)</f>
        <v>Q4</v>
      </c>
      <c r="F919" t="str">
        <f>TEXT(Raw_Data!B919,"mmm")</f>
        <v>Dec</v>
      </c>
      <c r="G919" t="str">
        <f>TEXT(Raw_Data!B919,"ddd")</f>
        <v>Thu</v>
      </c>
      <c r="H919" t="str">
        <f>Raw_Data!D919</f>
        <v>Invoiced</v>
      </c>
      <c r="I919" t="str">
        <f>Raw_Data!F919</f>
        <v>Tele-in</v>
      </c>
      <c r="J919" t="str">
        <f>Raw_Data!G919</f>
        <v>Dealer Webpage Tele-In</v>
      </c>
      <c r="K919" t="str">
        <f>IFERROR(VLOOKUP(J919,Source_Assumptions!$A:$C,2,0),"Unmapped")</f>
        <v>Digital - Owned</v>
      </c>
      <c r="L919" t="str">
        <f>Raw_Data!H919</f>
        <v>ELEVATE</v>
      </c>
      <c r="M919" t="str">
        <f>IFERROR(VLOOKUP(L919,Model_Assumptions!$A:$D,2,0),"Unmapped")</f>
        <v>Compact SUV</v>
      </c>
      <c r="N919" t="str">
        <f>IFERROR(VLOOKUP(L919,Model_Assumptions!$A:$D,3,0),"Unmapped")</f>
        <v>Petrol</v>
      </c>
      <c r="O919">
        <f>IFERROR(VLOOKUP(L919,Model_Assumptions!$A:$D,4,0),0)</f>
        <v>1300000</v>
      </c>
      <c r="P919">
        <f>IFERROR(VLOOKUP(J919,Source_Assumptions!$A:$C,3,0),0)</f>
        <v>300</v>
      </c>
    </row>
    <row r="920" spans="1:16" x14ac:dyDescent="0.3">
      <c r="A920">
        <f>Raw_Data!A920</f>
        <v>919</v>
      </c>
      <c r="B920" s="2">
        <f>Raw_Data!B920</f>
        <v>45281</v>
      </c>
      <c r="C920">
        <f>YEAR(Raw_Data!B920)</f>
        <v>2023</v>
      </c>
      <c r="D920" t="str">
        <f>IF(MONTH(Raw_Data!B920)&gt;=4,YEAR(Raw_Data!B920)&amp;"-"&amp;RIGHT(YEAR(Raw_Data!B920)+1,2),YEAR(Raw_Data!B920)-1&amp;"-"&amp;RIGHT(YEAR(Raw_Data!B920),2))</f>
        <v>2023-24</v>
      </c>
      <c r="E920" t="str">
        <f>"Q"&amp;ROUNDUP(MONTH(Raw_Data!B920)/3,0)</f>
        <v>Q4</v>
      </c>
      <c r="F920" t="str">
        <f>TEXT(Raw_Data!B920,"mmm")</f>
        <v>Dec</v>
      </c>
      <c r="G920" t="str">
        <f>TEXT(Raw_Data!B920,"ddd")</f>
        <v>Thu</v>
      </c>
      <c r="H920" t="str">
        <f>Raw_Data!D920</f>
        <v>Invoiced</v>
      </c>
      <c r="I920" t="str">
        <f>Raw_Data!F920</f>
        <v>SMS/ Tele-Out</v>
      </c>
      <c r="J920" t="str">
        <f>Raw_Data!G920</f>
        <v>Referral-CAM</v>
      </c>
      <c r="K920" t="str">
        <f>IFERROR(VLOOKUP(J920,Source_Assumptions!$A:$C,2,0),"Unmapped")</f>
        <v>Referral</v>
      </c>
      <c r="L920" t="str">
        <f>Raw_Data!H920</f>
        <v>5TH GEN CITY PE</v>
      </c>
      <c r="M920" t="str">
        <f>IFERROR(VLOOKUP(L920,Model_Assumptions!$A:$D,2,0),"Unmapped")</f>
        <v>Mid-size Sedan</v>
      </c>
      <c r="N920" t="str">
        <f>IFERROR(VLOOKUP(L920,Model_Assumptions!$A:$D,3,0),"Unmapped")</f>
        <v>Petrol</v>
      </c>
      <c r="O920">
        <f>IFERROR(VLOOKUP(L920,Model_Assumptions!$A:$D,4,0),0)</f>
        <v>1250000</v>
      </c>
      <c r="P920">
        <f>IFERROR(VLOOKUP(J920,Source_Assumptions!$A:$C,3,0),0)</f>
        <v>150</v>
      </c>
    </row>
    <row r="921" spans="1:16" x14ac:dyDescent="0.3">
      <c r="A921">
        <f>Raw_Data!A921</f>
        <v>920</v>
      </c>
      <c r="B921" s="2">
        <f>Raw_Data!B921</f>
        <v>45281</v>
      </c>
      <c r="C921">
        <f>YEAR(Raw_Data!B921)</f>
        <v>2023</v>
      </c>
      <c r="D921" t="str">
        <f>IF(MONTH(Raw_Data!B921)&gt;=4,YEAR(Raw_Data!B921)&amp;"-"&amp;RIGHT(YEAR(Raw_Data!B921)+1,2),YEAR(Raw_Data!B921)-1&amp;"-"&amp;RIGHT(YEAR(Raw_Data!B921),2))</f>
        <v>2023-24</v>
      </c>
      <c r="E921" t="str">
        <f>"Q"&amp;ROUNDUP(MONTH(Raw_Data!B921)/3,0)</f>
        <v>Q4</v>
      </c>
      <c r="F921" t="str">
        <f>TEXT(Raw_Data!B921,"mmm")</f>
        <v>Dec</v>
      </c>
      <c r="G921" t="str">
        <f>TEXT(Raw_Data!B921,"ddd")</f>
        <v>Thu</v>
      </c>
      <c r="H921" t="str">
        <f>Raw_Data!D921</f>
        <v>Invoiced</v>
      </c>
      <c r="I921" t="str">
        <f>Raw_Data!F921</f>
        <v>SMS/ Tele-Out</v>
      </c>
      <c r="J921" t="str">
        <f>Raw_Data!G921</f>
        <v>Referral-CAM</v>
      </c>
      <c r="K921" t="str">
        <f>IFERROR(VLOOKUP(J921,Source_Assumptions!$A:$C,2,0),"Unmapped")</f>
        <v>Referral</v>
      </c>
      <c r="L921" t="str">
        <f>Raw_Data!H921</f>
        <v>AMAZE Petrol</v>
      </c>
      <c r="M921" t="str">
        <f>IFERROR(VLOOKUP(L921,Model_Assumptions!$A:$D,2,0),"Unmapped")</f>
        <v>Sub-4m Sedan</v>
      </c>
      <c r="N921" t="str">
        <f>IFERROR(VLOOKUP(L921,Model_Assumptions!$A:$D,3,0),"Unmapped")</f>
        <v>Petrol</v>
      </c>
      <c r="O921">
        <f>IFERROR(VLOOKUP(L921,Model_Assumptions!$A:$D,4,0),0)</f>
        <v>850000</v>
      </c>
      <c r="P921">
        <f>IFERROR(VLOOKUP(J921,Source_Assumptions!$A:$C,3,0),0)</f>
        <v>150</v>
      </c>
    </row>
    <row r="922" spans="1:16" x14ac:dyDescent="0.3">
      <c r="A922">
        <f>Raw_Data!A922</f>
        <v>921</v>
      </c>
      <c r="B922" s="2">
        <f>Raw_Data!B922</f>
        <v>45281</v>
      </c>
      <c r="C922">
        <f>YEAR(Raw_Data!B922)</f>
        <v>2023</v>
      </c>
      <c r="D922" t="str">
        <f>IF(MONTH(Raw_Data!B922)&gt;=4,YEAR(Raw_Data!B922)&amp;"-"&amp;RIGHT(YEAR(Raw_Data!B922)+1,2),YEAR(Raw_Data!B922)-1&amp;"-"&amp;RIGHT(YEAR(Raw_Data!B922),2))</f>
        <v>2023-24</v>
      </c>
      <c r="E922" t="str">
        <f>"Q"&amp;ROUNDUP(MONTH(Raw_Data!B922)/3,0)</f>
        <v>Q4</v>
      </c>
      <c r="F922" t="str">
        <f>TEXT(Raw_Data!B922,"mmm")</f>
        <v>Dec</v>
      </c>
      <c r="G922" t="str">
        <f>TEXT(Raw_Data!B922,"ddd")</f>
        <v>Thu</v>
      </c>
      <c r="H922" t="str">
        <f>Raw_Data!D922</f>
        <v>Invoiced</v>
      </c>
      <c r="I922" t="str">
        <f>Raw_Data!F922</f>
        <v>Tele-in</v>
      </c>
      <c r="J922" t="str">
        <f>Raw_Data!G922</f>
        <v>Dealer Webpage Tele-In</v>
      </c>
      <c r="K922" t="str">
        <f>IFERROR(VLOOKUP(J922,Source_Assumptions!$A:$C,2,0),"Unmapped")</f>
        <v>Digital - Owned</v>
      </c>
      <c r="L922" t="str">
        <f>Raw_Data!H922</f>
        <v>AMAZE Petrol</v>
      </c>
      <c r="M922" t="str">
        <f>IFERROR(VLOOKUP(L922,Model_Assumptions!$A:$D,2,0),"Unmapped")</f>
        <v>Sub-4m Sedan</v>
      </c>
      <c r="N922" t="str">
        <f>IFERROR(VLOOKUP(L922,Model_Assumptions!$A:$D,3,0),"Unmapped")</f>
        <v>Petrol</v>
      </c>
      <c r="O922">
        <f>IFERROR(VLOOKUP(L922,Model_Assumptions!$A:$D,4,0),0)</f>
        <v>850000</v>
      </c>
      <c r="P922">
        <f>IFERROR(VLOOKUP(J922,Source_Assumptions!$A:$C,3,0),0)</f>
        <v>300</v>
      </c>
    </row>
    <row r="923" spans="1:16" x14ac:dyDescent="0.3">
      <c r="A923">
        <f>Raw_Data!A923</f>
        <v>922</v>
      </c>
      <c r="B923" s="2">
        <f>Raw_Data!B923</f>
        <v>45281</v>
      </c>
      <c r="C923">
        <f>YEAR(Raw_Data!B923)</f>
        <v>2023</v>
      </c>
      <c r="D923" t="str">
        <f>IF(MONTH(Raw_Data!B923)&gt;=4,YEAR(Raw_Data!B923)&amp;"-"&amp;RIGHT(YEAR(Raw_Data!B923)+1,2),YEAR(Raw_Data!B923)-1&amp;"-"&amp;RIGHT(YEAR(Raw_Data!B923),2))</f>
        <v>2023-24</v>
      </c>
      <c r="E923" t="str">
        <f>"Q"&amp;ROUNDUP(MONTH(Raw_Data!B923)/3,0)</f>
        <v>Q4</v>
      </c>
      <c r="F923" t="str">
        <f>TEXT(Raw_Data!B923,"mmm")</f>
        <v>Dec</v>
      </c>
      <c r="G923" t="str">
        <f>TEXT(Raw_Data!B923,"ddd")</f>
        <v>Thu</v>
      </c>
      <c r="H923" t="str">
        <f>Raw_Data!D923</f>
        <v>Invoiced</v>
      </c>
      <c r="I923" t="str">
        <f>Raw_Data!F923</f>
        <v>Walk-in Showroom</v>
      </c>
      <c r="J923" t="str">
        <f>Raw_Data!G923</f>
        <v>Adver. (TVC/Print/Hoarding/FM)</v>
      </c>
      <c r="K923" t="str">
        <f>IFERROR(VLOOKUP(J923,Source_Assumptions!$A:$C,2,0),"Unmapped")</f>
        <v>Traditional Advertising</v>
      </c>
      <c r="L923" t="str">
        <f>Raw_Data!H923</f>
        <v>AMAZE Petrol</v>
      </c>
      <c r="M923" t="str">
        <f>IFERROR(VLOOKUP(L923,Model_Assumptions!$A:$D,2,0),"Unmapped")</f>
        <v>Sub-4m Sedan</v>
      </c>
      <c r="N923" t="str">
        <f>IFERROR(VLOOKUP(L923,Model_Assumptions!$A:$D,3,0),"Unmapped")</f>
        <v>Petrol</v>
      </c>
      <c r="O923">
        <f>IFERROR(VLOOKUP(L923,Model_Assumptions!$A:$D,4,0),0)</f>
        <v>850000</v>
      </c>
      <c r="P923">
        <f>IFERROR(VLOOKUP(J923,Source_Assumptions!$A:$C,3,0),0)</f>
        <v>1200</v>
      </c>
    </row>
    <row r="924" spans="1:16" x14ac:dyDescent="0.3">
      <c r="A924">
        <f>Raw_Data!A924</f>
        <v>923</v>
      </c>
      <c r="B924" s="2">
        <f>Raw_Data!B924</f>
        <v>45281</v>
      </c>
      <c r="C924">
        <f>YEAR(Raw_Data!B924)</f>
        <v>2023</v>
      </c>
      <c r="D924" t="str">
        <f>IF(MONTH(Raw_Data!B924)&gt;=4,YEAR(Raw_Data!B924)&amp;"-"&amp;RIGHT(YEAR(Raw_Data!B924)+1,2),YEAR(Raw_Data!B924)-1&amp;"-"&amp;RIGHT(YEAR(Raw_Data!B924),2))</f>
        <v>2023-24</v>
      </c>
      <c r="E924" t="str">
        <f>"Q"&amp;ROUNDUP(MONTH(Raw_Data!B924)/3,0)</f>
        <v>Q4</v>
      </c>
      <c r="F924" t="str">
        <f>TEXT(Raw_Data!B924,"mmm")</f>
        <v>Dec</v>
      </c>
      <c r="G924" t="str">
        <f>TEXT(Raw_Data!B924,"ddd")</f>
        <v>Thu</v>
      </c>
      <c r="H924" t="str">
        <f>Raw_Data!D924</f>
        <v>Invoiced</v>
      </c>
      <c r="I924" t="str">
        <f>Raw_Data!F924</f>
        <v>Web Lead</v>
      </c>
      <c r="J924" t="str">
        <f>Raw_Data!G924</f>
        <v>Web_Organic</v>
      </c>
      <c r="K924" t="str">
        <f>IFERROR(VLOOKUP(J924,Source_Assumptions!$A:$C,2,0),"Unmapped")</f>
        <v>Digital - Organic</v>
      </c>
      <c r="L924" t="str">
        <f>Raw_Data!H924</f>
        <v>5TH GEN CITY PE</v>
      </c>
      <c r="M924" t="str">
        <f>IFERROR(VLOOKUP(L924,Model_Assumptions!$A:$D,2,0),"Unmapped")</f>
        <v>Mid-size Sedan</v>
      </c>
      <c r="N924" t="str">
        <f>IFERROR(VLOOKUP(L924,Model_Assumptions!$A:$D,3,0),"Unmapped")</f>
        <v>Petrol</v>
      </c>
      <c r="O924">
        <f>IFERROR(VLOOKUP(L924,Model_Assumptions!$A:$D,4,0),0)</f>
        <v>1250000</v>
      </c>
      <c r="P924">
        <f>IFERROR(VLOOKUP(J924,Source_Assumptions!$A:$C,3,0),0)</f>
        <v>100</v>
      </c>
    </row>
    <row r="925" spans="1:16" x14ac:dyDescent="0.3">
      <c r="A925">
        <f>Raw_Data!A925</f>
        <v>924</v>
      </c>
      <c r="B925" s="2">
        <f>Raw_Data!B925</f>
        <v>45281</v>
      </c>
      <c r="C925">
        <f>YEAR(Raw_Data!B925)</f>
        <v>2023</v>
      </c>
      <c r="D925" t="str">
        <f>IF(MONTH(Raw_Data!B925)&gt;=4,YEAR(Raw_Data!B925)&amp;"-"&amp;RIGHT(YEAR(Raw_Data!B925)+1,2),YEAR(Raw_Data!B925)-1&amp;"-"&amp;RIGHT(YEAR(Raw_Data!B925),2))</f>
        <v>2023-24</v>
      </c>
      <c r="E925" t="str">
        <f>"Q"&amp;ROUNDUP(MONTH(Raw_Data!B925)/3,0)</f>
        <v>Q4</v>
      </c>
      <c r="F925" t="str">
        <f>TEXT(Raw_Data!B925,"mmm")</f>
        <v>Dec</v>
      </c>
      <c r="G925" t="str">
        <f>TEXT(Raw_Data!B925,"ddd")</f>
        <v>Thu</v>
      </c>
      <c r="H925" t="str">
        <f>Raw_Data!D925</f>
        <v>Invoiced</v>
      </c>
      <c r="I925" t="str">
        <f>Raw_Data!F925</f>
        <v>Walk-in Showroom</v>
      </c>
      <c r="J925" t="str">
        <f>Raw_Data!G925</f>
        <v>Adver. (TVC/Print/Hoarding/FM)</v>
      </c>
      <c r="K925" t="str">
        <f>IFERROR(VLOOKUP(J925,Source_Assumptions!$A:$C,2,0),"Unmapped")</f>
        <v>Traditional Advertising</v>
      </c>
      <c r="L925" t="str">
        <f>Raw_Data!H925</f>
        <v>AMAZE Petrol</v>
      </c>
      <c r="M925" t="str">
        <f>IFERROR(VLOOKUP(L925,Model_Assumptions!$A:$D,2,0),"Unmapped")</f>
        <v>Sub-4m Sedan</v>
      </c>
      <c r="N925" t="str">
        <f>IFERROR(VLOOKUP(L925,Model_Assumptions!$A:$D,3,0),"Unmapped")</f>
        <v>Petrol</v>
      </c>
      <c r="O925">
        <f>IFERROR(VLOOKUP(L925,Model_Assumptions!$A:$D,4,0),0)</f>
        <v>850000</v>
      </c>
      <c r="P925">
        <f>IFERROR(VLOOKUP(J925,Source_Assumptions!$A:$C,3,0),0)</f>
        <v>1200</v>
      </c>
    </row>
    <row r="926" spans="1:16" x14ac:dyDescent="0.3">
      <c r="A926">
        <f>Raw_Data!A926</f>
        <v>925</v>
      </c>
      <c r="B926" s="2">
        <f>Raw_Data!B926</f>
        <v>45281</v>
      </c>
      <c r="C926">
        <f>YEAR(Raw_Data!B926)</f>
        <v>2023</v>
      </c>
      <c r="D926" t="str">
        <f>IF(MONTH(Raw_Data!B926)&gt;=4,YEAR(Raw_Data!B926)&amp;"-"&amp;RIGHT(YEAR(Raw_Data!B926)+1,2),YEAR(Raw_Data!B926)-1&amp;"-"&amp;RIGHT(YEAR(Raw_Data!B926),2))</f>
        <v>2023-24</v>
      </c>
      <c r="E926" t="str">
        <f>"Q"&amp;ROUNDUP(MONTH(Raw_Data!B926)/3,0)</f>
        <v>Q4</v>
      </c>
      <c r="F926" t="str">
        <f>TEXT(Raw_Data!B926,"mmm")</f>
        <v>Dec</v>
      </c>
      <c r="G926" t="str">
        <f>TEXT(Raw_Data!B926,"ddd")</f>
        <v>Thu</v>
      </c>
      <c r="H926" t="str">
        <f>Raw_Data!D926</f>
        <v>Invoiced</v>
      </c>
      <c r="I926" t="str">
        <f>Raw_Data!F926</f>
        <v>Tele-in</v>
      </c>
      <c r="J926" t="str">
        <f>Raw_Data!G926</f>
        <v>Referral-CAM</v>
      </c>
      <c r="K926" t="str">
        <f>IFERROR(VLOOKUP(J926,Source_Assumptions!$A:$C,2,0),"Unmapped")</f>
        <v>Referral</v>
      </c>
      <c r="L926" t="str">
        <f>Raw_Data!H926</f>
        <v>AMAZE Petrol</v>
      </c>
      <c r="M926" t="str">
        <f>IFERROR(VLOOKUP(L926,Model_Assumptions!$A:$D,2,0),"Unmapped")</f>
        <v>Sub-4m Sedan</v>
      </c>
      <c r="N926" t="str">
        <f>IFERROR(VLOOKUP(L926,Model_Assumptions!$A:$D,3,0),"Unmapped")</f>
        <v>Petrol</v>
      </c>
      <c r="O926">
        <f>IFERROR(VLOOKUP(L926,Model_Assumptions!$A:$D,4,0),0)</f>
        <v>850000</v>
      </c>
      <c r="P926">
        <f>IFERROR(VLOOKUP(J926,Source_Assumptions!$A:$C,3,0),0)</f>
        <v>150</v>
      </c>
    </row>
    <row r="927" spans="1:16" x14ac:dyDescent="0.3">
      <c r="A927">
        <f>Raw_Data!A927</f>
        <v>926</v>
      </c>
      <c r="B927" s="2">
        <f>Raw_Data!B927</f>
        <v>45281</v>
      </c>
      <c r="C927">
        <f>YEAR(Raw_Data!B927)</f>
        <v>2023</v>
      </c>
      <c r="D927" t="str">
        <f>IF(MONTH(Raw_Data!B927)&gt;=4,YEAR(Raw_Data!B927)&amp;"-"&amp;RIGHT(YEAR(Raw_Data!B927)+1,2),YEAR(Raw_Data!B927)-1&amp;"-"&amp;RIGHT(YEAR(Raw_Data!B927),2))</f>
        <v>2023-24</v>
      </c>
      <c r="E927" t="str">
        <f>"Q"&amp;ROUNDUP(MONTH(Raw_Data!B927)/3,0)</f>
        <v>Q4</v>
      </c>
      <c r="F927" t="str">
        <f>TEXT(Raw_Data!B927,"mmm")</f>
        <v>Dec</v>
      </c>
      <c r="G927" t="str">
        <f>TEXT(Raw_Data!B927,"ddd")</f>
        <v>Thu</v>
      </c>
      <c r="H927" t="str">
        <f>Raw_Data!D927</f>
        <v>Invoiced</v>
      </c>
      <c r="I927" t="str">
        <f>Raw_Data!F927</f>
        <v>Web Lead</v>
      </c>
      <c r="J927" t="str">
        <f>Raw_Data!G927</f>
        <v>Online Booking</v>
      </c>
      <c r="K927" t="str">
        <f>IFERROR(VLOOKUP(J927,Source_Assumptions!$A:$C,2,0),"Unmapped")</f>
        <v>Digital - Owned</v>
      </c>
      <c r="L927" t="str">
        <f>Raw_Data!H927</f>
        <v>ELEVATE</v>
      </c>
      <c r="M927" t="str">
        <f>IFERROR(VLOOKUP(L927,Model_Assumptions!$A:$D,2,0),"Unmapped")</f>
        <v>Compact SUV</v>
      </c>
      <c r="N927" t="str">
        <f>IFERROR(VLOOKUP(L927,Model_Assumptions!$A:$D,3,0),"Unmapped")</f>
        <v>Petrol</v>
      </c>
      <c r="O927">
        <f>IFERROR(VLOOKUP(L927,Model_Assumptions!$A:$D,4,0),0)</f>
        <v>1300000</v>
      </c>
      <c r="P927">
        <f>IFERROR(VLOOKUP(J927,Source_Assumptions!$A:$C,3,0),0)</f>
        <v>300</v>
      </c>
    </row>
    <row r="928" spans="1:16" x14ac:dyDescent="0.3">
      <c r="A928">
        <f>Raw_Data!A928</f>
        <v>927</v>
      </c>
      <c r="B928" s="2">
        <f>Raw_Data!B928</f>
        <v>45282</v>
      </c>
      <c r="C928">
        <f>YEAR(Raw_Data!B928)</f>
        <v>2023</v>
      </c>
      <c r="D928" t="str">
        <f>IF(MONTH(Raw_Data!B928)&gt;=4,YEAR(Raw_Data!B928)&amp;"-"&amp;RIGHT(YEAR(Raw_Data!B928)+1,2),YEAR(Raw_Data!B928)-1&amp;"-"&amp;RIGHT(YEAR(Raw_Data!B928),2))</f>
        <v>2023-24</v>
      </c>
      <c r="E928" t="str">
        <f>"Q"&amp;ROUNDUP(MONTH(Raw_Data!B928)/3,0)</f>
        <v>Q4</v>
      </c>
      <c r="F928" t="str">
        <f>TEXT(Raw_Data!B928,"mmm")</f>
        <v>Dec</v>
      </c>
      <c r="G928" t="str">
        <f>TEXT(Raw_Data!B928,"ddd")</f>
        <v>Fri</v>
      </c>
      <c r="H928" t="str">
        <f>Raw_Data!D928</f>
        <v>Invoiced</v>
      </c>
      <c r="I928" t="str">
        <f>Raw_Data!F928</f>
        <v>Web Lead</v>
      </c>
      <c r="J928" t="str">
        <f>Raw_Data!G928</f>
        <v>Online Booking</v>
      </c>
      <c r="K928" t="str">
        <f>IFERROR(VLOOKUP(J928,Source_Assumptions!$A:$C,2,0),"Unmapped")</f>
        <v>Digital - Owned</v>
      </c>
      <c r="L928" t="str">
        <f>Raw_Data!H928</f>
        <v>ELEVATE</v>
      </c>
      <c r="M928" t="str">
        <f>IFERROR(VLOOKUP(L928,Model_Assumptions!$A:$D,2,0),"Unmapped")</f>
        <v>Compact SUV</v>
      </c>
      <c r="N928" t="str">
        <f>IFERROR(VLOOKUP(L928,Model_Assumptions!$A:$D,3,0),"Unmapped")</f>
        <v>Petrol</v>
      </c>
      <c r="O928">
        <f>IFERROR(VLOOKUP(L928,Model_Assumptions!$A:$D,4,0),0)</f>
        <v>1300000</v>
      </c>
      <c r="P928">
        <f>IFERROR(VLOOKUP(J928,Source_Assumptions!$A:$C,3,0),0)</f>
        <v>300</v>
      </c>
    </row>
    <row r="929" spans="1:16" x14ac:dyDescent="0.3">
      <c r="A929">
        <f>Raw_Data!A929</f>
        <v>928</v>
      </c>
      <c r="B929" s="2">
        <f>Raw_Data!B929</f>
        <v>45282</v>
      </c>
      <c r="C929">
        <f>YEAR(Raw_Data!B929)</f>
        <v>2023</v>
      </c>
      <c r="D929" t="str">
        <f>IF(MONTH(Raw_Data!B929)&gt;=4,YEAR(Raw_Data!B929)&amp;"-"&amp;RIGHT(YEAR(Raw_Data!B929)+1,2),YEAR(Raw_Data!B929)-1&amp;"-"&amp;RIGHT(YEAR(Raw_Data!B929),2))</f>
        <v>2023-24</v>
      </c>
      <c r="E929" t="str">
        <f>"Q"&amp;ROUNDUP(MONTH(Raw_Data!B929)/3,0)</f>
        <v>Q4</v>
      </c>
      <c r="F929" t="str">
        <f>TEXT(Raw_Data!B929,"mmm")</f>
        <v>Dec</v>
      </c>
      <c r="G929" t="str">
        <f>TEXT(Raw_Data!B929,"ddd")</f>
        <v>Fri</v>
      </c>
      <c r="H929" t="str">
        <f>Raw_Data!D929</f>
        <v>Invoiced</v>
      </c>
      <c r="I929" t="str">
        <f>Raw_Data!F929</f>
        <v>Web Lead</v>
      </c>
      <c r="J929" t="str">
        <f>Raw_Data!G929</f>
        <v>Web_Facebook</v>
      </c>
      <c r="K929" t="str">
        <f>IFERROR(VLOOKUP(J929,Source_Assumptions!$A:$C,2,0),"Unmapped")</f>
        <v>Digital - Paid Social</v>
      </c>
      <c r="L929" t="str">
        <f>Raw_Data!H929</f>
        <v>ELEVATE</v>
      </c>
      <c r="M929" t="str">
        <f>IFERROR(VLOOKUP(L929,Model_Assumptions!$A:$D,2,0),"Unmapped")</f>
        <v>Compact SUV</v>
      </c>
      <c r="N929" t="str">
        <f>IFERROR(VLOOKUP(L929,Model_Assumptions!$A:$D,3,0),"Unmapped")</f>
        <v>Petrol</v>
      </c>
      <c r="O929">
        <f>IFERROR(VLOOKUP(L929,Model_Assumptions!$A:$D,4,0),0)</f>
        <v>1300000</v>
      </c>
      <c r="P929">
        <f>IFERROR(VLOOKUP(J929,Source_Assumptions!$A:$C,3,0),0)</f>
        <v>600</v>
      </c>
    </row>
    <row r="930" spans="1:16" x14ac:dyDescent="0.3">
      <c r="A930">
        <f>Raw_Data!A930</f>
        <v>929</v>
      </c>
      <c r="B930" s="2">
        <f>Raw_Data!B930</f>
        <v>45283</v>
      </c>
      <c r="C930">
        <f>YEAR(Raw_Data!B930)</f>
        <v>2023</v>
      </c>
      <c r="D930" t="str">
        <f>IF(MONTH(Raw_Data!B930)&gt;=4,YEAR(Raw_Data!B930)&amp;"-"&amp;RIGHT(YEAR(Raw_Data!B930)+1,2),YEAR(Raw_Data!B930)-1&amp;"-"&amp;RIGHT(YEAR(Raw_Data!B930),2))</f>
        <v>2023-24</v>
      </c>
      <c r="E930" t="str">
        <f>"Q"&amp;ROUNDUP(MONTH(Raw_Data!B930)/3,0)</f>
        <v>Q4</v>
      </c>
      <c r="F930" t="str">
        <f>TEXT(Raw_Data!B930,"mmm")</f>
        <v>Dec</v>
      </c>
      <c r="G930" t="str">
        <f>TEXT(Raw_Data!B930,"ddd")</f>
        <v>Sat</v>
      </c>
      <c r="H930" t="str">
        <f>Raw_Data!D930</f>
        <v>Invoiced</v>
      </c>
      <c r="I930" t="str">
        <f>Raw_Data!F930</f>
        <v>Tele-in</v>
      </c>
      <c r="J930" t="str">
        <f>Raw_Data!G930</f>
        <v>Referral-CAM</v>
      </c>
      <c r="K930" t="str">
        <f>IFERROR(VLOOKUP(J930,Source_Assumptions!$A:$C,2,0),"Unmapped")</f>
        <v>Referral</v>
      </c>
      <c r="L930" t="str">
        <f>Raw_Data!H930</f>
        <v>AMAZE Petrol</v>
      </c>
      <c r="M930" t="str">
        <f>IFERROR(VLOOKUP(L930,Model_Assumptions!$A:$D,2,0),"Unmapped")</f>
        <v>Sub-4m Sedan</v>
      </c>
      <c r="N930" t="str">
        <f>IFERROR(VLOOKUP(L930,Model_Assumptions!$A:$D,3,0),"Unmapped")</f>
        <v>Petrol</v>
      </c>
      <c r="O930">
        <f>IFERROR(VLOOKUP(L930,Model_Assumptions!$A:$D,4,0),0)</f>
        <v>850000</v>
      </c>
      <c r="P930">
        <f>IFERROR(VLOOKUP(J930,Source_Assumptions!$A:$C,3,0),0)</f>
        <v>150</v>
      </c>
    </row>
    <row r="931" spans="1:16" x14ac:dyDescent="0.3">
      <c r="A931">
        <f>Raw_Data!A931</f>
        <v>930</v>
      </c>
      <c r="B931" s="2">
        <f>Raw_Data!B931</f>
        <v>45283</v>
      </c>
      <c r="C931">
        <f>YEAR(Raw_Data!B931)</f>
        <v>2023</v>
      </c>
      <c r="D931" t="str">
        <f>IF(MONTH(Raw_Data!B931)&gt;=4,YEAR(Raw_Data!B931)&amp;"-"&amp;RIGHT(YEAR(Raw_Data!B931)+1,2),YEAR(Raw_Data!B931)-1&amp;"-"&amp;RIGHT(YEAR(Raw_Data!B931),2))</f>
        <v>2023-24</v>
      </c>
      <c r="E931" t="str">
        <f>"Q"&amp;ROUNDUP(MONTH(Raw_Data!B931)/3,0)</f>
        <v>Q4</v>
      </c>
      <c r="F931" t="str">
        <f>TEXT(Raw_Data!B931,"mmm")</f>
        <v>Dec</v>
      </c>
      <c r="G931" t="str">
        <f>TEXT(Raw_Data!B931,"ddd")</f>
        <v>Sat</v>
      </c>
      <c r="H931" t="str">
        <f>Raw_Data!D931</f>
        <v>Invoiced</v>
      </c>
      <c r="I931" t="str">
        <f>Raw_Data!F931</f>
        <v>SMS/ Tele-Out</v>
      </c>
      <c r="J931" t="str">
        <f>Raw_Data!G931</f>
        <v>Database Activity(Teleout/SMS)</v>
      </c>
      <c r="K931" t="str">
        <f>IFERROR(VLOOKUP(J931,Source_Assumptions!$A:$C,2,0),"Unmapped")</f>
        <v>Outbound/Database</v>
      </c>
      <c r="L931" t="str">
        <f>Raw_Data!H931</f>
        <v>ELEVATE</v>
      </c>
      <c r="M931" t="str">
        <f>IFERROR(VLOOKUP(L931,Model_Assumptions!$A:$D,2,0),"Unmapped")</f>
        <v>Compact SUV</v>
      </c>
      <c r="N931" t="str">
        <f>IFERROR(VLOOKUP(L931,Model_Assumptions!$A:$D,3,0),"Unmapped")</f>
        <v>Petrol</v>
      </c>
      <c r="O931">
        <f>IFERROR(VLOOKUP(L931,Model_Assumptions!$A:$D,4,0),0)</f>
        <v>1300000</v>
      </c>
      <c r="P931">
        <f>IFERROR(VLOOKUP(J931,Source_Assumptions!$A:$C,3,0),0)</f>
        <v>250</v>
      </c>
    </row>
    <row r="932" spans="1:16" x14ac:dyDescent="0.3">
      <c r="A932">
        <f>Raw_Data!A932</f>
        <v>931</v>
      </c>
      <c r="B932" s="2">
        <f>Raw_Data!B932</f>
        <v>45286</v>
      </c>
      <c r="C932">
        <f>YEAR(Raw_Data!B932)</f>
        <v>2023</v>
      </c>
      <c r="D932" t="str">
        <f>IF(MONTH(Raw_Data!B932)&gt;=4,YEAR(Raw_Data!B932)&amp;"-"&amp;RIGHT(YEAR(Raw_Data!B932)+1,2),YEAR(Raw_Data!B932)-1&amp;"-"&amp;RIGHT(YEAR(Raw_Data!B932),2))</f>
        <v>2023-24</v>
      </c>
      <c r="E932" t="str">
        <f>"Q"&amp;ROUNDUP(MONTH(Raw_Data!B932)/3,0)</f>
        <v>Q4</v>
      </c>
      <c r="F932" t="str">
        <f>TEXT(Raw_Data!B932,"mmm")</f>
        <v>Dec</v>
      </c>
      <c r="G932" t="str">
        <f>TEXT(Raw_Data!B932,"ddd")</f>
        <v>Tue</v>
      </c>
      <c r="H932" t="str">
        <f>Raw_Data!D932</f>
        <v>Invoiced</v>
      </c>
      <c r="I932" t="str">
        <f>Raw_Data!F932</f>
        <v>Walk-in Showroom</v>
      </c>
      <c r="J932" t="str">
        <f>Raw_Data!G932</f>
        <v>Adver. (TVC/Print/Hoarding/FM)</v>
      </c>
      <c r="K932" t="str">
        <f>IFERROR(VLOOKUP(J932,Source_Assumptions!$A:$C,2,0),"Unmapped")</f>
        <v>Traditional Advertising</v>
      </c>
      <c r="L932" t="str">
        <f>Raw_Data!H932</f>
        <v>5TH GEN CITY PE</v>
      </c>
      <c r="M932" t="str">
        <f>IFERROR(VLOOKUP(L932,Model_Assumptions!$A:$D,2,0),"Unmapped")</f>
        <v>Mid-size Sedan</v>
      </c>
      <c r="N932" t="str">
        <f>IFERROR(VLOOKUP(L932,Model_Assumptions!$A:$D,3,0),"Unmapped")</f>
        <v>Petrol</v>
      </c>
      <c r="O932">
        <f>IFERROR(VLOOKUP(L932,Model_Assumptions!$A:$D,4,0),0)</f>
        <v>1250000</v>
      </c>
      <c r="P932">
        <f>IFERROR(VLOOKUP(J932,Source_Assumptions!$A:$C,3,0),0)</f>
        <v>1200</v>
      </c>
    </row>
    <row r="933" spans="1:16" x14ac:dyDescent="0.3">
      <c r="A933">
        <f>Raw_Data!A933</f>
        <v>932</v>
      </c>
      <c r="B933" s="2">
        <f>Raw_Data!B933</f>
        <v>45286</v>
      </c>
      <c r="C933">
        <f>YEAR(Raw_Data!B933)</f>
        <v>2023</v>
      </c>
      <c r="D933" t="str">
        <f>IF(MONTH(Raw_Data!B933)&gt;=4,YEAR(Raw_Data!B933)&amp;"-"&amp;RIGHT(YEAR(Raw_Data!B933)+1,2),YEAR(Raw_Data!B933)-1&amp;"-"&amp;RIGHT(YEAR(Raw_Data!B933),2))</f>
        <v>2023-24</v>
      </c>
      <c r="E933" t="str">
        <f>"Q"&amp;ROUNDUP(MONTH(Raw_Data!B933)/3,0)</f>
        <v>Q4</v>
      </c>
      <c r="F933" t="str">
        <f>TEXT(Raw_Data!B933,"mmm")</f>
        <v>Dec</v>
      </c>
      <c r="G933" t="str">
        <f>TEXT(Raw_Data!B933,"ddd")</f>
        <v>Tue</v>
      </c>
      <c r="H933" t="str">
        <f>Raw_Data!D933</f>
        <v>Invoiced</v>
      </c>
      <c r="I933" t="str">
        <f>Raw_Data!F933</f>
        <v>SMS/ Tele-Out</v>
      </c>
      <c r="J933" t="str">
        <f>Raw_Data!G933</f>
        <v>Database Activity(Teleout/SMS)</v>
      </c>
      <c r="K933" t="str">
        <f>IFERROR(VLOOKUP(J933,Source_Assumptions!$A:$C,2,0),"Unmapped")</f>
        <v>Outbound/Database</v>
      </c>
      <c r="L933" t="str">
        <f>Raw_Data!H933</f>
        <v>5TH GEN CITY PE</v>
      </c>
      <c r="M933" t="str">
        <f>IFERROR(VLOOKUP(L933,Model_Assumptions!$A:$D,2,0),"Unmapped")</f>
        <v>Mid-size Sedan</v>
      </c>
      <c r="N933" t="str">
        <f>IFERROR(VLOOKUP(L933,Model_Assumptions!$A:$D,3,0),"Unmapped")</f>
        <v>Petrol</v>
      </c>
      <c r="O933">
        <f>IFERROR(VLOOKUP(L933,Model_Assumptions!$A:$D,4,0),0)</f>
        <v>1250000</v>
      </c>
      <c r="P933">
        <f>IFERROR(VLOOKUP(J933,Source_Assumptions!$A:$C,3,0),0)</f>
        <v>250</v>
      </c>
    </row>
    <row r="934" spans="1:16" x14ac:dyDescent="0.3">
      <c r="A934">
        <f>Raw_Data!A934</f>
        <v>933</v>
      </c>
      <c r="B934" s="2">
        <f>Raw_Data!B934</f>
        <v>45286</v>
      </c>
      <c r="C934">
        <f>YEAR(Raw_Data!B934)</f>
        <v>2023</v>
      </c>
      <c r="D934" t="str">
        <f>IF(MONTH(Raw_Data!B934)&gt;=4,YEAR(Raw_Data!B934)&amp;"-"&amp;RIGHT(YEAR(Raw_Data!B934)+1,2),YEAR(Raw_Data!B934)-1&amp;"-"&amp;RIGHT(YEAR(Raw_Data!B934),2))</f>
        <v>2023-24</v>
      </c>
      <c r="E934" t="str">
        <f>"Q"&amp;ROUNDUP(MONTH(Raw_Data!B934)/3,0)</f>
        <v>Q4</v>
      </c>
      <c r="F934" t="str">
        <f>TEXT(Raw_Data!B934,"mmm")</f>
        <v>Dec</v>
      </c>
      <c r="G934" t="str">
        <f>TEXT(Raw_Data!B934,"ddd")</f>
        <v>Tue</v>
      </c>
      <c r="H934" t="str">
        <f>Raw_Data!D934</f>
        <v>Invoiced</v>
      </c>
      <c r="I934" t="str">
        <f>Raw_Data!F934</f>
        <v>SMS/ Tele-Out</v>
      </c>
      <c r="J934" t="str">
        <f>Raw_Data!G934</f>
        <v>Database Activity(Teleout/SMS)</v>
      </c>
      <c r="K934" t="str">
        <f>IFERROR(VLOOKUP(J934,Source_Assumptions!$A:$C,2,0),"Unmapped")</f>
        <v>Outbound/Database</v>
      </c>
      <c r="L934" t="str">
        <f>Raw_Data!H934</f>
        <v>ELEVATE</v>
      </c>
      <c r="M934" t="str">
        <f>IFERROR(VLOOKUP(L934,Model_Assumptions!$A:$D,2,0),"Unmapped")</f>
        <v>Compact SUV</v>
      </c>
      <c r="N934" t="str">
        <f>IFERROR(VLOOKUP(L934,Model_Assumptions!$A:$D,3,0),"Unmapped")</f>
        <v>Petrol</v>
      </c>
      <c r="O934">
        <f>IFERROR(VLOOKUP(L934,Model_Assumptions!$A:$D,4,0),0)</f>
        <v>1300000</v>
      </c>
      <c r="P934">
        <f>IFERROR(VLOOKUP(J934,Source_Assumptions!$A:$C,3,0),0)</f>
        <v>250</v>
      </c>
    </row>
    <row r="935" spans="1:16" x14ac:dyDescent="0.3">
      <c r="A935">
        <f>Raw_Data!A935</f>
        <v>934</v>
      </c>
      <c r="B935" s="2">
        <f>Raw_Data!B935</f>
        <v>45286</v>
      </c>
      <c r="C935">
        <f>YEAR(Raw_Data!B935)</f>
        <v>2023</v>
      </c>
      <c r="D935" t="str">
        <f>IF(MONTH(Raw_Data!B935)&gt;=4,YEAR(Raw_Data!B935)&amp;"-"&amp;RIGHT(YEAR(Raw_Data!B935)+1,2),YEAR(Raw_Data!B935)-1&amp;"-"&amp;RIGHT(YEAR(Raw_Data!B935),2))</f>
        <v>2023-24</v>
      </c>
      <c r="E935" t="str">
        <f>"Q"&amp;ROUNDUP(MONTH(Raw_Data!B935)/3,0)</f>
        <v>Q4</v>
      </c>
      <c r="F935" t="str">
        <f>TEXT(Raw_Data!B935,"mmm")</f>
        <v>Dec</v>
      </c>
      <c r="G935" t="str">
        <f>TEXT(Raw_Data!B935,"ddd")</f>
        <v>Tue</v>
      </c>
      <c r="H935" t="str">
        <f>Raw_Data!D935</f>
        <v>Invoiced</v>
      </c>
      <c r="I935" t="str">
        <f>Raw_Data!F935</f>
        <v>Walk-in Showroom</v>
      </c>
      <c r="J935" t="str">
        <f>Raw_Data!G935</f>
        <v>Adver. (TVC/Print/Hoarding/FM)</v>
      </c>
      <c r="K935" t="str">
        <f>IFERROR(VLOOKUP(J935,Source_Assumptions!$A:$C,2,0),"Unmapped")</f>
        <v>Traditional Advertising</v>
      </c>
      <c r="L935" t="str">
        <f>Raw_Data!H935</f>
        <v>AMAZE Petrol</v>
      </c>
      <c r="M935" t="str">
        <f>IFERROR(VLOOKUP(L935,Model_Assumptions!$A:$D,2,0),"Unmapped")</f>
        <v>Sub-4m Sedan</v>
      </c>
      <c r="N935" t="str">
        <f>IFERROR(VLOOKUP(L935,Model_Assumptions!$A:$D,3,0),"Unmapped")</f>
        <v>Petrol</v>
      </c>
      <c r="O935">
        <f>IFERROR(VLOOKUP(L935,Model_Assumptions!$A:$D,4,0),0)</f>
        <v>850000</v>
      </c>
      <c r="P935">
        <f>IFERROR(VLOOKUP(J935,Source_Assumptions!$A:$C,3,0),0)</f>
        <v>1200</v>
      </c>
    </row>
    <row r="936" spans="1:16" x14ac:dyDescent="0.3">
      <c r="A936">
        <f>Raw_Data!A936</f>
        <v>935</v>
      </c>
      <c r="B936" s="2">
        <f>Raw_Data!B936</f>
        <v>45287</v>
      </c>
      <c r="C936">
        <f>YEAR(Raw_Data!B936)</f>
        <v>2023</v>
      </c>
      <c r="D936" t="str">
        <f>IF(MONTH(Raw_Data!B936)&gt;=4,YEAR(Raw_Data!B936)&amp;"-"&amp;RIGHT(YEAR(Raw_Data!B936)+1,2),YEAR(Raw_Data!B936)-1&amp;"-"&amp;RIGHT(YEAR(Raw_Data!B936),2))</f>
        <v>2023-24</v>
      </c>
      <c r="E936" t="str">
        <f>"Q"&amp;ROUNDUP(MONTH(Raw_Data!B936)/3,0)</f>
        <v>Q4</v>
      </c>
      <c r="F936" t="str">
        <f>TEXT(Raw_Data!B936,"mmm")</f>
        <v>Dec</v>
      </c>
      <c r="G936" t="str">
        <f>TEXT(Raw_Data!B936,"ddd")</f>
        <v>Wed</v>
      </c>
      <c r="H936" t="str">
        <f>Raw_Data!D936</f>
        <v>Invoiced</v>
      </c>
      <c r="I936" t="str">
        <f>Raw_Data!F936</f>
        <v>Tele-in</v>
      </c>
      <c r="J936" t="str">
        <f>Raw_Data!G936</f>
        <v>Dealer Webpage Tele-In</v>
      </c>
      <c r="K936" t="str">
        <f>IFERROR(VLOOKUP(J936,Source_Assumptions!$A:$C,2,0),"Unmapped")</f>
        <v>Digital - Owned</v>
      </c>
      <c r="L936" t="str">
        <f>Raw_Data!H936</f>
        <v>5TH GEN CITY PE</v>
      </c>
      <c r="M936" t="str">
        <f>IFERROR(VLOOKUP(L936,Model_Assumptions!$A:$D,2,0),"Unmapped")</f>
        <v>Mid-size Sedan</v>
      </c>
      <c r="N936" t="str">
        <f>IFERROR(VLOOKUP(L936,Model_Assumptions!$A:$D,3,0),"Unmapped")</f>
        <v>Petrol</v>
      </c>
      <c r="O936">
        <f>IFERROR(VLOOKUP(L936,Model_Assumptions!$A:$D,4,0),0)</f>
        <v>1250000</v>
      </c>
      <c r="P936">
        <f>IFERROR(VLOOKUP(J936,Source_Assumptions!$A:$C,3,0),0)</f>
        <v>300</v>
      </c>
    </row>
    <row r="937" spans="1:16" x14ac:dyDescent="0.3">
      <c r="A937">
        <f>Raw_Data!A937</f>
        <v>936</v>
      </c>
      <c r="B937" s="2">
        <f>Raw_Data!B937</f>
        <v>45288</v>
      </c>
      <c r="C937">
        <f>YEAR(Raw_Data!B937)</f>
        <v>2023</v>
      </c>
      <c r="D937" t="str">
        <f>IF(MONTH(Raw_Data!B937)&gt;=4,YEAR(Raw_Data!B937)&amp;"-"&amp;RIGHT(YEAR(Raw_Data!B937)+1,2),YEAR(Raw_Data!B937)-1&amp;"-"&amp;RIGHT(YEAR(Raw_Data!B937),2))</f>
        <v>2023-24</v>
      </c>
      <c r="E937" t="str">
        <f>"Q"&amp;ROUNDUP(MONTH(Raw_Data!B937)/3,0)</f>
        <v>Q4</v>
      </c>
      <c r="F937" t="str">
        <f>TEXT(Raw_Data!B937,"mmm")</f>
        <v>Dec</v>
      </c>
      <c r="G937" t="str">
        <f>TEXT(Raw_Data!B937,"ddd")</f>
        <v>Thu</v>
      </c>
      <c r="H937" t="str">
        <f>Raw_Data!D937</f>
        <v>Invoiced</v>
      </c>
      <c r="I937" t="str">
        <f>Raw_Data!F937</f>
        <v>SMS/ Tele-Out</v>
      </c>
      <c r="J937" t="str">
        <f>Raw_Data!G937</f>
        <v>Database Activity(Teleout/SMS)</v>
      </c>
      <c r="K937" t="str">
        <f>IFERROR(VLOOKUP(J937,Source_Assumptions!$A:$C,2,0),"Unmapped")</f>
        <v>Outbound/Database</v>
      </c>
      <c r="L937" t="str">
        <f>Raw_Data!H937</f>
        <v>ELEVATE</v>
      </c>
      <c r="M937" t="str">
        <f>IFERROR(VLOOKUP(L937,Model_Assumptions!$A:$D,2,0),"Unmapped")</f>
        <v>Compact SUV</v>
      </c>
      <c r="N937" t="str">
        <f>IFERROR(VLOOKUP(L937,Model_Assumptions!$A:$D,3,0),"Unmapped")</f>
        <v>Petrol</v>
      </c>
      <c r="O937">
        <f>IFERROR(VLOOKUP(L937,Model_Assumptions!$A:$D,4,0),0)</f>
        <v>1300000</v>
      </c>
      <c r="P937">
        <f>IFERROR(VLOOKUP(J937,Source_Assumptions!$A:$C,3,0),0)</f>
        <v>250</v>
      </c>
    </row>
    <row r="938" spans="1:16" x14ac:dyDescent="0.3">
      <c r="A938">
        <f>Raw_Data!A938</f>
        <v>937</v>
      </c>
      <c r="B938" s="2">
        <f>Raw_Data!B938</f>
        <v>45288</v>
      </c>
      <c r="C938">
        <f>YEAR(Raw_Data!B938)</f>
        <v>2023</v>
      </c>
      <c r="D938" t="str">
        <f>IF(MONTH(Raw_Data!B938)&gt;=4,YEAR(Raw_Data!B938)&amp;"-"&amp;RIGHT(YEAR(Raw_Data!B938)+1,2),YEAR(Raw_Data!B938)-1&amp;"-"&amp;RIGHT(YEAR(Raw_Data!B938),2))</f>
        <v>2023-24</v>
      </c>
      <c r="E938" t="str">
        <f>"Q"&amp;ROUNDUP(MONTH(Raw_Data!B938)/3,0)</f>
        <v>Q4</v>
      </c>
      <c r="F938" t="str">
        <f>TEXT(Raw_Data!B938,"mmm")</f>
        <v>Dec</v>
      </c>
      <c r="G938" t="str">
        <f>TEXT(Raw_Data!B938,"ddd")</f>
        <v>Thu</v>
      </c>
      <c r="H938" t="str">
        <f>Raw_Data!D938</f>
        <v>Invoiced</v>
      </c>
      <c r="I938" t="str">
        <f>Raw_Data!F938</f>
        <v>Tele-in</v>
      </c>
      <c r="J938" t="str">
        <f>Raw_Data!G938</f>
        <v>Referral-CAM</v>
      </c>
      <c r="K938" t="str">
        <f>IFERROR(VLOOKUP(J938,Source_Assumptions!$A:$C,2,0),"Unmapped")</f>
        <v>Referral</v>
      </c>
      <c r="L938" t="str">
        <f>Raw_Data!H938</f>
        <v>5TH GEN CITY PE</v>
      </c>
      <c r="M938" t="str">
        <f>IFERROR(VLOOKUP(L938,Model_Assumptions!$A:$D,2,0),"Unmapped")</f>
        <v>Mid-size Sedan</v>
      </c>
      <c r="N938" t="str">
        <f>IFERROR(VLOOKUP(L938,Model_Assumptions!$A:$D,3,0),"Unmapped")</f>
        <v>Petrol</v>
      </c>
      <c r="O938">
        <f>IFERROR(VLOOKUP(L938,Model_Assumptions!$A:$D,4,0),0)</f>
        <v>1250000</v>
      </c>
      <c r="P938">
        <f>IFERROR(VLOOKUP(J938,Source_Assumptions!$A:$C,3,0),0)</f>
        <v>150</v>
      </c>
    </row>
    <row r="939" spans="1:16" x14ac:dyDescent="0.3">
      <c r="A939">
        <f>Raw_Data!A939</f>
        <v>938</v>
      </c>
      <c r="B939" s="2">
        <f>Raw_Data!B939</f>
        <v>45288</v>
      </c>
      <c r="C939">
        <f>YEAR(Raw_Data!B939)</f>
        <v>2023</v>
      </c>
      <c r="D939" t="str">
        <f>IF(MONTH(Raw_Data!B939)&gt;=4,YEAR(Raw_Data!B939)&amp;"-"&amp;RIGHT(YEAR(Raw_Data!B939)+1,2),YEAR(Raw_Data!B939)-1&amp;"-"&amp;RIGHT(YEAR(Raw_Data!B939),2))</f>
        <v>2023-24</v>
      </c>
      <c r="E939" t="str">
        <f>"Q"&amp;ROUNDUP(MONTH(Raw_Data!B939)/3,0)</f>
        <v>Q4</v>
      </c>
      <c r="F939" t="str">
        <f>TEXT(Raw_Data!B939,"mmm")</f>
        <v>Dec</v>
      </c>
      <c r="G939" t="str">
        <f>TEXT(Raw_Data!B939,"ddd")</f>
        <v>Thu</v>
      </c>
      <c r="H939" t="str">
        <f>Raw_Data!D939</f>
        <v>Invoiced</v>
      </c>
      <c r="I939" t="str">
        <f>Raw_Data!F939</f>
        <v>Web Lead</v>
      </c>
      <c r="J939" t="str">
        <f>Raw_Data!G939</f>
        <v>Web</v>
      </c>
      <c r="K939" t="str">
        <f>IFERROR(VLOOKUP(J939,Source_Assumptions!$A:$C,2,0),"Unmapped")</f>
        <v>Digital - Owned</v>
      </c>
      <c r="L939" t="str">
        <f>Raw_Data!H939</f>
        <v>AMAZE Petrol</v>
      </c>
      <c r="M939" t="str">
        <f>IFERROR(VLOOKUP(L939,Model_Assumptions!$A:$D,2,0),"Unmapped")</f>
        <v>Sub-4m Sedan</v>
      </c>
      <c r="N939" t="str">
        <f>IFERROR(VLOOKUP(L939,Model_Assumptions!$A:$D,3,0),"Unmapped")</f>
        <v>Petrol</v>
      </c>
      <c r="O939">
        <f>IFERROR(VLOOKUP(L939,Model_Assumptions!$A:$D,4,0),0)</f>
        <v>850000</v>
      </c>
      <c r="P939">
        <f>IFERROR(VLOOKUP(J939,Source_Assumptions!$A:$C,3,0),0)</f>
        <v>300</v>
      </c>
    </row>
    <row r="940" spans="1:16" x14ac:dyDescent="0.3">
      <c r="A940">
        <f>Raw_Data!A940</f>
        <v>939</v>
      </c>
      <c r="B940" s="2">
        <f>Raw_Data!B940</f>
        <v>45288</v>
      </c>
      <c r="C940">
        <f>YEAR(Raw_Data!B940)</f>
        <v>2023</v>
      </c>
      <c r="D940" t="str">
        <f>IF(MONTH(Raw_Data!B940)&gt;=4,YEAR(Raw_Data!B940)&amp;"-"&amp;RIGHT(YEAR(Raw_Data!B940)+1,2),YEAR(Raw_Data!B940)-1&amp;"-"&amp;RIGHT(YEAR(Raw_Data!B940),2))</f>
        <v>2023-24</v>
      </c>
      <c r="E940" t="str">
        <f>"Q"&amp;ROUNDUP(MONTH(Raw_Data!B940)/3,0)</f>
        <v>Q4</v>
      </c>
      <c r="F940" t="str">
        <f>TEXT(Raw_Data!B940,"mmm")</f>
        <v>Dec</v>
      </c>
      <c r="G940" t="str">
        <f>TEXT(Raw_Data!B940,"ddd")</f>
        <v>Thu</v>
      </c>
      <c r="H940" t="str">
        <f>Raw_Data!D940</f>
        <v>Invoiced</v>
      </c>
      <c r="I940" t="str">
        <f>Raw_Data!F940</f>
        <v>Tele-in</v>
      </c>
      <c r="J940" t="str">
        <f>Raw_Data!G940</f>
        <v>Referral-CAM</v>
      </c>
      <c r="K940" t="str">
        <f>IFERROR(VLOOKUP(J940,Source_Assumptions!$A:$C,2,0),"Unmapped")</f>
        <v>Referral</v>
      </c>
      <c r="L940" t="str">
        <f>Raw_Data!H940</f>
        <v>AMAZE Petrol</v>
      </c>
      <c r="M940" t="str">
        <f>IFERROR(VLOOKUP(L940,Model_Assumptions!$A:$D,2,0),"Unmapped")</f>
        <v>Sub-4m Sedan</v>
      </c>
      <c r="N940" t="str">
        <f>IFERROR(VLOOKUP(L940,Model_Assumptions!$A:$D,3,0),"Unmapped")</f>
        <v>Petrol</v>
      </c>
      <c r="O940">
        <f>IFERROR(VLOOKUP(L940,Model_Assumptions!$A:$D,4,0),0)</f>
        <v>850000</v>
      </c>
      <c r="P940">
        <f>IFERROR(VLOOKUP(J940,Source_Assumptions!$A:$C,3,0),0)</f>
        <v>150</v>
      </c>
    </row>
    <row r="941" spans="1:16" x14ac:dyDescent="0.3">
      <c r="A941">
        <f>Raw_Data!A941</f>
        <v>940</v>
      </c>
      <c r="B941" s="2">
        <f>Raw_Data!B941</f>
        <v>45288</v>
      </c>
      <c r="C941">
        <f>YEAR(Raw_Data!B941)</f>
        <v>2023</v>
      </c>
      <c r="D941" t="str">
        <f>IF(MONTH(Raw_Data!B941)&gt;=4,YEAR(Raw_Data!B941)&amp;"-"&amp;RIGHT(YEAR(Raw_Data!B941)+1,2),YEAR(Raw_Data!B941)-1&amp;"-"&amp;RIGHT(YEAR(Raw_Data!B941),2))</f>
        <v>2023-24</v>
      </c>
      <c r="E941" t="str">
        <f>"Q"&amp;ROUNDUP(MONTH(Raw_Data!B941)/3,0)</f>
        <v>Q4</v>
      </c>
      <c r="F941" t="str">
        <f>TEXT(Raw_Data!B941,"mmm")</f>
        <v>Dec</v>
      </c>
      <c r="G941" t="str">
        <f>TEXT(Raw_Data!B941,"ddd")</f>
        <v>Thu</v>
      </c>
      <c r="H941" t="str">
        <f>Raw_Data!D941</f>
        <v>Invoiced</v>
      </c>
      <c r="I941" t="str">
        <f>Raw_Data!F941</f>
        <v>Web Lead</v>
      </c>
      <c r="J941" t="str">
        <f>Raw_Data!G941</f>
        <v>Web</v>
      </c>
      <c r="K941" t="str">
        <f>IFERROR(VLOOKUP(J941,Source_Assumptions!$A:$C,2,0),"Unmapped")</f>
        <v>Digital - Owned</v>
      </c>
      <c r="L941" t="str">
        <f>Raw_Data!H941</f>
        <v>AMAZE Petrol</v>
      </c>
      <c r="M941" t="str">
        <f>IFERROR(VLOOKUP(L941,Model_Assumptions!$A:$D,2,0),"Unmapped")</f>
        <v>Sub-4m Sedan</v>
      </c>
      <c r="N941" t="str">
        <f>IFERROR(VLOOKUP(L941,Model_Assumptions!$A:$D,3,0),"Unmapped")</f>
        <v>Petrol</v>
      </c>
      <c r="O941">
        <f>IFERROR(VLOOKUP(L941,Model_Assumptions!$A:$D,4,0),0)</f>
        <v>850000</v>
      </c>
      <c r="P941">
        <f>IFERROR(VLOOKUP(J941,Source_Assumptions!$A:$C,3,0),0)</f>
        <v>300</v>
      </c>
    </row>
    <row r="942" spans="1:16" x14ac:dyDescent="0.3">
      <c r="A942">
        <f>Raw_Data!A942</f>
        <v>941</v>
      </c>
      <c r="B942" s="2">
        <f>Raw_Data!B942</f>
        <v>45289</v>
      </c>
      <c r="C942">
        <f>YEAR(Raw_Data!B942)</f>
        <v>2023</v>
      </c>
      <c r="D942" t="str">
        <f>IF(MONTH(Raw_Data!B942)&gt;=4,YEAR(Raw_Data!B942)&amp;"-"&amp;RIGHT(YEAR(Raw_Data!B942)+1,2),YEAR(Raw_Data!B942)-1&amp;"-"&amp;RIGHT(YEAR(Raw_Data!B942),2))</f>
        <v>2023-24</v>
      </c>
      <c r="E942" t="str">
        <f>"Q"&amp;ROUNDUP(MONTH(Raw_Data!B942)/3,0)</f>
        <v>Q4</v>
      </c>
      <c r="F942" t="str">
        <f>TEXT(Raw_Data!B942,"mmm")</f>
        <v>Dec</v>
      </c>
      <c r="G942" t="str">
        <f>TEXT(Raw_Data!B942,"ddd")</f>
        <v>Fri</v>
      </c>
      <c r="H942" t="str">
        <f>Raw_Data!D942</f>
        <v>Invoiced</v>
      </c>
      <c r="I942" t="str">
        <f>Raw_Data!F942</f>
        <v>Web Lead</v>
      </c>
      <c r="J942" t="str">
        <f>Raw_Data!G942</f>
        <v>Web_Organic</v>
      </c>
      <c r="K942" t="str">
        <f>IFERROR(VLOOKUP(J942,Source_Assumptions!$A:$C,2,0),"Unmapped")</f>
        <v>Digital - Organic</v>
      </c>
      <c r="L942" t="str">
        <f>Raw_Data!H942</f>
        <v>ELEVATE</v>
      </c>
      <c r="M942" t="str">
        <f>IFERROR(VLOOKUP(L942,Model_Assumptions!$A:$D,2,0),"Unmapped")</f>
        <v>Compact SUV</v>
      </c>
      <c r="N942" t="str">
        <f>IFERROR(VLOOKUP(L942,Model_Assumptions!$A:$D,3,0),"Unmapped")</f>
        <v>Petrol</v>
      </c>
      <c r="O942">
        <f>IFERROR(VLOOKUP(L942,Model_Assumptions!$A:$D,4,0),0)</f>
        <v>1300000</v>
      </c>
      <c r="P942">
        <f>IFERROR(VLOOKUP(J942,Source_Assumptions!$A:$C,3,0),0)</f>
        <v>100</v>
      </c>
    </row>
    <row r="943" spans="1:16" x14ac:dyDescent="0.3">
      <c r="A943">
        <f>Raw_Data!A943</f>
        <v>942</v>
      </c>
      <c r="B943" s="2">
        <f>Raw_Data!B943</f>
        <v>45289</v>
      </c>
      <c r="C943">
        <f>YEAR(Raw_Data!B943)</f>
        <v>2023</v>
      </c>
      <c r="D943" t="str">
        <f>IF(MONTH(Raw_Data!B943)&gt;=4,YEAR(Raw_Data!B943)&amp;"-"&amp;RIGHT(YEAR(Raw_Data!B943)+1,2),YEAR(Raw_Data!B943)-1&amp;"-"&amp;RIGHT(YEAR(Raw_Data!B943),2))</f>
        <v>2023-24</v>
      </c>
      <c r="E943" t="str">
        <f>"Q"&amp;ROUNDUP(MONTH(Raw_Data!B943)/3,0)</f>
        <v>Q4</v>
      </c>
      <c r="F943" t="str">
        <f>TEXT(Raw_Data!B943,"mmm")</f>
        <v>Dec</v>
      </c>
      <c r="G943" t="str">
        <f>TEXT(Raw_Data!B943,"ddd")</f>
        <v>Fri</v>
      </c>
      <c r="H943" t="str">
        <f>Raw_Data!D943</f>
        <v>Invoiced</v>
      </c>
      <c r="I943" t="str">
        <f>Raw_Data!F943</f>
        <v>SMS/ Tele-Out</v>
      </c>
      <c r="J943" t="str">
        <f>Raw_Data!G943</f>
        <v>I-BAP Referral</v>
      </c>
      <c r="K943" t="str">
        <f>IFERROR(VLOOKUP(J943,Source_Assumptions!$A:$C,2,0),"Unmapped")</f>
        <v>Referral (Insurance/Banking Partner)</v>
      </c>
      <c r="L943" t="str">
        <f>Raw_Data!H943</f>
        <v>AMAZE Petrol</v>
      </c>
      <c r="M943" t="str">
        <f>IFERROR(VLOOKUP(L943,Model_Assumptions!$A:$D,2,0),"Unmapped")</f>
        <v>Sub-4m Sedan</v>
      </c>
      <c r="N943" t="str">
        <f>IFERROR(VLOOKUP(L943,Model_Assumptions!$A:$D,3,0),"Unmapped")</f>
        <v>Petrol</v>
      </c>
      <c r="O943">
        <f>IFERROR(VLOOKUP(L943,Model_Assumptions!$A:$D,4,0),0)</f>
        <v>850000</v>
      </c>
      <c r="P943">
        <f>IFERROR(VLOOKUP(J943,Source_Assumptions!$A:$C,3,0),0)</f>
        <v>150</v>
      </c>
    </row>
    <row r="944" spans="1:16" x14ac:dyDescent="0.3">
      <c r="A944">
        <f>Raw_Data!A944</f>
        <v>943</v>
      </c>
      <c r="B944" s="2">
        <f>Raw_Data!B944</f>
        <v>45289</v>
      </c>
      <c r="C944">
        <f>YEAR(Raw_Data!B944)</f>
        <v>2023</v>
      </c>
      <c r="D944" t="str">
        <f>IF(MONTH(Raw_Data!B944)&gt;=4,YEAR(Raw_Data!B944)&amp;"-"&amp;RIGHT(YEAR(Raw_Data!B944)+1,2),YEAR(Raw_Data!B944)-1&amp;"-"&amp;RIGHT(YEAR(Raw_Data!B944),2))</f>
        <v>2023-24</v>
      </c>
      <c r="E944" t="str">
        <f>"Q"&amp;ROUNDUP(MONTH(Raw_Data!B944)/3,0)</f>
        <v>Q4</v>
      </c>
      <c r="F944" t="str">
        <f>TEXT(Raw_Data!B944,"mmm")</f>
        <v>Dec</v>
      </c>
      <c r="G944" t="str">
        <f>TEXT(Raw_Data!B944,"ddd")</f>
        <v>Fri</v>
      </c>
      <c r="H944" t="str">
        <f>Raw_Data!D944</f>
        <v>Invoiced</v>
      </c>
      <c r="I944" t="str">
        <f>Raw_Data!F944</f>
        <v>Tele-in</v>
      </c>
      <c r="J944" t="str">
        <f>Raw_Data!G944</f>
        <v>Referral-CAM</v>
      </c>
      <c r="K944" t="str">
        <f>IFERROR(VLOOKUP(J944,Source_Assumptions!$A:$C,2,0),"Unmapped")</f>
        <v>Referral</v>
      </c>
      <c r="L944" t="str">
        <f>Raw_Data!H944</f>
        <v>ELEVATE</v>
      </c>
      <c r="M944" t="str">
        <f>IFERROR(VLOOKUP(L944,Model_Assumptions!$A:$D,2,0),"Unmapped")</f>
        <v>Compact SUV</v>
      </c>
      <c r="N944" t="str">
        <f>IFERROR(VLOOKUP(L944,Model_Assumptions!$A:$D,3,0),"Unmapped")</f>
        <v>Petrol</v>
      </c>
      <c r="O944">
        <f>IFERROR(VLOOKUP(L944,Model_Assumptions!$A:$D,4,0),0)</f>
        <v>1300000</v>
      </c>
      <c r="P944">
        <f>IFERROR(VLOOKUP(J944,Source_Assumptions!$A:$C,3,0),0)</f>
        <v>150</v>
      </c>
    </row>
    <row r="945" spans="1:16" x14ac:dyDescent="0.3">
      <c r="A945">
        <f>Raw_Data!A945</f>
        <v>944</v>
      </c>
      <c r="B945" s="2">
        <f>Raw_Data!B945</f>
        <v>45289</v>
      </c>
      <c r="C945">
        <f>YEAR(Raw_Data!B945)</f>
        <v>2023</v>
      </c>
      <c r="D945" t="str">
        <f>IF(MONTH(Raw_Data!B945)&gt;=4,YEAR(Raw_Data!B945)&amp;"-"&amp;RIGHT(YEAR(Raw_Data!B945)+1,2),YEAR(Raw_Data!B945)-1&amp;"-"&amp;RIGHT(YEAR(Raw_Data!B945),2))</f>
        <v>2023-24</v>
      </c>
      <c r="E945" t="str">
        <f>"Q"&amp;ROUNDUP(MONTH(Raw_Data!B945)/3,0)</f>
        <v>Q4</v>
      </c>
      <c r="F945" t="str">
        <f>TEXT(Raw_Data!B945,"mmm")</f>
        <v>Dec</v>
      </c>
      <c r="G945" t="str">
        <f>TEXT(Raw_Data!B945,"ddd")</f>
        <v>Fri</v>
      </c>
      <c r="H945" t="str">
        <f>Raw_Data!D945</f>
        <v>Invoiced</v>
      </c>
      <c r="I945" t="str">
        <f>Raw_Data!F945</f>
        <v>Walk-in Showroom</v>
      </c>
      <c r="J945" t="str">
        <f>Raw_Data!G945</f>
        <v>Adver. (TVC/Print/Hoarding/FM)</v>
      </c>
      <c r="K945" t="str">
        <f>IFERROR(VLOOKUP(J945,Source_Assumptions!$A:$C,2,0),"Unmapped")</f>
        <v>Traditional Advertising</v>
      </c>
      <c r="L945" t="str">
        <f>Raw_Data!H945</f>
        <v>ELEVATE</v>
      </c>
      <c r="M945" t="str">
        <f>IFERROR(VLOOKUP(L945,Model_Assumptions!$A:$D,2,0),"Unmapped")</f>
        <v>Compact SUV</v>
      </c>
      <c r="N945" t="str">
        <f>IFERROR(VLOOKUP(L945,Model_Assumptions!$A:$D,3,0),"Unmapped")</f>
        <v>Petrol</v>
      </c>
      <c r="O945">
        <f>IFERROR(VLOOKUP(L945,Model_Assumptions!$A:$D,4,0),0)</f>
        <v>1300000</v>
      </c>
      <c r="P945">
        <f>IFERROR(VLOOKUP(J945,Source_Assumptions!$A:$C,3,0),0)</f>
        <v>1200</v>
      </c>
    </row>
    <row r="946" spans="1:16" x14ac:dyDescent="0.3">
      <c r="A946">
        <f>Raw_Data!A946</f>
        <v>945</v>
      </c>
      <c r="B946" s="2">
        <f>Raw_Data!B946</f>
        <v>45290</v>
      </c>
      <c r="C946">
        <f>YEAR(Raw_Data!B946)</f>
        <v>2023</v>
      </c>
      <c r="D946" t="str">
        <f>IF(MONTH(Raw_Data!B946)&gt;=4,YEAR(Raw_Data!B946)&amp;"-"&amp;RIGHT(YEAR(Raw_Data!B946)+1,2),YEAR(Raw_Data!B946)-1&amp;"-"&amp;RIGHT(YEAR(Raw_Data!B946),2))</f>
        <v>2023-24</v>
      </c>
      <c r="E946" t="str">
        <f>"Q"&amp;ROUNDUP(MONTH(Raw_Data!B946)/3,0)</f>
        <v>Q4</v>
      </c>
      <c r="F946" t="str">
        <f>TEXT(Raw_Data!B946,"mmm")</f>
        <v>Dec</v>
      </c>
      <c r="G946" t="str">
        <f>TEXT(Raw_Data!B946,"ddd")</f>
        <v>Sat</v>
      </c>
      <c r="H946" t="str">
        <f>Raw_Data!D946</f>
        <v>Invoiced</v>
      </c>
      <c r="I946" t="str">
        <f>Raw_Data!F946</f>
        <v>SMS/ Tele-Out</v>
      </c>
      <c r="J946" t="str">
        <f>Raw_Data!G946</f>
        <v>Referral-CAM</v>
      </c>
      <c r="K946" t="str">
        <f>IFERROR(VLOOKUP(J946,Source_Assumptions!$A:$C,2,0),"Unmapped")</f>
        <v>Referral</v>
      </c>
      <c r="L946" t="str">
        <f>Raw_Data!H946</f>
        <v>AMAZE Petrol</v>
      </c>
      <c r="M946" t="str">
        <f>IFERROR(VLOOKUP(L946,Model_Assumptions!$A:$D,2,0),"Unmapped")</f>
        <v>Sub-4m Sedan</v>
      </c>
      <c r="N946" t="str">
        <f>IFERROR(VLOOKUP(L946,Model_Assumptions!$A:$D,3,0),"Unmapped")</f>
        <v>Petrol</v>
      </c>
      <c r="O946">
        <f>IFERROR(VLOOKUP(L946,Model_Assumptions!$A:$D,4,0),0)</f>
        <v>850000</v>
      </c>
      <c r="P946">
        <f>IFERROR(VLOOKUP(J946,Source_Assumptions!$A:$C,3,0),0)</f>
        <v>150</v>
      </c>
    </row>
    <row r="947" spans="1:16" x14ac:dyDescent="0.3">
      <c r="A947">
        <f>Raw_Data!A947</f>
        <v>946</v>
      </c>
      <c r="B947" s="2">
        <f>Raw_Data!B947</f>
        <v>45290</v>
      </c>
      <c r="C947">
        <f>YEAR(Raw_Data!B947)</f>
        <v>2023</v>
      </c>
      <c r="D947" t="str">
        <f>IF(MONTH(Raw_Data!B947)&gt;=4,YEAR(Raw_Data!B947)&amp;"-"&amp;RIGHT(YEAR(Raw_Data!B947)+1,2),YEAR(Raw_Data!B947)-1&amp;"-"&amp;RIGHT(YEAR(Raw_Data!B947),2))</f>
        <v>2023-24</v>
      </c>
      <c r="E947" t="str">
        <f>"Q"&amp;ROUNDUP(MONTH(Raw_Data!B947)/3,0)</f>
        <v>Q4</v>
      </c>
      <c r="F947" t="str">
        <f>TEXT(Raw_Data!B947,"mmm")</f>
        <v>Dec</v>
      </c>
      <c r="G947" t="str">
        <f>TEXT(Raw_Data!B947,"ddd")</f>
        <v>Sat</v>
      </c>
      <c r="H947" t="str">
        <f>Raw_Data!D947</f>
        <v>Invoiced</v>
      </c>
      <c r="I947" t="str">
        <f>Raw_Data!F947</f>
        <v>Web Lead</v>
      </c>
      <c r="J947" t="str">
        <f>Raw_Data!G947</f>
        <v>Web_Facebook</v>
      </c>
      <c r="K947" t="str">
        <f>IFERROR(VLOOKUP(J947,Source_Assumptions!$A:$C,2,0),"Unmapped")</f>
        <v>Digital - Paid Social</v>
      </c>
      <c r="L947" t="str">
        <f>Raw_Data!H947</f>
        <v>ELEVATE</v>
      </c>
      <c r="M947" t="str">
        <f>IFERROR(VLOOKUP(L947,Model_Assumptions!$A:$D,2,0),"Unmapped")</f>
        <v>Compact SUV</v>
      </c>
      <c r="N947" t="str">
        <f>IFERROR(VLOOKUP(L947,Model_Assumptions!$A:$D,3,0),"Unmapped")</f>
        <v>Petrol</v>
      </c>
      <c r="O947">
        <f>IFERROR(VLOOKUP(L947,Model_Assumptions!$A:$D,4,0),0)</f>
        <v>1300000</v>
      </c>
      <c r="P947">
        <f>IFERROR(VLOOKUP(J947,Source_Assumptions!$A:$C,3,0),0)</f>
        <v>600</v>
      </c>
    </row>
    <row r="948" spans="1:16" x14ac:dyDescent="0.3">
      <c r="A948">
        <f>Raw_Data!A948</f>
        <v>947</v>
      </c>
      <c r="B948" s="2">
        <f>Raw_Data!B948</f>
        <v>45290</v>
      </c>
      <c r="C948">
        <f>YEAR(Raw_Data!B948)</f>
        <v>2023</v>
      </c>
      <c r="D948" t="str">
        <f>IF(MONTH(Raw_Data!B948)&gt;=4,YEAR(Raw_Data!B948)&amp;"-"&amp;RIGHT(YEAR(Raw_Data!B948)+1,2),YEAR(Raw_Data!B948)-1&amp;"-"&amp;RIGHT(YEAR(Raw_Data!B948),2))</f>
        <v>2023-24</v>
      </c>
      <c r="E948" t="str">
        <f>"Q"&amp;ROUNDUP(MONTH(Raw_Data!B948)/3,0)</f>
        <v>Q4</v>
      </c>
      <c r="F948" t="str">
        <f>TEXT(Raw_Data!B948,"mmm")</f>
        <v>Dec</v>
      </c>
      <c r="G948" t="str">
        <f>TEXT(Raw_Data!B948,"ddd")</f>
        <v>Sat</v>
      </c>
      <c r="H948" t="str">
        <f>Raw_Data!D948</f>
        <v>Invoiced</v>
      </c>
      <c r="I948" t="str">
        <f>Raw_Data!F948</f>
        <v>Walk-in Event</v>
      </c>
      <c r="J948" t="str">
        <f>Raw_Data!G948</f>
        <v>Event</v>
      </c>
      <c r="K948" t="str">
        <f>IFERROR(VLOOKUP(J948,Source_Assumptions!$A:$C,2,0),"Unmapped")</f>
        <v>Event/Offline</v>
      </c>
      <c r="L948" t="str">
        <f>Raw_Data!H948</f>
        <v>ELEVATE</v>
      </c>
      <c r="M948" t="str">
        <f>IFERROR(VLOOKUP(L948,Model_Assumptions!$A:$D,2,0),"Unmapped")</f>
        <v>Compact SUV</v>
      </c>
      <c r="N948" t="str">
        <f>IFERROR(VLOOKUP(L948,Model_Assumptions!$A:$D,3,0),"Unmapped")</f>
        <v>Petrol</v>
      </c>
      <c r="O948">
        <f>IFERROR(VLOOKUP(L948,Model_Assumptions!$A:$D,4,0),0)</f>
        <v>1300000</v>
      </c>
      <c r="P948">
        <f>IFERROR(VLOOKUP(J948,Source_Assumptions!$A:$C,3,0),0)</f>
        <v>1500</v>
      </c>
    </row>
    <row r="949" spans="1:16" x14ac:dyDescent="0.3">
      <c r="A949">
        <f>Raw_Data!A949</f>
        <v>948</v>
      </c>
      <c r="B949" s="2">
        <f>Raw_Data!B949</f>
        <v>45290</v>
      </c>
      <c r="C949">
        <f>YEAR(Raw_Data!B949)</f>
        <v>2023</v>
      </c>
      <c r="D949" t="str">
        <f>IF(MONTH(Raw_Data!B949)&gt;=4,YEAR(Raw_Data!B949)&amp;"-"&amp;RIGHT(YEAR(Raw_Data!B949)+1,2),YEAR(Raw_Data!B949)-1&amp;"-"&amp;RIGHT(YEAR(Raw_Data!B949),2))</f>
        <v>2023-24</v>
      </c>
      <c r="E949" t="str">
        <f>"Q"&amp;ROUNDUP(MONTH(Raw_Data!B949)/3,0)</f>
        <v>Q4</v>
      </c>
      <c r="F949" t="str">
        <f>TEXT(Raw_Data!B949,"mmm")</f>
        <v>Dec</v>
      </c>
      <c r="G949" t="str">
        <f>TEXT(Raw_Data!B949,"ddd")</f>
        <v>Sat</v>
      </c>
      <c r="H949" t="str">
        <f>Raw_Data!D949</f>
        <v>Invoiced</v>
      </c>
      <c r="I949" t="str">
        <f>Raw_Data!F949</f>
        <v>SMS/ Tele-Out</v>
      </c>
      <c r="J949" t="str">
        <f>Raw_Data!G949</f>
        <v>I-BAP Referral</v>
      </c>
      <c r="K949" t="str">
        <f>IFERROR(VLOOKUP(J949,Source_Assumptions!$A:$C,2,0),"Unmapped")</f>
        <v>Referral (Insurance/Banking Partner)</v>
      </c>
      <c r="L949" t="str">
        <f>Raw_Data!H949</f>
        <v>ELEVATE</v>
      </c>
      <c r="M949" t="str">
        <f>IFERROR(VLOOKUP(L949,Model_Assumptions!$A:$D,2,0),"Unmapped")</f>
        <v>Compact SUV</v>
      </c>
      <c r="N949" t="str">
        <f>IFERROR(VLOOKUP(L949,Model_Assumptions!$A:$D,3,0),"Unmapped")</f>
        <v>Petrol</v>
      </c>
      <c r="O949">
        <f>IFERROR(VLOOKUP(L949,Model_Assumptions!$A:$D,4,0),0)</f>
        <v>1300000</v>
      </c>
      <c r="P949">
        <f>IFERROR(VLOOKUP(J949,Source_Assumptions!$A:$C,3,0),0)</f>
        <v>150</v>
      </c>
    </row>
    <row r="950" spans="1:16" x14ac:dyDescent="0.3">
      <c r="A950">
        <f>Raw_Data!A950</f>
        <v>949</v>
      </c>
      <c r="B950" s="2">
        <f>Raw_Data!B950</f>
        <v>45290</v>
      </c>
      <c r="C950">
        <f>YEAR(Raw_Data!B950)</f>
        <v>2023</v>
      </c>
      <c r="D950" t="str">
        <f>IF(MONTH(Raw_Data!B950)&gt;=4,YEAR(Raw_Data!B950)&amp;"-"&amp;RIGHT(YEAR(Raw_Data!B950)+1,2),YEAR(Raw_Data!B950)-1&amp;"-"&amp;RIGHT(YEAR(Raw_Data!B950),2))</f>
        <v>2023-24</v>
      </c>
      <c r="E950" t="str">
        <f>"Q"&amp;ROUNDUP(MONTH(Raw_Data!B950)/3,0)</f>
        <v>Q4</v>
      </c>
      <c r="F950" t="str">
        <f>TEXT(Raw_Data!B950,"mmm")</f>
        <v>Dec</v>
      </c>
      <c r="G950" t="str">
        <f>TEXT(Raw_Data!B950,"ddd")</f>
        <v>Sat</v>
      </c>
      <c r="H950" t="str">
        <f>Raw_Data!D950</f>
        <v>Invoiced</v>
      </c>
      <c r="I950" t="str">
        <f>Raw_Data!F950</f>
        <v>Web Lead</v>
      </c>
      <c r="J950" t="str">
        <f>Raw_Data!G950</f>
        <v>Web</v>
      </c>
      <c r="K950" t="str">
        <f>IFERROR(VLOOKUP(J950,Source_Assumptions!$A:$C,2,0),"Unmapped")</f>
        <v>Digital - Owned</v>
      </c>
      <c r="L950" t="str">
        <f>Raw_Data!H950</f>
        <v>ELEVATE</v>
      </c>
      <c r="M950" t="str">
        <f>IFERROR(VLOOKUP(L950,Model_Assumptions!$A:$D,2,0),"Unmapped")</f>
        <v>Compact SUV</v>
      </c>
      <c r="N950" t="str">
        <f>IFERROR(VLOOKUP(L950,Model_Assumptions!$A:$D,3,0),"Unmapped")</f>
        <v>Petrol</v>
      </c>
      <c r="O950">
        <f>IFERROR(VLOOKUP(L950,Model_Assumptions!$A:$D,4,0),0)</f>
        <v>1300000</v>
      </c>
      <c r="P950">
        <f>IFERROR(VLOOKUP(J950,Source_Assumptions!$A:$C,3,0),0)</f>
        <v>300</v>
      </c>
    </row>
    <row r="951" spans="1:16" x14ac:dyDescent="0.3">
      <c r="A951">
        <f>Raw_Data!A951</f>
        <v>950</v>
      </c>
      <c r="B951" s="2">
        <f>Raw_Data!B951</f>
        <v>45290</v>
      </c>
      <c r="C951">
        <f>YEAR(Raw_Data!B951)</f>
        <v>2023</v>
      </c>
      <c r="D951" t="str">
        <f>IF(MONTH(Raw_Data!B951)&gt;=4,YEAR(Raw_Data!B951)&amp;"-"&amp;RIGHT(YEAR(Raw_Data!B951)+1,2),YEAR(Raw_Data!B951)-1&amp;"-"&amp;RIGHT(YEAR(Raw_Data!B951),2))</f>
        <v>2023-24</v>
      </c>
      <c r="E951" t="str">
        <f>"Q"&amp;ROUNDUP(MONTH(Raw_Data!B951)/3,0)</f>
        <v>Q4</v>
      </c>
      <c r="F951" t="str">
        <f>TEXT(Raw_Data!B951,"mmm")</f>
        <v>Dec</v>
      </c>
      <c r="G951" t="str">
        <f>TEXT(Raw_Data!B951,"ddd")</f>
        <v>Sat</v>
      </c>
      <c r="H951" t="str">
        <f>Raw_Data!D951</f>
        <v>Invoiced</v>
      </c>
      <c r="I951" t="str">
        <f>Raw_Data!F951</f>
        <v>Walk-in Showroom</v>
      </c>
      <c r="J951" t="str">
        <f>Raw_Data!G951</f>
        <v>Adver. (TVC/Print/Hoarding/FM)</v>
      </c>
      <c r="K951" t="str">
        <f>IFERROR(VLOOKUP(J951,Source_Assumptions!$A:$C,2,0),"Unmapped")</f>
        <v>Traditional Advertising</v>
      </c>
      <c r="L951" t="str">
        <f>Raw_Data!H951</f>
        <v>ELEVATE</v>
      </c>
      <c r="M951" t="str">
        <f>IFERROR(VLOOKUP(L951,Model_Assumptions!$A:$D,2,0),"Unmapped")</f>
        <v>Compact SUV</v>
      </c>
      <c r="N951" t="str">
        <f>IFERROR(VLOOKUP(L951,Model_Assumptions!$A:$D,3,0),"Unmapped")</f>
        <v>Petrol</v>
      </c>
      <c r="O951">
        <f>IFERROR(VLOOKUP(L951,Model_Assumptions!$A:$D,4,0),0)</f>
        <v>1300000</v>
      </c>
      <c r="P951">
        <f>IFERROR(VLOOKUP(J951,Source_Assumptions!$A:$C,3,0),0)</f>
        <v>1200</v>
      </c>
    </row>
    <row r="952" spans="1:16" x14ac:dyDescent="0.3">
      <c r="A952">
        <f>Raw_Data!A952</f>
        <v>951</v>
      </c>
      <c r="B952" s="2">
        <f>Raw_Data!B952</f>
        <v>45290</v>
      </c>
      <c r="C952">
        <f>YEAR(Raw_Data!B952)</f>
        <v>2023</v>
      </c>
      <c r="D952" t="str">
        <f>IF(MONTH(Raw_Data!B952)&gt;=4,YEAR(Raw_Data!B952)&amp;"-"&amp;RIGHT(YEAR(Raw_Data!B952)+1,2),YEAR(Raw_Data!B952)-1&amp;"-"&amp;RIGHT(YEAR(Raw_Data!B952),2))</f>
        <v>2023-24</v>
      </c>
      <c r="E952" t="str">
        <f>"Q"&amp;ROUNDUP(MONTH(Raw_Data!B952)/3,0)</f>
        <v>Q4</v>
      </c>
      <c r="F952" t="str">
        <f>TEXT(Raw_Data!B952,"mmm")</f>
        <v>Dec</v>
      </c>
      <c r="G952" t="str">
        <f>TEXT(Raw_Data!B952,"ddd")</f>
        <v>Sat</v>
      </c>
      <c r="H952" t="str">
        <f>Raw_Data!D952</f>
        <v>Invoiced</v>
      </c>
      <c r="I952" t="str">
        <f>Raw_Data!F952</f>
        <v>Web Lead</v>
      </c>
      <c r="J952" t="str">
        <f>Raw_Data!G952</f>
        <v>Web_Organic</v>
      </c>
      <c r="K952" t="str">
        <f>IFERROR(VLOOKUP(J952,Source_Assumptions!$A:$C,2,0),"Unmapped")</f>
        <v>Digital - Organic</v>
      </c>
      <c r="L952" t="str">
        <f>Raw_Data!H952</f>
        <v>AMAZE Petrol</v>
      </c>
      <c r="M952" t="str">
        <f>IFERROR(VLOOKUP(L952,Model_Assumptions!$A:$D,2,0),"Unmapped")</f>
        <v>Sub-4m Sedan</v>
      </c>
      <c r="N952" t="str">
        <f>IFERROR(VLOOKUP(L952,Model_Assumptions!$A:$D,3,0),"Unmapped")</f>
        <v>Petrol</v>
      </c>
      <c r="O952">
        <f>IFERROR(VLOOKUP(L952,Model_Assumptions!$A:$D,4,0),0)</f>
        <v>850000</v>
      </c>
      <c r="P952">
        <f>IFERROR(VLOOKUP(J952,Source_Assumptions!$A:$C,3,0),0)</f>
        <v>100</v>
      </c>
    </row>
    <row r="953" spans="1:16" x14ac:dyDescent="0.3">
      <c r="A953">
        <f>Raw_Data!A953</f>
        <v>952</v>
      </c>
      <c r="B953" s="2">
        <f>Raw_Data!B953</f>
        <v>45290</v>
      </c>
      <c r="C953">
        <f>YEAR(Raw_Data!B953)</f>
        <v>2023</v>
      </c>
      <c r="D953" t="str">
        <f>IF(MONTH(Raw_Data!B953)&gt;=4,YEAR(Raw_Data!B953)&amp;"-"&amp;RIGHT(YEAR(Raw_Data!B953)+1,2),YEAR(Raw_Data!B953)-1&amp;"-"&amp;RIGHT(YEAR(Raw_Data!B953),2))</f>
        <v>2023-24</v>
      </c>
      <c r="E953" t="str">
        <f>"Q"&amp;ROUNDUP(MONTH(Raw_Data!B953)/3,0)</f>
        <v>Q4</v>
      </c>
      <c r="F953" t="str">
        <f>TEXT(Raw_Data!B953,"mmm")</f>
        <v>Dec</v>
      </c>
      <c r="G953" t="str">
        <f>TEXT(Raw_Data!B953,"ddd")</f>
        <v>Sat</v>
      </c>
      <c r="H953" t="str">
        <f>Raw_Data!D953</f>
        <v>Invoiced</v>
      </c>
      <c r="I953" t="str">
        <f>Raw_Data!F953</f>
        <v>Walk-in Showroom</v>
      </c>
      <c r="J953" t="str">
        <f>Raw_Data!G953</f>
        <v>Adver. (TVC/Print/Hoarding/FM)</v>
      </c>
      <c r="K953" t="str">
        <f>IFERROR(VLOOKUP(J953,Source_Assumptions!$A:$C,2,0),"Unmapped")</f>
        <v>Traditional Advertising</v>
      </c>
      <c r="L953" t="str">
        <f>Raw_Data!H953</f>
        <v>5TH GEN CITY PE</v>
      </c>
      <c r="M953" t="str">
        <f>IFERROR(VLOOKUP(L953,Model_Assumptions!$A:$D,2,0),"Unmapped")</f>
        <v>Mid-size Sedan</v>
      </c>
      <c r="N953" t="str">
        <f>IFERROR(VLOOKUP(L953,Model_Assumptions!$A:$D,3,0),"Unmapped")</f>
        <v>Petrol</v>
      </c>
      <c r="O953">
        <f>IFERROR(VLOOKUP(L953,Model_Assumptions!$A:$D,4,0),0)</f>
        <v>1250000</v>
      </c>
      <c r="P953">
        <f>IFERROR(VLOOKUP(J953,Source_Assumptions!$A:$C,3,0),0)</f>
        <v>1200</v>
      </c>
    </row>
    <row r="954" spans="1:16" x14ac:dyDescent="0.3">
      <c r="A954">
        <f>Raw_Data!A954</f>
        <v>953</v>
      </c>
      <c r="B954" s="2">
        <f>Raw_Data!B954</f>
        <v>45290</v>
      </c>
      <c r="C954">
        <f>YEAR(Raw_Data!B954)</f>
        <v>2023</v>
      </c>
      <c r="D954" t="str">
        <f>IF(MONTH(Raw_Data!B954)&gt;=4,YEAR(Raw_Data!B954)&amp;"-"&amp;RIGHT(YEAR(Raw_Data!B954)+1,2),YEAR(Raw_Data!B954)-1&amp;"-"&amp;RIGHT(YEAR(Raw_Data!B954),2))</f>
        <v>2023-24</v>
      </c>
      <c r="E954" t="str">
        <f>"Q"&amp;ROUNDUP(MONTH(Raw_Data!B954)/3,0)</f>
        <v>Q4</v>
      </c>
      <c r="F954" t="str">
        <f>TEXT(Raw_Data!B954,"mmm")</f>
        <v>Dec</v>
      </c>
      <c r="G954" t="str">
        <f>TEXT(Raw_Data!B954,"ddd")</f>
        <v>Sat</v>
      </c>
      <c r="H954" t="str">
        <f>Raw_Data!D954</f>
        <v>Invoiced</v>
      </c>
      <c r="I954" t="str">
        <f>Raw_Data!F954</f>
        <v>Tele-in</v>
      </c>
      <c r="J954" t="str">
        <f>Raw_Data!G954</f>
        <v>Referral-CAM</v>
      </c>
      <c r="K954" t="str">
        <f>IFERROR(VLOOKUP(J954,Source_Assumptions!$A:$C,2,0),"Unmapped")</f>
        <v>Referral</v>
      </c>
      <c r="L954" t="str">
        <f>Raw_Data!H954</f>
        <v>AMAZE Petrol</v>
      </c>
      <c r="M954" t="str">
        <f>IFERROR(VLOOKUP(L954,Model_Assumptions!$A:$D,2,0),"Unmapped")</f>
        <v>Sub-4m Sedan</v>
      </c>
      <c r="N954" t="str">
        <f>IFERROR(VLOOKUP(L954,Model_Assumptions!$A:$D,3,0),"Unmapped")</f>
        <v>Petrol</v>
      </c>
      <c r="O954">
        <f>IFERROR(VLOOKUP(L954,Model_Assumptions!$A:$D,4,0),0)</f>
        <v>850000</v>
      </c>
      <c r="P954">
        <f>IFERROR(VLOOKUP(J954,Source_Assumptions!$A:$C,3,0),0)</f>
        <v>150</v>
      </c>
    </row>
    <row r="955" spans="1:16" x14ac:dyDescent="0.3">
      <c r="A955">
        <f>Raw_Data!A955</f>
        <v>954</v>
      </c>
      <c r="B955" s="2">
        <f>Raw_Data!B955</f>
        <v>45290</v>
      </c>
      <c r="C955">
        <f>YEAR(Raw_Data!B955)</f>
        <v>2023</v>
      </c>
      <c r="D955" t="str">
        <f>IF(MONTH(Raw_Data!B955)&gt;=4,YEAR(Raw_Data!B955)&amp;"-"&amp;RIGHT(YEAR(Raw_Data!B955)+1,2),YEAR(Raw_Data!B955)-1&amp;"-"&amp;RIGHT(YEAR(Raw_Data!B955),2))</f>
        <v>2023-24</v>
      </c>
      <c r="E955" t="str">
        <f>"Q"&amp;ROUNDUP(MONTH(Raw_Data!B955)/3,0)</f>
        <v>Q4</v>
      </c>
      <c r="F955" t="str">
        <f>TEXT(Raw_Data!B955,"mmm")</f>
        <v>Dec</v>
      </c>
      <c r="G955" t="str">
        <f>TEXT(Raw_Data!B955,"ddd")</f>
        <v>Sat</v>
      </c>
      <c r="H955" t="str">
        <f>Raw_Data!D955</f>
        <v>Invoiced</v>
      </c>
      <c r="I955" t="str">
        <f>Raw_Data!F955</f>
        <v>Tele-in</v>
      </c>
      <c r="J955" t="str">
        <f>Raw_Data!G955</f>
        <v>Referral-CAM</v>
      </c>
      <c r="K955" t="str">
        <f>IFERROR(VLOOKUP(J955,Source_Assumptions!$A:$C,2,0),"Unmapped")</f>
        <v>Referral</v>
      </c>
      <c r="L955" t="str">
        <f>Raw_Data!H955</f>
        <v>AMAZE Petrol</v>
      </c>
      <c r="M955" t="str">
        <f>IFERROR(VLOOKUP(L955,Model_Assumptions!$A:$D,2,0),"Unmapped")</f>
        <v>Sub-4m Sedan</v>
      </c>
      <c r="N955" t="str">
        <f>IFERROR(VLOOKUP(L955,Model_Assumptions!$A:$D,3,0),"Unmapped")</f>
        <v>Petrol</v>
      </c>
      <c r="O955">
        <f>IFERROR(VLOOKUP(L955,Model_Assumptions!$A:$D,4,0),0)</f>
        <v>850000</v>
      </c>
      <c r="P955">
        <f>IFERROR(VLOOKUP(J955,Source_Assumptions!$A:$C,3,0),0)</f>
        <v>150</v>
      </c>
    </row>
    <row r="956" spans="1:16" x14ac:dyDescent="0.3">
      <c r="A956">
        <f>Raw_Data!A956</f>
        <v>955</v>
      </c>
      <c r="B956" s="2">
        <f>Raw_Data!B956</f>
        <v>45293</v>
      </c>
      <c r="C956">
        <f>YEAR(Raw_Data!B956)</f>
        <v>2024</v>
      </c>
      <c r="D956" t="str">
        <f>IF(MONTH(Raw_Data!B956)&gt;=4,YEAR(Raw_Data!B956)&amp;"-"&amp;RIGHT(YEAR(Raw_Data!B956)+1,2),YEAR(Raw_Data!B956)-1&amp;"-"&amp;RIGHT(YEAR(Raw_Data!B956),2))</f>
        <v>2023-24</v>
      </c>
      <c r="E956" t="str">
        <f>"Q"&amp;ROUNDUP(MONTH(Raw_Data!B956)/3,0)</f>
        <v>Q1</v>
      </c>
      <c r="F956" t="str">
        <f>TEXT(Raw_Data!B956,"mmm")</f>
        <v>Jan</v>
      </c>
      <c r="G956" t="str">
        <f>TEXT(Raw_Data!B956,"ddd")</f>
        <v>Tue</v>
      </c>
      <c r="H956" t="str">
        <f>Raw_Data!D956</f>
        <v>Invoiced</v>
      </c>
      <c r="I956" t="str">
        <f>Raw_Data!F956</f>
        <v>Walk-in Showroom</v>
      </c>
      <c r="J956" t="str">
        <f>Raw_Data!G956</f>
        <v>Adver. (TVC/Print/Hoarding/FM)</v>
      </c>
      <c r="K956" t="str">
        <f>IFERROR(VLOOKUP(J956,Source_Assumptions!$A:$C,2,0),"Unmapped")</f>
        <v>Traditional Advertising</v>
      </c>
      <c r="L956" t="str">
        <f>Raw_Data!H956</f>
        <v>AMAZE Petrol</v>
      </c>
      <c r="M956" t="str">
        <f>IFERROR(VLOOKUP(L956,Model_Assumptions!$A:$D,2,0),"Unmapped")</f>
        <v>Sub-4m Sedan</v>
      </c>
      <c r="N956" t="str">
        <f>IFERROR(VLOOKUP(L956,Model_Assumptions!$A:$D,3,0),"Unmapped")</f>
        <v>Petrol</v>
      </c>
      <c r="O956">
        <f>IFERROR(VLOOKUP(L956,Model_Assumptions!$A:$D,4,0),0)</f>
        <v>850000</v>
      </c>
      <c r="P956">
        <f>IFERROR(VLOOKUP(J956,Source_Assumptions!$A:$C,3,0),0)</f>
        <v>1200</v>
      </c>
    </row>
    <row r="957" spans="1:16" x14ac:dyDescent="0.3">
      <c r="A957">
        <f>Raw_Data!A957</f>
        <v>956</v>
      </c>
      <c r="B957" s="2">
        <f>Raw_Data!B957</f>
        <v>45293</v>
      </c>
      <c r="C957">
        <f>YEAR(Raw_Data!B957)</f>
        <v>2024</v>
      </c>
      <c r="D957" t="str">
        <f>IF(MONTH(Raw_Data!B957)&gt;=4,YEAR(Raw_Data!B957)&amp;"-"&amp;RIGHT(YEAR(Raw_Data!B957)+1,2),YEAR(Raw_Data!B957)-1&amp;"-"&amp;RIGHT(YEAR(Raw_Data!B957),2))</f>
        <v>2023-24</v>
      </c>
      <c r="E957" t="str">
        <f>"Q"&amp;ROUNDUP(MONTH(Raw_Data!B957)/3,0)</f>
        <v>Q1</v>
      </c>
      <c r="F957" t="str">
        <f>TEXT(Raw_Data!B957,"mmm")</f>
        <v>Jan</v>
      </c>
      <c r="G957" t="str">
        <f>TEXT(Raw_Data!B957,"ddd")</f>
        <v>Tue</v>
      </c>
      <c r="H957" t="str">
        <f>Raw_Data!D957</f>
        <v>Invoiced</v>
      </c>
      <c r="I957" t="str">
        <f>Raw_Data!F957</f>
        <v>SMS/ Tele-Out</v>
      </c>
      <c r="J957" t="str">
        <f>Raw_Data!G957</f>
        <v>Database Activity(Teleout/SMS)</v>
      </c>
      <c r="K957" t="str">
        <f>IFERROR(VLOOKUP(J957,Source_Assumptions!$A:$C,2,0),"Unmapped")</f>
        <v>Outbound/Database</v>
      </c>
      <c r="L957" t="str">
        <f>Raw_Data!H957</f>
        <v>AMAZE Petrol</v>
      </c>
      <c r="M957" t="str">
        <f>IFERROR(VLOOKUP(L957,Model_Assumptions!$A:$D,2,0),"Unmapped")</f>
        <v>Sub-4m Sedan</v>
      </c>
      <c r="N957" t="str">
        <f>IFERROR(VLOOKUP(L957,Model_Assumptions!$A:$D,3,0),"Unmapped")</f>
        <v>Petrol</v>
      </c>
      <c r="O957">
        <f>IFERROR(VLOOKUP(L957,Model_Assumptions!$A:$D,4,0),0)</f>
        <v>850000</v>
      </c>
      <c r="P957">
        <f>IFERROR(VLOOKUP(J957,Source_Assumptions!$A:$C,3,0),0)</f>
        <v>250</v>
      </c>
    </row>
    <row r="958" spans="1:16" x14ac:dyDescent="0.3">
      <c r="A958">
        <f>Raw_Data!A958</f>
        <v>957</v>
      </c>
      <c r="B958" s="2">
        <f>Raw_Data!B958</f>
        <v>45294</v>
      </c>
      <c r="C958">
        <f>YEAR(Raw_Data!B958)</f>
        <v>2024</v>
      </c>
      <c r="D958" t="str">
        <f>IF(MONTH(Raw_Data!B958)&gt;=4,YEAR(Raw_Data!B958)&amp;"-"&amp;RIGHT(YEAR(Raw_Data!B958)+1,2),YEAR(Raw_Data!B958)-1&amp;"-"&amp;RIGHT(YEAR(Raw_Data!B958),2))</f>
        <v>2023-24</v>
      </c>
      <c r="E958" t="str">
        <f>"Q"&amp;ROUNDUP(MONTH(Raw_Data!B958)/3,0)</f>
        <v>Q1</v>
      </c>
      <c r="F958" t="str">
        <f>TEXT(Raw_Data!B958,"mmm")</f>
        <v>Jan</v>
      </c>
      <c r="G958" t="str">
        <f>TEXT(Raw_Data!B958,"ddd")</f>
        <v>Wed</v>
      </c>
      <c r="H958" t="str">
        <f>Raw_Data!D958</f>
        <v>Invoiced</v>
      </c>
      <c r="I958" t="str">
        <f>Raw_Data!F958</f>
        <v>SMS/ Tele-Out</v>
      </c>
      <c r="J958" t="str">
        <f>Raw_Data!G958</f>
        <v>Database Activity(Teleout/SMS)</v>
      </c>
      <c r="K958" t="str">
        <f>IFERROR(VLOOKUP(J958,Source_Assumptions!$A:$C,2,0),"Unmapped")</f>
        <v>Outbound/Database</v>
      </c>
      <c r="L958" t="str">
        <f>Raw_Data!H958</f>
        <v>ELEVATE</v>
      </c>
      <c r="M958" t="str">
        <f>IFERROR(VLOOKUP(L958,Model_Assumptions!$A:$D,2,0),"Unmapped")</f>
        <v>Compact SUV</v>
      </c>
      <c r="N958" t="str">
        <f>IFERROR(VLOOKUP(L958,Model_Assumptions!$A:$D,3,0),"Unmapped")</f>
        <v>Petrol</v>
      </c>
      <c r="O958">
        <f>IFERROR(VLOOKUP(L958,Model_Assumptions!$A:$D,4,0),0)</f>
        <v>1300000</v>
      </c>
      <c r="P958">
        <f>IFERROR(VLOOKUP(J958,Source_Assumptions!$A:$C,3,0),0)</f>
        <v>250</v>
      </c>
    </row>
    <row r="959" spans="1:16" x14ac:dyDescent="0.3">
      <c r="A959">
        <f>Raw_Data!A959</f>
        <v>958</v>
      </c>
      <c r="B959" s="2">
        <f>Raw_Data!B959</f>
        <v>45301</v>
      </c>
      <c r="C959">
        <f>YEAR(Raw_Data!B959)</f>
        <v>2024</v>
      </c>
      <c r="D959" t="str">
        <f>IF(MONTH(Raw_Data!B959)&gt;=4,YEAR(Raw_Data!B959)&amp;"-"&amp;RIGHT(YEAR(Raw_Data!B959)+1,2),YEAR(Raw_Data!B959)-1&amp;"-"&amp;RIGHT(YEAR(Raw_Data!B959),2))</f>
        <v>2023-24</v>
      </c>
      <c r="E959" t="str">
        <f>"Q"&amp;ROUNDUP(MONTH(Raw_Data!B959)/3,0)</f>
        <v>Q1</v>
      </c>
      <c r="F959" t="str">
        <f>TEXT(Raw_Data!B959,"mmm")</f>
        <v>Jan</v>
      </c>
      <c r="G959" t="str">
        <f>TEXT(Raw_Data!B959,"ddd")</f>
        <v>Wed</v>
      </c>
      <c r="H959" t="str">
        <f>Raw_Data!D959</f>
        <v>Invoiced</v>
      </c>
      <c r="I959" t="str">
        <f>Raw_Data!F959</f>
        <v>Tele-in</v>
      </c>
      <c r="J959" t="str">
        <f>Raw_Data!G959</f>
        <v>Referral-CAM</v>
      </c>
      <c r="K959" t="str">
        <f>IFERROR(VLOOKUP(J959,Source_Assumptions!$A:$C,2,0),"Unmapped")</f>
        <v>Referral</v>
      </c>
      <c r="L959" t="str">
        <f>Raw_Data!H959</f>
        <v>5TH GEN CITY PE</v>
      </c>
      <c r="M959" t="str">
        <f>IFERROR(VLOOKUP(L959,Model_Assumptions!$A:$D,2,0),"Unmapped")</f>
        <v>Mid-size Sedan</v>
      </c>
      <c r="N959" t="str">
        <f>IFERROR(VLOOKUP(L959,Model_Assumptions!$A:$D,3,0),"Unmapped")</f>
        <v>Petrol</v>
      </c>
      <c r="O959">
        <f>IFERROR(VLOOKUP(L959,Model_Assumptions!$A:$D,4,0),0)</f>
        <v>1250000</v>
      </c>
      <c r="P959">
        <f>IFERROR(VLOOKUP(J959,Source_Assumptions!$A:$C,3,0),0)</f>
        <v>150</v>
      </c>
    </row>
    <row r="960" spans="1:16" x14ac:dyDescent="0.3">
      <c r="A960">
        <f>Raw_Data!A960</f>
        <v>959</v>
      </c>
      <c r="B960" s="2">
        <f>Raw_Data!B960</f>
        <v>45301</v>
      </c>
      <c r="C960">
        <f>YEAR(Raw_Data!B960)</f>
        <v>2024</v>
      </c>
      <c r="D960" t="str">
        <f>IF(MONTH(Raw_Data!B960)&gt;=4,YEAR(Raw_Data!B960)&amp;"-"&amp;RIGHT(YEAR(Raw_Data!B960)+1,2),YEAR(Raw_Data!B960)-1&amp;"-"&amp;RIGHT(YEAR(Raw_Data!B960),2))</f>
        <v>2023-24</v>
      </c>
      <c r="E960" t="str">
        <f>"Q"&amp;ROUNDUP(MONTH(Raw_Data!B960)/3,0)</f>
        <v>Q1</v>
      </c>
      <c r="F960" t="str">
        <f>TEXT(Raw_Data!B960,"mmm")</f>
        <v>Jan</v>
      </c>
      <c r="G960" t="str">
        <f>TEXT(Raw_Data!B960,"ddd")</f>
        <v>Wed</v>
      </c>
      <c r="H960" t="str">
        <f>Raw_Data!D960</f>
        <v>Invoiced</v>
      </c>
      <c r="I960" t="str">
        <f>Raw_Data!F960</f>
        <v>Walk-in Showroom</v>
      </c>
      <c r="J960" t="str">
        <f>Raw_Data!G960</f>
        <v>Adver. (TVC/Print/Hoarding/FM)</v>
      </c>
      <c r="K960" t="str">
        <f>IFERROR(VLOOKUP(J960,Source_Assumptions!$A:$C,2,0),"Unmapped")</f>
        <v>Traditional Advertising</v>
      </c>
      <c r="L960" t="str">
        <f>Raw_Data!H960</f>
        <v>ELEVATE</v>
      </c>
      <c r="M960" t="str">
        <f>IFERROR(VLOOKUP(L960,Model_Assumptions!$A:$D,2,0),"Unmapped")</f>
        <v>Compact SUV</v>
      </c>
      <c r="N960" t="str">
        <f>IFERROR(VLOOKUP(L960,Model_Assumptions!$A:$D,3,0),"Unmapped")</f>
        <v>Petrol</v>
      </c>
      <c r="O960">
        <f>IFERROR(VLOOKUP(L960,Model_Assumptions!$A:$D,4,0),0)</f>
        <v>1300000</v>
      </c>
      <c r="P960">
        <f>IFERROR(VLOOKUP(J960,Source_Assumptions!$A:$C,3,0),0)</f>
        <v>1200</v>
      </c>
    </row>
    <row r="961" spans="1:16" x14ac:dyDescent="0.3">
      <c r="A961">
        <f>Raw_Data!A961</f>
        <v>960</v>
      </c>
      <c r="B961" s="2">
        <f>Raw_Data!B961</f>
        <v>45301</v>
      </c>
      <c r="C961">
        <f>YEAR(Raw_Data!B961)</f>
        <v>2024</v>
      </c>
      <c r="D961" t="str">
        <f>IF(MONTH(Raw_Data!B961)&gt;=4,YEAR(Raw_Data!B961)&amp;"-"&amp;RIGHT(YEAR(Raw_Data!B961)+1,2),YEAR(Raw_Data!B961)-1&amp;"-"&amp;RIGHT(YEAR(Raw_Data!B961),2))</f>
        <v>2023-24</v>
      </c>
      <c r="E961" t="str">
        <f>"Q"&amp;ROUNDUP(MONTH(Raw_Data!B961)/3,0)</f>
        <v>Q1</v>
      </c>
      <c r="F961" t="str">
        <f>TEXT(Raw_Data!B961,"mmm")</f>
        <v>Jan</v>
      </c>
      <c r="G961" t="str">
        <f>TEXT(Raw_Data!B961,"ddd")</f>
        <v>Wed</v>
      </c>
      <c r="H961" t="str">
        <f>Raw_Data!D961</f>
        <v>Invoiced</v>
      </c>
      <c r="I961" t="str">
        <f>Raw_Data!F961</f>
        <v>Walk-in Showroom</v>
      </c>
      <c r="J961" t="str">
        <f>Raw_Data!G961</f>
        <v>Adver. (TVC/Print/Hoarding/FM)</v>
      </c>
      <c r="K961" t="str">
        <f>IFERROR(VLOOKUP(J961,Source_Assumptions!$A:$C,2,0),"Unmapped")</f>
        <v>Traditional Advertising</v>
      </c>
      <c r="L961" t="str">
        <f>Raw_Data!H961</f>
        <v>ELEVATE</v>
      </c>
      <c r="M961" t="str">
        <f>IFERROR(VLOOKUP(L961,Model_Assumptions!$A:$D,2,0),"Unmapped")</f>
        <v>Compact SUV</v>
      </c>
      <c r="N961" t="str">
        <f>IFERROR(VLOOKUP(L961,Model_Assumptions!$A:$D,3,0),"Unmapped")</f>
        <v>Petrol</v>
      </c>
      <c r="O961">
        <f>IFERROR(VLOOKUP(L961,Model_Assumptions!$A:$D,4,0),0)</f>
        <v>1300000</v>
      </c>
      <c r="P961">
        <f>IFERROR(VLOOKUP(J961,Source_Assumptions!$A:$C,3,0),0)</f>
        <v>1200</v>
      </c>
    </row>
    <row r="962" spans="1:16" x14ac:dyDescent="0.3">
      <c r="A962">
        <f>Raw_Data!A962</f>
        <v>961</v>
      </c>
      <c r="B962" s="2">
        <f>Raw_Data!B962</f>
        <v>45302</v>
      </c>
      <c r="C962">
        <f>YEAR(Raw_Data!B962)</f>
        <v>2024</v>
      </c>
      <c r="D962" t="str">
        <f>IF(MONTH(Raw_Data!B962)&gt;=4,YEAR(Raw_Data!B962)&amp;"-"&amp;RIGHT(YEAR(Raw_Data!B962)+1,2),YEAR(Raw_Data!B962)-1&amp;"-"&amp;RIGHT(YEAR(Raw_Data!B962),2))</f>
        <v>2023-24</v>
      </c>
      <c r="E962" t="str">
        <f>"Q"&amp;ROUNDUP(MONTH(Raw_Data!B962)/3,0)</f>
        <v>Q1</v>
      </c>
      <c r="F962" t="str">
        <f>TEXT(Raw_Data!B962,"mmm")</f>
        <v>Jan</v>
      </c>
      <c r="G962" t="str">
        <f>TEXT(Raw_Data!B962,"ddd")</f>
        <v>Thu</v>
      </c>
      <c r="H962" t="str">
        <f>Raw_Data!D962</f>
        <v>Invoiced</v>
      </c>
      <c r="I962" t="str">
        <f>Raw_Data!F962</f>
        <v>Tele-in</v>
      </c>
      <c r="J962" t="str">
        <f>Raw_Data!G962</f>
        <v>Dealer Webpage Tele-In</v>
      </c>
      <c r="K962" t="str">
        <f>IFERROR(VLOOKUP(J962,Source_Assumptions!$A:$C,2,0),"Unmapped")</f>
        <v>Digital - Owned</v>
      </c>
      <c r="L962" t="str">
        <f>Raw_Data!H962</f>
        <v>AMAZE Petrol</v>
      </c>
      <c r="M962" t="str">
        <f>IFERROR(VLOOKUP(L962,Model_Assumptions!$A:$D,2,0),"Unmapped")</f>
        <v>Sub-4m Sedan</v>
      </c>
      <c r="N962" t="str">
        <f>IFERROR(VLOOKUP(L962,Model_Assumptions!$A:$D,3,0),"Unmapped")</f>
        <v>Petrol</v>
      </c>
      <c r="O962">
        <f>IFERROR(VLOOKUP(L962,Model_Assumptions!$A:$D,4,0),0)</f>
        <v>850000</v>
      </c>
      <c r="P962">
        <f>IFERROR(VLOOKUP(J962,Source_Assumptions!$A:$C,3,0),0)</f>
        <v>300</v>
      </c>
    </row>
    <row r="963" spans="1:16" x14ac:dyDescent="0.3">
      <c r="A963">
        <f>Raw_Data!A963</f>
        <v>962</v>
      </c>
      <c r="B963" s="2">
        <f>Raw_Data!B963</f>
        <v>45307</v>
      </c>
      <c r="C963">
        <f>YEAR(Raw_Data!B963)</f>
        <v>2024</v>
      </c>
      <c r="D963" t="str">
        <f>IF(MONTH(Raw_Data!B963)&gt;=4,YEAR(Raw_Data!B963)&amp;"-"&amp;RIGHT(YEAR(Raw_Data!B963)+1,2),YEAR(Raw_Data!B963)-1&amp;"-"&amp;RIGHT(YEAR(Raw_Data!B963),2))</f>
        <v>2023-24</v>
      </c>
      <c r="E963" t="str">
        <f>"Q"&amp;ROUNDUP(MONTH(Raw_Data!B963)/3,0)</f>
        <v>Q1</v>
      </c>
      <c r="F963" t="str">
        <f>TEXT(Raw_Data!B963,"mmm")</f>
        <v>Jan</v>
      </c>
      <c r="G963" t="str">
        <f>TEXT(Raw_Data!B963,"ddd")</f>
        <v>Tue</v>
      </c>
      <c r="H963" t="str">
        <f>Raw_Data!D963</f>
        <v>Invoiced</v>
      </c>
      <c r="I963" t="str">
        <f>Raw_Data!F963</f>
        <v>Tele-in</v>
      </c>
      <c r="J963" t="str">
        <f>Raw_Data!G963</f>
        <v>Dealer Webpage Tele-In</v>
      </c>
      <c r="K963" t="str">
        <f>IFERROR(VLOOKUP(J963,Source_Assumptions!$A:$C,2,0),"Unmapped")</f>
        <v>Digital - Owned</v>
      </c>
      <c r="L963" t="str">
        <f>Raw_Data!H963</f>
        <v>ELEVATE</v>
      </c>
      <c r="M963" t="str">
        <f>IFERROR(VLOOKUP(L963,Model_Assumptions!$A:$D,2,0),"Unmapped")</f>
        <v>Compact SUV</v>
      </c>
      <c r="N963" t="str">
        <f>IFERROR(VLOOKUP(L963,Model_Assumptions!$A:$D,3,0),"Unmapped")</f>
        <v>Petrol</v>
      </c>
      <c r="O963">
        <f>IFERROR(VLOOKUP(L963,Model_Assumptions!$A:$D,4,0),0)</f>
        <v>1300000</v>
      </c>
      <c r="P963">
        <f>IFERROR(VLOOKUP(J963,Source_Assumptions!$A:$C,3,0),0)</f>
        <v>300</v>
      </c>
    </row>
    <row r="964" spans="1:16" x14ac:dyDescent="0.3">
      <c r="A964">
        <f>Raw_Data!A964</f>
        <v>963</v>
      </c>
      <c r="B964" s="2">
        <f>Raw_Data!B964</f>
        <v>45308</v>
      </c>
      <c r="C964">
        <f>YEAR(Raw_Data!B964)</f>
        <v>2024</v>
      </c>
      <c r="D964" t="str">
        <f>IF(MONTH(Raw_Data!B964)&gt;=4,YEAR(Raw_Data!B964)&amp;"-"&amp;RIGHT(YEAR(Raw_Data!B964)+1,2),YEAR(Raw_Data!B964)-1&amp;"-"&amp;RIGHT(YEAR(Raw_Data!B964),2))</f>
        <v>2023-24</v>
      </c>
      <c r="E964" t="str">
        <f>"Q"&amp;ROUNDUP(MONTH(Raw_Data!B964)/3,0)</f>
        <v>Q1</v>
      </c>
      <c r="F964" t="str">
        <f>TEXT(Raw_Data!B964,"mmm")</f>
        <v>Jan</v>
      </c>
      <c r="G964" t="str">
        <f>TEXT(Raw_Data!B964,"ddd")</f>
        <v>Wed</v>
      </c>
      <c r="H964" t="str">
        <f>Raw_Data!D964</f>
        <v>Invoiced</v>
      </c>
      <c r="I964" t="str">
        <f>Raw_Data!F964</f>
        <v>Tele-in</v>
      </c>
      <c r="J964" t="str">
        <f>Raw_Data!G964</f>
        <v>Dealer Webpage Tele-In</v>
      </c>
      <c r="K964" t="str">
        <f>IFERROR(VLOOKUP(J964,Source_Assumptions!$A:$C,2,0),"Unmapped")</f>
        <v>Digital - Owned</v>
      </c>
      <c r="L964" t="str">
        <f>Raw_Data!H964</f>
        <v>ELEVATE</v>
      </c>
      <c r="M964" t="str">
        <f>IFERROR(VLOOKUP(L964,Model_Assumptions!$A:$D,2,0),"Unmapped")</f>
        <v>Compact SUV</v>
      </c>
      <c r="N964" t="str">
        <f>IFERROR(VLOOKUP(L964,Model_Assumptions!$A:$D,3,0),"Unmapped")</f>
        <v>Petrol</v>
      </c>
      <c r="O964">
        <f>IFERROR(VLOOKUP(L964,Model_Assumptions!$A:$D,4,0),0)</f>
        <v>1300000</v>
      </c>
      <c r="P964">
        <f>IFERROR(VLOOKUP(J964,Source_Assumptions!$A:$C,3,0),0)</f>
        <v>300</v>
      </c>
    </row>
    <row r="965" spans="1:16" x14ac:dyDescent="0.3">
      <c r="A965">
        <f>Raw_Data!A965</f>
        <v>964</v>
      </c>
      <c r="B965" s="2">
        <f>Raw_Data!B965</f>
        <v>45307</v>
      </c>
      <c r="C965">
        <f>YEAR(Raw_Data!B965)</f>
        <v>2024</v>
      </c>
      <c r="D965" t="str">
        <f>IF(MONTH(Raw_Data!B965)&gt;=4,YEAR(Raw_Data!B965)&amp;"-"&amp;RIGHT(YEAR(Raw_Data!B965)+1,2),YEAR(Raw_Data!B965)-1&amp;"-"&amp;RIGHT(YEAR(Raw_Data!B965),2))</f>
        <v>2023-24</v>
      </c>
      <c r="E965" t="str">
        <f>"Q"&amp;ROUNDUP(MONTH(Raw_Data!B965)/3,0)</f>
        <v>Q1</v>
      </c>
      <c r="F965" t="str">
        <f>TEXT(Raw_Data!B965,"mmm")</f>
        <v>Jan</v>
      </c>
      <c r="G965" t="str">
        <f>TEXT(Raw_Data!B965,"ddd")</f>
        <v>Tue</v>
      </c>
      <c r="H965" t="str">
        <f>Raw_Data!D965</f>
        <v>Invoiced</v>
      </c>
      <c r="I965" t="str">
        <f>Raw_Data!F965</f>
        <v>Walk-in Showroom</v>
      </c>
      <c r="J965" t="str">
        <f>Raw_Data!G965</f>
        <v>Adver. (TVC/Print/Hoarding/FM)</v>
      </c>
      <c r="K965" t="str">
        <f>IFERROR(VLOOKUP(J965,Source_Assumptions!$A:$C,2,0),"Unmapped")</f>
        <v>Traditional Advertising</v>
      </c>
      <c r="L965" t="str">
        <f>Raw_Data!H965</f>
        <v>5TH GEN CITY PE</v>
      </c>
      <c r="M965" t="str">
        <f>IFERROR(VLOOKUP(L965,Model_Assumptions!$A:$D,2,0),"Unmapped")</f>
        <v>Mid-size Sedan</v>
      </c>
      <c r="N965" t="str">
        <f>IFERROR(VLOOKUP(L965,Model_Assumptions!$A:$D,3,0),"Unmapped")</f>
        <v>Petrol</v>
      </c>
      <c r="O965">
        <f>IFERROR(VLOOKUP(L965,Model_Assumptions!$A:$D,4,0),0)</f>
        <v>1250000</v>
      </c>
      <c r="P965">
        <f>IFERROR(VLOOKUP(J965,Source_Assumptions!$A:$C,3,0),0)</f>
        <v>1200</v>
      </c>
    </row>
    <row r="966" spans="1:16" x14ac:dyDescent="0.3">
      <c r="A966">
        <f>Raw_Data!A966</f>
        <v>965</v>
      </c>
      <c r="B966" s="2">
        <f>Raw_Data!B966</f>
        <v>45306</v>
      </c>
      <c r="C966">
        <f>YEAR(Raw_Data!B966)</f>
        <v>2024</v>
      </c>
      <c r="D966" t="str">
        <f>IF(MONTH(Raw_Data!B966)&gt;=4,YEAR(Raw_Data!B966)&amp;"-"&amp;RIGHT(YEAR(Raw_Data!B966)+1,2),YEAR(Raw_Data!B966)-1&amp;"-"&amp;RIGHT(YEAR(Raw_Data!B966),2))</f>
        <v>2023-24</v>
      </c>
      <c r="E966" t="str">
        <f>"Q"&amp;ROUNDUP(MONTH(Raw_Data!B966)/3,0)</f>
        <v>Q1</v>
      </c>
      <c r="F966" t="str">
        <f>TEXT(Raw_Data!B966,"mmm")</f>
        <v>Jan</v>
      </c>
      <c r="G966" t="str">
        <f>TEXT(Raw_Data!B966,"ddd")</f>
        <v>Mon</v>
      </c>
      <c r="H966" t="str">
        <f>Raw_Data!D966</f>
        <v>Invoiced</v>
      </c>
      <c r="I966" t="str">
        <f>Raw_Data!F966</f>
        <v>Web Lead</v>
      </c>
      <c r="J966" t="str">
        <f>Raw_Data!G966</f>
        <v>Web</v>
      </c>
      <c r="K966" t="str">
        <f>IFERROR(VLOOKUP(J966,Source_Assumptions!$A:$C,2,0),"Unmapped")</f>
        <v>Digital - Owned</v>
      </c>
      <c r="L966" t="str">
        <f>Raw_Data!H966</f>
        <v>AMAZE Petrol</v>
      </c>
      <c r="M966" t="str">
        <f>IFERROR(VLOOKUP(L966,Model_Assumptions!$A:$D,2,0),"Unmapped")</f>
        <v>Sub-4m Sedan</v>
      </c>
      <c r="N966" t="str">
        <f>IFERROR(VLOOKUP(L966,Model_Assumptions!$A:$D,3,0),"Unmapped")</f>
        <v>Petrol</v>
      </c>
      <c r="O966">
        <f>IFERROR(VLOOKUP(L966,Model_Assumptions!$A:$D,4,0),0)</f>
        <v>850000</v>
      </c>
      <c r="P966">
        <f>IFERROR(VLOOKUP(J966,Source_Assumptions!$A:$C,3,0),0)</f>
        <v>300</v>
      </c>
    </row>
    <row r="967" spans="1:16" x14ac:dyDescent="0.3">
      <c r="A967">
        <f>Raw_Data!A967</f>
        <v>966</v>
      </c>
      <c r="B967" s="2">
        <f>Raw_Data!B967</f>
        <v>45303</v>
      </c>
      <c r="C967">
        <f>YEAR(Raw_Data!B967)</f>
        <v>2024</v>
      </c>
      <c r="D967" t="str">
        <f>IF(MONTH(Raw_Data!B967)&gt;=4,YEAR(Raw_Data!B967)&amp;"-"&amp;RIGHT(YEAR(Raw_Data!B967)+1,2),YEAR(Raw_Data!B967)-1&amp;"-"&amp;RIGHT(YEAR(Raw_Data!B967),2))</f>
        <v>2023-24</v>
      </c>
      <c r="E967" t="str">
        <f>"Q"&amp;ROUNDUP(MONTH(Raw_Data!B967)/3,0)</f>
        <v>Q1</v>
      </c>
      <c r="F967" t="str">
        <f>TEXT(Raw_Data!B967,"mmm")</f>
        <v>Jan</v>
      </c>
      <c r="G967" t="str">
        <f>TEXT(Raw_Data!B967,"ddd")</f>
        <v>Fri</v>
      </c>
      <c r="H967" t="str">
        <f>Raw_Data!D967</f>
        <v>Invoiced</v>
      </c>
      <c r="I967" t="str">
        <f>Raw_Data!F967</f>
        <v>Walk-in Showroom</v>
      </c>
      <c r="J967" t="str">
        <f>Raw_Data!G967</f>
        <v>Adver. (TVC/Print/Hoarding/FM)</v>
      </c>
      <c r="K967" t="str">
        <f>IFERROR(VLOOKUP(J967,Source_Assumptions!$A:$C,2,0),"Unmapped")</f>
        <v>Traditional Advertising</v>
      </c>
      <c r="L967" t="str">
        <f>Raw_Data!H967</f>
        <v>AMAZE Petrol</v>
      </c>
      <c r="M967" t="str">
        <f>IFERROR(VLOOKUP(L967,Model_Assumptions!$A:$D,2,0),"Unmapped")</f>
        <v>Sub-4m Sedan</v>
      </c>
      <c r="N967" t="str">
        <f>IFERROR(VLOOKUP(L967,Model_Assumptions!$A:$D,3,0),"Unmapped")</f>
        <v>Petrol</v>
      </c>
      <c r="O967">
        <f>IFERROR(VLOOKUP(L967,Model_Assumptions!$A:$D,4,0),0)</f>
        <v>850000</v>
      </c>
      <c r="P967">
        <f>IFERROR(VLOOKUP(J967,Source_Assumptions!$A:$C,3,0),0)</f>
        <v>1200</v>
      </c>
    </row>
    <row r="968" spans="1:16" x14ac:dyDescent="0.3">
      <c r="A968">
        <f>Raw_Data!A968</f>
        <v>967</v>
      </c>
      <c r="B968" s="2">
        <f>Raw_Data!B968</f>
        <v>45303</v>
      </c>
      <c r="C968">
        <f>YEAR(Raw_Data!B968)</f>
        <v>2024</v>
      </c>
      <c r="D968" t="str">
        <f>IF(MONTH(Raw_Data!B968)&gt;=4,YEAR(Raw_Data!B968)&amp;"-"&amp;RIGHT(YEAR(Raw_Data!B968)+1,2),YEAR(Raw_Data!B968)-1&amp;"-"&amp;RIGHT(YEAR(Raw_Data!B968),2))</f>
        <v>2023-24</v>
      </c>
      <c r="E968" t="str">
        <f>"Q"&amp;ROUNDUP(MONTH(Raw_Data!B968)/3,0)</f>
        <v>Q1</v>
      </c>
      <c r="F968" t="str">
        <f>TEXT(Raw_Data!B968,"mmm")</f>
        <v>Jan</v>
      </c>
      <c r="G968" t="str">
        <f>TEXT(Raw_Data!B968,"ddd")</f>
        <v>Fri</v>
      </c>
      <c r="H968" t="str">
        <f>Raw_Data!D968</f>
        <v>Invoiced</v>
      </c>
      <c r="I968" t="str">
        <f>Raw_Data!F968</f>
        <v>Tele-in</v>
      </c>
      <c r="J968" t="str">
        <f>Raw_Data!G968</f>
        <v>Dealer Webpage Tele-In</v>
      </c>
      <c r="K968" t="str">
        <f>IFERROR(VLOOKUP(J968,Source_Assumptions!$A:$C,2,0),"Unmapped")</f>
        <v>Digital - Owned</v>
      </c>
      <c r="L968" t="str">
        <f>Raw_Data!H968</f>
        <v>AMAZE Petrol</v>
      </c>
      <c r="M968" t="str">
        <f>IFERROR(VLOOKUP(L968,Model_Assumptions!$A:$D,2,0),"Unmapped")</f>
        <v>Sub-4m Sedan</v>
      </c>
      <c r="N968" t="str">
        <f>IFERROR(VLOOKUP(L968,Model_Assumptions!$A:$D,3,0),"Unmapped")</f>
        <v>Petrol</v>
      </c>
      <c r="O968">
        <f>IFERROR(VLOOKUP(L968,Model_Assumptions!$A:$D,4,0),0)</f>
        <v>850000</v>
      </c>
      <c r="P968">
        <f>IFERROR(VLOOKUP(J968,Source_Assumptions!$A:$C,3,0),0)</f>
        <v>300</v>
      </c>
    </row>
    <row r="969" spans="1:16" x14ac:dyDescent="0.3">
      <c r="A969">
        <f>Raw_Data!A969</f>
        <v>968</v>
      </c>
      <c r="B969" s="2">
        <f>Raw_Data!B969</f>
        <v>45306</v>
      </c>
      <c r="C969">
        <f>YEAR(Raw_Data!B969)</f>
        <v>2024</v>
      </c>
      <c r="D969" t="str">
        <f>IF(MONTH(Raw_Data!B969)&gt;=4,YEAR(Raw_Data!B969)&amp;"-"&amp;RIGHT(YEAR(Raw_Data!B969)+1,2),YEAR(Raw_Data!B969)-1&amp;"-"&amp;RIGHT(YEAR(Raw_Data!B969),2))</f>
        <v>2023-24</v>
      </c>
      <c r="E969" t="str">
        <f>"Q"&amp;ROUNDUP(MONTH(Raw_Data!B969)/3,0)</f>
        <v>Q1</v>
      </c>
      <c r="F969" t="str">
        <f>TEXT(Raw_Data!B969,"mmm")</f>
        <v>Jan</v>
      </c>
      <c r="G969" t="str">
        <f>TEXT(Raw_Data!B969,"ddd")</f>
        <v>Mon</v>
      </c>
      <c r="H969" t="str">
        <f>Raw_Data!D969</f>
        <v>Invoiced</v>
      </c>
      <c r="I969" t="str">
        <f>Raw_Data!F969</f>
        <v>Web Lead</v>
      </c>
      <c r="J969" t="str">
        <f>Raw_Data!G969</f>
        <v>Web</v>
      </c>
      <c r="K969" t="str">
        <f>IFERROR(VLOOKUP(J969,Source_Assumptions!$A:$C,2,0),"Unmapped")</f>
        <v>Digital - Owned</v>
      </c>
      <c r="L969" t="str">
        <f>Raw_Data!H969</f>
        <v>AMAZE Petrol</v>
      </c>
      <c r="M969" t="str">
        <f>IFERROR(VLOOKUP(L969,Model_Assumptions!$A:$D,2,0),"Unmapped")</f>
        <v>Sub-4m Sedan</v>
      </c>
      <c r="N969" t="str">
        <f>IFERROR(VLOOKUP(L969,Model_Assumptions!$A:$D,3,0),"Unmapped")</f>
        <v>Petrol</v>
      </c>
      <c r="O969">
        <f>IFERROR(VLOOKUP(L969,Model_Assumptions!$A:$D,4,0),0)</f>
        <v>850000</v>
      </c>
      <c r="P969">
        <f>IFERROR(VLOOKUP(J969,Source_Assumptions!$A:$C,3,0),0)</f>
        <v>300</v>
      </c>
    </row>
    <row r="970" spans="1:16" x14ac:dyDescent="0.3">
      <c r="A970">
        <f>Raw_Data!A970</f>
        <v>969</v>
      </c>
      <c r="B970" s="2">
        <f>Raw_Data!B970</f>
        <v>45307</v>
      </c>
      <c r="C970">
        <f>YEAR(Raw_Data!B970)</f>
        <v>2024</v>
      </c>
      <c r="D970" t="str">
        <f>IF(MONTH(Raw_Data!B970)&gt;=4,YEAR(Raw_Data!B970)&amp;"-"&amp;RIGHT(YEAR(Raw_Data!B970)+1,2),YEAR(Raw_Data!B970)-1&amp;"-"&amp;RIGHT(YEAR(Raw_Data!B970),2))</f>
        <v>2023-24</v>
      </c>
      <c r="E970" t="str">
        <f>"Q"&amp;ROUNDUP(MONTH(Raw_Data!B970)/3,0)</f>
        <v>Q1</v>
      </c>
      <c r="F970" t="str">
        <f>TEXT(Raw_Data!B970,"mmm")</f>
        <v>Jan</v>
      </c>
      <c r="G970" t="str">
        <f>TEXT(Raw_Data!B970,"ddd")</f>
        <v>Tue</v>
      </c>
      <c r="H970" t="str">
        <f>Raw_Data!D970</f>
        <v>Invoiced</v>
      </c>
      <c r="I970" t="str">
        <f>Raw_Data!F970</f>
        <v>Tele-in</v>
      </c>
      <c r="J970" t="str">
        <f>Raw_Data!G970</f>
        <v>Referral-CAM</v>
      </c>
      <c r="K970" t="str">
        <f>IFERROR(VLOOKUP(J970,Source_Assumptions!$A:$C,2,0),"Unmapped")</f>
        <v>Referral</v>
      </c>
      <c r="L970" t="str">
        <f>Raw_Data!H970</f>
        <v>AMAZE Petrol</v>
      </c>
      <c r="M970" t="str">
        <f>IFERROR(VLOOKUP(L970,Model_Assumptions!$A:$D,2,0),"Unmapped")</f>
        <v>Sub-4m Sedan</v>
      </c>
      <c r="N970" t="str">
        <f>IFERROR(VLOOKUP(L970,Model_Assumptions!$A:$D,3,0),"Unmapped")</f>
        <v>Petrol</v>
      </c>
      <c r="O970">
        <f>IFERROR(VLOOKUP(L970,Model_Assumptions!$A:$D,4,0),0)</f>
        <v>850000</v>
      </c>
      <c r="P970">
        <f>IFERROR(VLOOKUP(J970,Source_Assumptions!$A:$C,3,0),0)</f>
        <v>150</v>
      </c>
    </row>
    <row r="971" spans="1:16" x14ac:dyDescent="0.3">
      <c r="A971">
        <f>Raw_Data!A971</f>
        <v>970</v>
      </c>
      <c r="B971" s="2">
        <f>Raw_Data!B971</f>
        <v>45308</v>
      </c>
      <c r="C971">
        <f>YEAR(Raw_Data!B971)</f>
        <v>2024</v>
      </c>
      <c r="D971" t="str">
        <f>IF(MONTH(Raw_Data!B971)&gt;=4,YEAR(Raw_Data!B971)&amp;"-"&amp;RIGHT(YEAR(Raw_Data!B971)+1,2),YEAR(Raw_Data!B971)-1&amp;"-"&amp;RIGHT(YEAR(Raw_Data!B971),2))</f>
        <v>2023-24</v>
      </c>
      <c r="E971" t="str">
        <f>"Q"&amp;ROUNDUP(MONTH(Raw_Data!B971)/3,0)</f>
        <v>Q1</v>
      </c>
      <c r="F971" t="str">
        <f>TEXT(Raw_Data!B971,"mmm")</f>
        <v>Jan</v>
      </c>
      <c r="G971" t="str">
        <f>TEXT(Raw_Data!B971,"ddd")</f>
        <v>Wed</v>
      </c>
      <c r="H971" t="str">
        <f>Raw_Data!D971</f>
        <v>Invoiced</v>
      </c>
      <c r="I971" t="str">
        <f>Raw_Data!F971</f>
        <v>Web Lead</v>
      </c>
      <c r="J971" t="str">
        <f>Raw_Data!G971</f>
        <v>Web</v>
      </c>
      <c r="K971" t="str">
        <f>IFERROR(VLOOKUP(J971,Source_Assumptions!$A:$C,2,0),"Unmapped")</f>
        <v>Digital - Owned</v>
      </c>
      <c r="L971" t="str">
        <f>Raw_Data!H971</f>
        <v>AMAZE Petrol</v>
      </c>
      <c r="M971" t="str">
        <f>IFERROR(VLOOKUP(L971,Model_Assumptions!$A:$D,2,0),"Unmapped")</f>
        <v>Sub-4m Sedan</v>
      </c>
      <c r="N971" t="str">
        <f>IFERROR(VLOOKUP(L971,Model_Assumptions!$A:$D,3,0),"Unmapped")</f>
        <v>Petrol</v>
      </c>
      <c r="O971">
        <f>IFERROR(VLOOKUP(L971,Model_Assumptions!$A:$D,4,0),0)</f>
        <v>850000</v>
      </c>
      <c r="P971">
        <f>IFERROR(VLOOKUP(J971,Source_Assumptions!$A:$C,3,0),0)</f>
        <v>300</v>
      </c>
    </row>
    <row r="972" spans="1:16" x14ac:dyDescent="0.3">
      <c r="A972">
        <f>Raw_Data!A972</f>
        <v>971</v>
      </c>
      <c r="B972" s="2">
        <f>Raw_Data!B972</f>
        <v>45309</v>
      </c>
      <c r="C972">
        <f>YEAR(Raw_Data!B972)</f>
        <v>2024</v>
      </c>
      <c r="D972" t="str">
        <f>IF(MONTH(Raw_Data!B972)&gt;=4,YEAR(Raw_Data!B972)&amp;"-"&amp;RIGHT(YEAR(Raw_Data!B972)+1,2),YEAR(Raw_Data!B972)-1&amp;"-"&amp;RIGHT(YEAR(Raw_Data!B972),2))</f>
        <v>2023-24</v>
      </c>
      <c r="E972" t="str">
        <f>"Q"&amp;ROUNDUP(MONTH(Raw_Data!B972)/3,0)</f>
        <v>Q1</v>
      </c>
      <c r="F972" t="str">
        <f>TEXT(Raw_Data!B972,"mmm")</f>
        <v>Jan</v>
      </c>
      <c r="G972" t="str">
        <f>TEXT(Raw_Data!B972,"ddd")</f>
        <v>Thu</v>
      </c>
      <c r="H972" t="str">
        <f>Raw_Data!D972</f>
        <v>Invoiced</v>
      </c>
      <c r="I972" t="str">
        <f>Raw_Data!F972</f>
        <v>Tele-in</v>
      </c>
      <c r="J972" t="str">
        <f>Raw_Data!G972</f>
        <v>Dealer Webpage Tele-In</v>
      </c>
      <c r="K972" t="str">
        <f>IFERROR(VLOOKUP(J972,Source_Assumptions!$A:$C,2,0),"Unmapped")</f>
        <v>Digital - Owned</v>
      </c>
      <c r="L972" t="str">
        <f>Raw_Data!H972</f>
        <v>5TH GEN CITY PE</v>
      </c>
      <c r="M972" t="str">
        <f>IFERROR(VLOOKUP(L972,Model_Assumptions!$A:$D,2,0),"Unmapped")</f>
        <v>Mid-size Sedan</v>
      </c>
      <c r="N972" t="str">
        <f>IFERROR(VLOOKUP(L972,Model_Assumptions!$A:$D,3,0),"Unmapped")</f>
        <v>Petrol</v>
      </c>
      <c r="O972">
        <f>IFERROR(VLOOKUP(L972,Model_Assumptions!$A:$D,4,0),0)</f>
        <v>1250000</v>
      </c>
      <c r="P972">
        <f>IFERROR(VLOOKUP(J972,Source_Assumptions!$A:$C,3,0),0)</f>
        <v>300</v>
      </c>
    </row>
    <row r="973" spans="1:16" x14ac:dyDescent="0.3">
      <c r="A973">
        <f>Raw_Data!A973</f>
        <v>972</v>
      </c>
      <c r="B973" s="2">
        <f>Raw_Data!B973</f>
        <v>45310</v>
      </c>
      <c r="C973">
        <f>YEAR(Raw_Data!B973)</f>
        <v>2024</v>
      </c>
      <c r="D973" t="str">
        <f>IF(MONTH(Raw_Data!B973)&gt;=4,YEAR(Raw_Data!B973)&amp;"-"&amp;RIGHT(YEAR(Raw_Data!B973)+1,2),YEAR(Raw_Data!B973)-1&amp;"-"&amp;RIGHT(YEAR(Raw_Data!B973),2))</f>
        <v>2023-24</v>
      </c>
      <c r="E973" t="str">
        <f>"Q"&amp;ROUNDUP(MONTH(Raw_Data!B973)/3,0)</f>
        <v>Q1</v>
      </c>
      <c r="F973" t="str">
        <f>TEXT(Raw_Data!B973,"mmm")</f>
        <v>Jan</v>
      </c>
      <c r="G973" t="str">
        <f>TEXT(Raw_Data!B973,"ddd")</f>
        <v>Fri</v>
      </c>
      <c r="H973" t="str">
        <f>Raw_Data!D973</f>
        <v>Invoiced</v>
      </c>
      <c r="I973" t="str">
        <f>Raw_Data!F973</f>
        <v>Tele-in</v>
      </c>
      <c r="J973" t="str">
        <f>Raw_Data!G973</f>
        <v>Referral-CAM</v>
      </c>
      <c r="K973" t="str">
        <f>IFERROR(VLOOKUP(J973,Source_Assumptions!$A:$C,2,0),"Unmapped")</f>
        <v>Referral</v>
      </c>
      <c r="L973" t="str">
        <f>Raw_Data!H973</f>
        <v>ELEVATE</v>
      </c>
      <c r="M973" t="str">
        <f>IFERROR(VLOOKUP(L973,Model_Assumptions!$A:$D,2,0),"Unmapped")</f>
        <v>Compact SUV</v>
      </c>
      <c r="N973" t="str">
        <f>IFERROR(VLOOKUP(L973,Model_Assumptions!$A:$D,3,0),"Unmapped")</f>
        <v>Petrol</v>
      </c>
      <c r="O973">
        <f>IFERROR(VLOOKUP(L973,Model_Assumptions!$A:$D,4,0),0)</f>
        <v>1300000</v>
      </c>
      <c r="P973">
        <f>IFERROR(VLOOKUP(J973,Source_Assumptions!$A:$C,3,0),0)</f>
        <v>150</v>
      </c>
    </row>
    <row r="974" spans="1:16" x14ac:dyDescent="0.3">
      <c r="A974">
        <f>Raw_Data!A974</f>
        <v>973</v>
      </c>
      <c r="B974" s="2">
        <f>Raw_Data!B974</f>
        <v>45311</v>
      </c>
      <c r="C974">
        <f>YEAR(Raw_Data!B974)</f>
        <v>2024</v>
      </c>
      <c r="D974" t="str">
        <f>IF(MONTH(Raw_Data!B974)&gt;=4,YEAR(Raw_Data!B974)&amp;"-"&amp;RIGHT(YEAR(Raw_Data!B974)+1,2),YEAR(Raw_Data!B974)-1&amp;"-"&amp;RIGHT(YEAR(Raw_Data!B974),2))</f>
        <v>2023-24</v>
      </c>
      <c r="E974" t="str">
        <f>"Q"&amp;ROUNDUP(MONTH(Raw_Data!B974)/3,0)</f>
        <v>Q1</v>
      </c>
      <c r="F974" t="str">
        <f>TEXT(Raw_Data!B974,"mmm")</f>
        <v>Jan</v>
      </c>
      <c r="G974" t="str">
        <f>TEXT(Raw_Data!B974,"ddd")</f>
        <v>Sat</v>
      </c>
      <c r="H974" t="str">
        <f>Raw_Data!D974</f>
        <v>Invoiced</v>
      </c>
      <c r="I974" t="str">
        <f>Raw_Data!F974</f>
        <v>Walk-in Showroom</v>
      </c>
      <c r="J974" t="str">
        <f>Raw_Data!G974</f>
        <v>Adver. (TVC/Print/Hoarding/FM)</v>
      </c>
      <c r="K974" t="str">
        <f>IFERROR(VLOOKUP(J974,Source_Assumptions!$A:$C,2,0),"Unmapped")</f>
        <v>Traditional Advertising</v>
      </c>
      <c r="L974" t="str">
        <f>Raw_Data!H974</f>
        <v>ELEVATE</v>
      </c>
      <c r="M974" t="str">
        <f>IFERROR(VLOOKUP(L974,Model_Assumptions!$A:$D,2,0),"Unmapped")</f>
        <v>Compact SUV</v>
      </c>
      <c r="N974" t="str">
        <f>IFERROR(VLOOKUP(L974,Model_Assumptions!$A:$D,3,0),"Unmapped")</f>
        <v>Petrol</v>
      </c>
      <c r="O974">
        <f>IFERROR(VLOOKUP(L974,Model_Assumptions!$A:$D,4,0),0)</f>
        <v>1300000</v>
      </c>
      <c r="P974">
        <f>IFERROR(VLOOKUP(J974,Source_Assumptions!$A:$C,3,0),0)</f>
        <v>1200</v>
      </c>
    </row>
    <row r="975" spans="1:16" x14ac:dyDescent="0.3">
      <c r="A975">
        <f>Raw_Data!A975</f>
        <v>974</v>
      </c>
      <c r="B975" s="2">
        <f>Raw_Data!B975</f>
        <v>45311</v>
      </c>
      <c r="C975">
        <f>YEAR(Raw_Data!B975)</f>
        <v>2024</v>
      </c>
      <c r="D975" t="str">
        <f>IF(MONTH(Raw_Data!B975)&gt;=4,YEAR(Raw_Data!B975)&amp;"-"&amp;RIGHT(YEAR(Raw_Data!B975)+1,2),YEAR(Raw_Data!B975)-1&amp;"-"&amp;RIGHT(YEAR(Raw_Data!B975),2))</f>
        <v>2023-24</v>
      </c>
      <c r="E975" t="str">
        <f>"Q"&amp;ROUNDUP(MONTH(Raw_Data!B975)/3,0)</f>
        <v>Q1</v>
      </c>
      <c r="F975" t="str">
        <f>TEXT(Raw_Data!B975,"mmm")</f>
        <v>Jan</v>
      </c>
      <c r="G975" t="str">
        <f>TEXT(Raw_Data!B975,"ddd")</f>
        <v>Sat</v>
      </c>
      <c r="H975" t="str">
        <f>Raw_Data!D975</f>
        <v>Invoiced</v>
      </c>
      <c r="I975" t="str">
        <f>Raw_Data!F975</f>
        <v>SMS/ Tele-Out</v>
      </c>
      <c r="J975" t="str">
        <f>Raw_Data!G975</f>
        <v>I-BAP Self</v>
      </c>
      <c r="K975" t="str">
        <f>IFERROR(VLOOKUP(J975,Source_Assumptions!$A:$C,2,0),"Unmapped")</f>
        <v>Referral (Insurance/Banking Partner)</v>
      </c>
      <c r="L975" t="str">
        <f>Raw_Data!H975</f>
        <v>5TH GEN CITY PE</v>
      </c>
      <c r="M975" t="str">
        <f>IFERROR(VLOOKUP(L975,Model_Assumptions!$A:$D,2,0),"Unmapped")</f>
        <v>Mid-size Sedan</v>
      </c>
      <c r="N975" t="str">
        <f>IFERROR(VLOOKUP(L975,Model_Assumptions!$A:$D,3,0),"Unmapped")</f>
        <v>Petrol</v>
      </c>
      <c r="O975">
        <f>IFERROR(VLOOKUP(L975,Model_Assumptions!$A:$D,4,0),0)</f>
        <v>1250000</v>
      </c>
      <c r="P975">
        <f>IFERROR(VLOOKUP(J975,Source_Assumptions!$A:$C,3,0),0)</f>
        <v>100</v>
      </c>
    </row>
    <row r="976" spans="1:16" x14ac:dyDescent="0.3">
      <c r="A976">
        <f>Raw_Data!A976</f>
        <v>975</v>
      </c>
      <c r="B976" s="2">
        <f>Raw_Data!B976</f>
        <v>45313</v>
      </c>
      <c r="C976">
        <f>YEAR(Raw_Data!B976)</f>
        <v>2024</v>
      </c>
      <c r="D976" t="str">
        <f>IF(MONTH(Raw_Data!B976)&gt;=4,YEAR(Raw_Data!B976)&amp;"-"&amp;RIGHT(YEAR(Raw_Data!B976)+1,2),YEAR(Raw_Data!B976)-1&amp;"-"&amp;RIGHT(YEAR(Raw_Data!B976),2))</f>
        <v>2023-24</v>
      </c>
      <c r="E976" t="str">
        <f>"Q"&amp;ROUNDUP(MONTH(Raw_Data!B976)/3,0)</f>
        <v>Q1</v>
      </c>
      <c r="F976" t="str">
        <f>TEXT(Raw_Data!B976,"mmm")</f>
        <v>Jan</v>
      </c>
      <c r="G976" t="str">
        <f>TEXT(Raw_Data!B976,"ddd")</f>
        <v>Mon</v>
      </c>
      <c r="H976" t="str">
        <f>Raw_Data!D976</f>
        <v>Invoiced</v>
      </c>
      <c r="I976" t="str">
        <f>Raw_Data!F976</f>
        <v>Walk-in Showroom</v>
      </c>
      <c r="J976" t="str">
        <f>Raw_Data!G976</f>
        <v>Adver. (TVC/Print/Hoarding/FM)</v>
      </c>
      <c r="K976" t="str">
        <f>IFERROR(VLOOKUP(J976,Source_Assumptions!$A:$C,2,0),"Unmapped")</f>
        <v>Traditional Advertising</v>
      </c>
      <c r="L976" t="str">
        <f>Raw_Data!H976</f>
        <v>ELEVATE</v>
      </c>
      <c r="M976" t="str">
        <f>IFERROR(VLOOKUP(L976,Model_Assumptions!$A:$D,2,0),"Unmapped")</f>
        <v>Compact SUV</v>
      </c>
      <c r="N976" t="str">
        <f>IFERROR(VLOOKUP(L976,Model_Assumptions!$A:$D,3,0),"Unmapped")</f>
        <v>Petrol</v>
      </c>
      <c r="O976">
        <f>IFERROR(VLOOKUP(L976,Model_Assumptions!$A:$D,4,0),0)</f>
        <v>1300000</v>
      </c>
      <c r="P976">
        <f>IFERROR(VLOOKUP(J976,Source_Assumptions!$A:$C,3,0),0)</f>
        <v>1200</v>
      </c>
    </row>
    <row r="977" spans="1:16" x14ac:dyDescent="0.3">
      <c r="A977">
        <f>Raw_Data!A977</f>
        <v>976</v>
      </c>
      <c r="B977" s="2">
        <f>Raw_Data!B977</f>
        <v>45313</v>
      </c>
      <c r="C977">
        <f>YEAR(Raw_Data!B977)</f>
        <v>2024</v>
      </c>
      <c r="D977" t="str">
        <f>IF(MONTH(Raw_Data!B977)&gt;=4,YEAR(Raw_Data!B977)&amp;"-"&amp;RIGHT(YEAR(Raw_Data!B977)+1,2),YEAR(Raw_Data!B977)-1&amp;"-"&amp;RIGHT(YEAR(Raw_Data!B977),2))</f>
        <v>2023-24</v>
      </c>
      <c r="E977" t="str">
        <f>"Q"&amp;ROUNDUP(MONTH(Raw_Data!B977)/3,0)</f>
        <v>Q1</v>
      </c>
      <c r="F977" t="str">
        <f>TEXT(Raw_Data!B977,"mmm")</f>
        <v>Jan</v>
      </c>
      <c r="G977" t="str">
        <f>TEXT(Raw_Data!B977,"ddd")</f>
        <v>Mon</v>
      </c>
      <c r="H977" t="str">
        <f>Raw_Data!D977</f>
        <v>Invoiced</v>
      </c>
      <c r="I977" t="str">
        <f>Raw_Data!F977</f>
        <v>Tele-in</v>
      </c>
      <c r="J977" t="str">
        <f>Raw_Data!G977</f>
        <v>Referral-CAM</v>
      </c>
      <c r="K977" t="str">
        <f>IFERROR(VLOOKUP(J977,Source_Assumptions!$A:$C,2,0),"Unmapped")</f>
        <v>Referral</v>
      </c>
      <c r="L977" t="str">
        <f>Raw_Data!H977</f>
        <v>ELEVATE</v>
      </c>
      <c r="M977" t="str">
        <f>IFERROR(VLOOKUP(L977,Model_Assumptions!$A:$D,2,0),"Unmapped")</f>
        <v>Compact SUV</v>
      </c>
      <c r="N977" t="str">
        <f>IFERROR(VLOOKUP(L977,Model_Assumptions!$A:$D,3,0),"Unmapped")</f>
        <v>Petrol</v>
      </c>
      <c r="O977">
        <f>IFERROR(VLOOKUP(L977,Model_Assumptions!$A:$D,4,0),0)</f>
        <v>1300000</v>
      </c>
      <c r="P977">
        <f>IFERROR(VLOOKUP(J977,Source_Assumptions!$A:$C,3,0),0)</f>
        <v>150</v>
      </c>
    </row>
    <row r="978" spans="1:16" x14ac:dyDescent="0.3">
      <c r="A978">
        <f>Raw_Data!A978</f>
        <v>977</v>
      </c>
      <c r="B978" s="2">
        <f>Raw_Data!B978</f>
        <v>45313</v>
      </c>
      <c r="C978">
        <f>YEAR(Raw_Data!B978)</f>
        <v>2024</v>
      </c>
      <c r="D978" t="str">
        <f>IF(MONTH(Raw_Data!B978)&gt;=4,YEAR(Raw_Data!B978)&amp;"-"&amp;RIGHT(YEAR(Raw_Data!B978)+1,2),YEAR(Raw_Data!B978)-1&amp;"-"&amp;RIGHT(YEAR(Raw_Data!B978),2))</f>
        <v>2023-24</v>
      </c>
      <c r="E978" t="str">
        <f>"Q"&amp;ROUNDUP(MONTH(Raw_Data!B978)/3,0)</f>
        <v>Q1</v>
      </c>
      <c r="F978" t="str">
        <f>TEXT(Raw_Data!B978,"mmm")</f>
        <v>Jan</v>
      </c>
      <c r="G978" t="str">
        <f>TEXT(Raw_Data!B978,"ddd")</f>
        <v>Mon</v>
      </c>
      <c r="H978" t="str">
        <f>Raw_Data!D978</f>
        <v>Invoiced</v>
      </c>
      <c r="I978" t="str">
        <f>Raw_Data!F978</f>
        <v>Web Lead</v>
      </c>
      <c r="J978" t="str">
        <f>Raw_Data!G978</f>
        <v>Web</v>
      </c>
      <c r="K978" t="str">
        <f>IFERROR(VLOOKUP(J978,Source_Assumptions!$A:$C,2,0),"Unmapped")</f>
        <v>Digital - Owned</v>
      </c>
      <c r="L978" t="str">
        <f>Raw_Data!H978</f>
        <v>ELEVATE</v>
      </c>
      <c r="M978" t="str">
        <f>IFERROR(VLOOKUP(L978,Model_Assumptions!$A:$D,2,0),"Unmapped")</f>
        <v>Compact SUV</v>
      </c>
      <c r="N978" t="str">
        <f>IFERROR(VLOOKUP(L978,Model_Assumptions!$A:$D,3,0),"Unmapped")</f>
        <v>Petrol</v>
      </c>
      <c r="O978">
        <f>IFERROR(VLOOKUP(L978,Model_Assumptions!$A:$D,4,0),0)</f>
        <v>1300000</v>
      </c>
      <c r="P978">
        <f>IFERROR(VLOOKUP(J978,Source_Assumptions!$A:$C,3,0),0)</f>
        <v>300</v>
      </c>
    </row>
    <row r="979" spans="1:16" x14ac:dyDescent="0.3">
      <c r="A979">
        <f>Raw_Data!A979</f>
        <v>978</v>
      </c>
      <c r="B979" s="2">
        <f>Raw_Data!B979</f>
        <v>45314</v>
      </c>
      <c r="C979">
        <f>YEAR(Raw_Data!B979)</f>
        <v>2024</v>
      </c>
      <c r="D979" t="str">
        <f>IF(MONTH(Raw_Data!B979)&gt;=4,YEAR(Raw_Data!B979)&amp;"-"&amp;RIGHT(YEAR(Raw_Data!B979)+1,2),YEAR(Raw_Data!B979)-1&amp;"-"&amp;RIGHT(YEAR(Raw_Data!B979),2))</f>
        <v>2023-24</v>
      </c>
      <c r="E979" t="str">
        <f>"Q"&amp;ROUNDUP(MONTH(Raw_Data!B979)/3,0)</f>
        <v>Q1</v>
      </c>
      <c r="F979" t="str">
        <f>TEXT(Raw_Data!B979,"mmm")</f>
        <v>Jan</v>
      </c>
      <c r="G979" t="str">
        <f>TEXT(Raw_Data!B979,"ddd")</f>
        <v>Tue</v>
      </c>
      <c r="H979" t="str">
        <f>Raw_Data!D979</f>
        <v>Invoiced</v>
      </c>
      <c r="I979" t="str">
        <f>Raw_Data!F979</f>
        <v>Web Lead</v>
      </c>
      <c r="J979" t="str">
        <f>Raw_Data!G979</f>
        <v>Online Booking</v>
      </c>
      <c r="K979" t="str">
        <f>IFERROR(VLOOKUP(J979,Source_Assumptions!$A:$C,2,0),"Unmapped")</f>
        <v>Digital - Owned</v>
      </c>
      <c r="L979" t="str">
        <f>Raw_Data!H979</f>
        <v>ELEVATE</v>
      </c>
      <c r="M979" t="str">
        <f>IFERROR(VLOOKUP(L979,Model_Assumptions!$A:$D,2,0),"Unmapped")</f>
        <v>Compact SUV</v>
      </c>
      <c r="N979" t="str">
        <f>IFERROR(VLOOKUP(L979,Model_Assumptions!$A:$D,3,0),"Unmapped")</f>
        <v>Petrol</v>
      </c>
      <c r="O979">
        <f>IFERROR(VLOOKUP(L979,Model_Assumptions!$A:$D,4,0),0)</f>
        <v>1300000</v>
      </c>
      <c r="P979">
        <f>IFERROR(VLOOKUP(J979,Source_Assumptions!$A:$C,3,0),0)</f>
        <v>300</v>
      </c>
    </row>
    <row r="980" spans="1:16" x14ac:dyDescent="0.3">
      <c r="A980">
        <f>Raw_Data!A980</f>
        <v>979</v>
      </c>
      <c r="B980" s="2">
        <f>Raw_Data!B980</f>
        <v>45314</v>
      </c>
      <c r="C980">
        <f>YEAR(Raw_Data!B980)</f>
        <v>2024</v>
      </c>
      <c r="D980" t="str">
        <f>IF(MONTH(Raw_Data!B980)&gt;=4,YEAR(Raw_Data!B980)&amp;"-"&amp;RIGHT(YEAR(Raw_Data!B980)+1,2),YEAR(Raw_Data!B980)-1&amp;"-"&amp;RIGHT(YEAR(Raw_Data!B980),2))</f>
        <v>2023-24</v>
      </c>
      <c r="E980" t="str">
        <f>"Q"&amp;ROUNDUP(MONTH(Raw_Data!B980)/3,0)</f>
        <v>Q1</v>
      </c>
      <c r="F980" t="str">
        <f>TEXT(Raw_Data!B980,"mmm")</f>
        <v>Jan</v>
      </c>
      <c r="G980" t="str">
        <f>TEXT(Raw_Data!B980,"ddd")</f>
        <v>Tue</v>
      </c>
      <c r="H980" t="str">
        <f>Raw_Data!D980</f>
        <v>Invoiced</v>
      </c>
      <c r="I980" t="str">
        <f>Raw_Data!F980</f>
        <v>SMS/ Tele-Out</v>
      </c>
      <c r="J980" t="str">
        <f>Raw_Data!G980</f>
        <v>I-BAP Self</v>
      </c>
      <c r="K980" t="str">
        <f>IFERROR(VLOOKUP(J980,Source_Assumptions!$A:$C,2,0),"Unmapped")</f>
        <v>Referral (Insurance/Banking Partner)</v>
      </c>
      <c r="L980" t="str">
        <f>Raw_Data!H980</f>
        <v>ELEVATE</v>
      </c>
      <c r="M980" t="str">
        <f>IFERROR(VLOOKUP(L980,Model_Assumptions!$A:$D,2,0),"Unmapped")</f>
        <v>Compact SUV</v>
      </c>
      <c r="N980" t="str">
        <f>IFERROR(VLOOKUP(L980,Model_Assumptions!$A:$D,3,0),"Unmapped")</f>
        <v>Petrol</v>
      </c>
      <c r="O980">
        <f>IFERROR(VLOOKUP(L980,Model_Assumptions!$A:$D,4,0),0)</f>
        <v>1300000</v>
      </c>
      <c r="P980">
        <f>IFERROR(VLOOKUP(J980,Source_Assumptions!$A:$C,3,0),0)</f>
        <v>100</v>
      </c>
    </row>
    <row r="981" spans="1:16" x14ac:dyDescent="0.3">
      <c r="A981">
        <f>Raw_Data!A981</f>
        <v>980</v>
      </c>
      <c r="B981" s="2">
        <f>Raw_Data!B981</f>
        <v>45316</v>
      </c>
      <c r="C981">
        <f>YEAR(Raw_Data!B981)</f>
        <v>2024</v>
      </c>
      <c r="D981" t="str">
        <f>IF(MONTH(Raw_Data!B981)&gt;=4,YEAR(Raw_Data!B981)&amp;"-"&amp;RIGHT(YEAR(Raw_Data!B981)+1,2),YEAR(Raw_Data!B981)-1&amp;"-"&amp;RIGHT(YEAR(Raw_Data!B981),2))</f>
        <v>2023-24</v>
      </c>
      <c r="E981" t="str">
        <f>"Q"&amp;ROUNDUP(MONTH(Raw_Data!B981)/3,0)</f>
        <v>Q1</v>
      </c>
      <c r="F981" t="str">
        <f>TEXT(Raw_Data!B981,"mmm")</f>
        <v>Jan</v>
      </c>
      <c r="G981" t="str">
        <f>TEXT(Raw_Data!B981,"ddd")</f>
        <v>Thu</v>
      </c>
      <c r="H981" t="str">
        <f>Raw_Data!D981</f>
        <v>Invoiced</v>
      </c>
      <c r="I981" t="str">
        <f>Raw_Data!F981</f>
        <v>SMS/ Tele-Out</v>
      </c>
      <c r="J981" t="str">
        <f>Raw_Data!G981</f>
        <v>I-BAP Referral</v>
      </c>
      <c r="K981" t="str">
        <f>IFERROR(VLOOKUP(J981,Source_Assumptions!$A:$C,2,0),"Unmapped")</f>
        <v>Referral (Insurance/Banking Partner)</v>
      </c>
      <c r="L981" t="str">
        <f>Raw_Data!H981</f>
        <v>ELEVATE</v>
      </c>
      <c r="M981" t="str">
        <f>IFERROR(VLOOKUP(L981,Model_Assumptions!$A:$D,2,0),"Unmapped")</f>
        <v>Compact SUV</v>
      </c>
      <c r="N981" t="str">
        <f>IFERROR(VLOOKUP(L981,Model_Assumptions!$A:$D,3,0),"Unmapped")</f>
        <v>Petrol</v>
      </c>
      <c r="O981">
        <f>IFERROR(VLOOKUP(L981,Model_Assumptions!$A:$D,4,0),0)</f>
        <v>1300000</v>
      </c>
      <c r="P981">
        <f>IFERROR(VLOOKUP(J981,Source_Assumptions!$A:$C,3,0),0)</f>
        <v>150</v>
      </c>
    </row>
    <row r="982" spans="1:16" x14ac:dyDescent="0.3">
      <c r="A982">
        <f>Raw_Data!A982</f>
        <v>981</v>
      </c>
      <c r="B982" s="2">
        <f>Raw_Data!B982</f>
        <v>45316</v>
      </c>
      <c r="C982">
        <f>YEAR(Raw_Data!B982)</f>
        <v>2024</v>
      </c>
      <c r="D982" t="str">
        <f>IF(MONTH(Raw_Data!B982)&gt;=4,YEAR(Raw_Data!B982)&amp;"-"&amp;RIGHT(YEAR(Raw_Data!B982)+1,2),YEAR(Raw_Data!B982)-1&amp;"-"&amp;RIGHT(YEAR(Raw_Data!B982),2))</f>
        <v>2023-24</v>
      </c>
      <c r="E982" t="str">
        <f>"Q"&amp;ROUNDUP(MONTH(Raw_Data!B982)/3,0)</f>
        <v>Q1</v>
      </c>
      <c r="F982" t="str">
        <f>TEXT(Raw_Data!B982,"mmm")</f>
        <v>Jan</v>
      </c>
      <c r="G982" t="str">
        <f>TEXT(Raw_Data!B982,"ddd")</f>
        <v>Thu</v>
      </c>
      <c r="H982" t="str">
        <f>Raw_Data!D982</f>
        <v>Invoiced</v>
      </c>
      <c r="I982" t="str">
        <f>Raw_Data!F982</f>
        <v>SMS/ Tele-Out</v>
      </c>
      <c r="J982" t="str">
        <f>Raw_Data!G982</f>
        <v>Referral-CAM</v>
      </c>
      <c r="K982" t="str">
        <f>IFERROR(VLOOKUP(J982,Source_Assumptions!$A:$C,2,0),"Unmapped")</f>
        <v>Referral</v>
      </c>
      <c r="L982" t="str">
        <f>Raw_Data!H982</f>
        <v>5TH GEN CITY PE</v>
      </c>
      <c r="M982" t="str">
        <f>IFERROR(VLOOKUP(L982,Model_Assumptions!$A:$D,2,0),"Unmapped")</f>
        <v>Mid-size Sedan</v>
      </c>
      <c r="N982" t="str">
        <f>IFERROR(VLOOKUP(L982,Model_Assumptions!$A:$D,3,0),"Unmapped")</f>
        <v>Petrol</v>
      </c>
      <c r="O982">
        <f>IFERROR(VLOOKUP(L982,Model_Assumptions!$A:$D,4,0),0)</f>
        <v>1250000</v>
      </c>
      <c r="P982">
        <f>IFERROR(VLOOKUP(J982,Source_Assumptions!$A:$C,3,0),0)</f>
        <v>150</v>
      </c>
    </row>
    <row r="983" spans="1:16" x14ac:dyDescent="0.3">
      <c r="A983">
        <f>Raw_Data!A983</f>
        <v>982</v>
      </c>
      <c r="B983" s="2">
        <f>Raw_Data!B983</f>
        <v>45316</v>
      </c>
      <c r="C983">
        <f>YEAR(Raw_Data!B983)</f>
        <v>2024</v>
      </c>
      <c r="D983" t="str">
        <f>IF(MONTH(Raw_Data!B983)&gt;=4,YEAR(Raw_Data!B983)&amp;"-"&amp;RIGHT(YEAR(Raw_Data!B983)+1,2),YEAR(Raw_Data!B983)-1&amp;"-"&amp;RIGHT(YEAR(Raw_Data!B983),2))</f>
        <v>2023-24</v>
      </c>
      <c r="E983" t="str">
        <f>"Q"&amp;ROUNDUP(MONTH(Raw_Data!B983)/3,0)</f>
        <v>Q1</v>
      </c>
      <c r="F983" t="str">
        <f>TEXT(Raw_Data!B983,"mmm")</f>
        <v>Jan</v>
      </c>
      <c r="G983" t="str">
        <f>TEXT(Raw_Data!B983,"ddd")</f>
        <v>Thu</v>
      </c>
      <c r="H983" t="str">
        <f>Raw_Data!D983</f>
        <v>Invoiced</v>
      </c>
      <c r="I983" t="str">
        <f>Raw_Data!F983</f>
        <v>SMS/ Tele-Out</v>
      </c>
      <c r="J983" t="str">
        <f>Raw_Data!G983</f>
        <v>Database Activity(Teleout/SMS)</v>
      </c>
      <c r="K983" t="str">
        <f>IFERROR(VLOOKUP(J983,Source_Assumptions!$A:$C,2,0),"Unmapped")</f>
        <v>Outbound/Database</v>
      </c>
      <c r="L983" t="str">
        <f>Raw_Data!H983</f>
        <v>ELEVATE</v>
      </c>
      <c r="M983" t="str">
        <f>IFERROR(VLOOKUP(L983,Model_Assumptions!$A:$D,2,0),"Unmapped")</f>
        <v>Compact SUV</v>
      </c>
      <c r="N983" t="str">
        <f>IFERROR(VLOOKUP(L983,Model_Assumptions!$A:$D,3,0),"Unmapped")</f>
        <v>Petrol</v>
      </c>
      <c r="O983">
        <f>IFERROR(VLOOKUP(L983,Model_Assumptions!$A:$D,4,0),0)</f>
        <v>1300000</v>
      </c>
      <c r="P983">
        <f>IFERROR(VLOOKUP(J983,Source_Assumptions!$A:$C,3,0),0)</f>
        <v>250</v>
      </c>
    </row>
    <row r="984" spans="1:16" x14ac:dyDescent="0.3">
      <c r="A984">
        <f>Raw_Data!A984</f>
        <v>983</v>
      </c>
      <c r="B984" s="2">
        <f>Raw_Data!B984</f>
        <v>45316</v>
      </c>
      <c r="C984">
        <f>YEAR(Raw_Data!B984)</f>
        <v>2024</v>
      </c>
      <c r="D984" t="str">
        <f>IF(MONTH(Raw_Data!B984)&gt;=4,YEAR(Raw_Data!B984)&amp;"-"&amp;RIGHT(YEAR(Raw_Data!B984)+1,2),YEAR(Raw_Data!B984)-1&amp;"-"&amp;RIGHT(YEAR(Raw_Data!B984),2))</f>
        <v>2023-24</v>
      </c>
      <c r="E984" t="str">
        <f>"Q"&amp;ROUNDUP(MONTH(Raw_Data!B984)/3,0)</f>
        <v>Q1</v>
      </c>
      <c r="F984" t="str">
        <f>TEXT(Raw_Data!B984,"mmm")</f>
        <v>Jan</v>
      </c>
      <c r="G984" t="str">
        <f>TEXT(Raw_Data!B984,"ddd")</f>
        <v>Thu</v>
      </c>
      <c r="H984" t="str">
        <f>Raw_Data!D984</f>
        <v>Invoiced</v>
      </c>
      <c r="I984" t="str">
        <f>Raw_Data!F984</f>
        <v>SMS/ Tele-Out</v>
      </c>
      <c r="J984" t="str">
        <f>Raw_Data!G984</f>
        <v>Database Activity(Teleout/SMS)</v>
      </c>
      <c r="K984" t="str">
        <f>IFERROR(VLOOKUP(J984,Source_Assumptions!$A:$C,2,0),"Unmapped")</f>
        <v>Outbound/Database</v>
      </c>
      <c r="L984" t="str">
        <f>Raw_Data!H984</f>
        <v>AMAZE Petrol</v>
      </c>
      <c r="M984" t="str">
        <f>IFERROR(VLOOKUP(L984,Model_Assumptions!$A:$D,2,0),"Unmapped")</f>
        <v>Sub-4m Sedan</v>
      </c>
      <c r="N984" t="str">
        <f>IFERROR(VLOOKUP(L984,Model_Assumptions!$A:$D,3,0),"Unmapped")</f>
        <v>Petrol</v>
      </c>
      <c r="O984">
        <f>IFERROR(VLOOKUP(L984,Model_Assumptions!$A:$D,4,0),0)</f>
        <v>850000</v>
      </c>
      <c r="P984">
        <f>IFERROR(VLOOKUP(J984,Source_Assumptions!$A:$C,3,0),0)</f>
        <v>250</v>
      </c>
    </row>
    <row r="985" spans="1:16" x14ac:dyDescent="0.3">
      <c r="A985">
        <f>Raw_Data!A985</f>
        <v>984</v>
      </c>
      <c r="B985" s="2">
        <f>Raw_Data!B985</f>
        <v>45316</v>
      </c>
      <c r="C985">
        <f>YEAR(Raw_Data!B985)</f>
        <v>2024</v>
      </c>
      <c r="D985" t="str">
        <f>IF(MONTH(Raw_Data!B985)&gt;=4,YEAR(Raw_Data!B985)&amp;"-"&amp;RIGHT(YEAR(Raw_Data!B985)+1,2),YEAR(Raw_Data!B985)-1&amp;"-"&amp;RIGHT(YEAR(Raw_Data!B985),2))</f>
        <v>2023-24</v>
      </c>
      <c r="E985" t="str">
        <f>"Q"&amp;ROUNDUP(MONTH(Raw_Data!B985)/3,0)</f>
        <v>Q1</v>
      </c>
      <c r="F985" t="str">
        <f>TEXT(Raw_Data!B985,"mmm")</f>
        <v>Jan</v>
      </c>
      <c r="G985" t="str">
        <f>TEXT(Raw_Data!B985,"ddd")</f>
        <v>Thu</v>
      </c>
      <c r="H985" t="str">
        <f>Raw_Data!D985</f>
        <v>Invoiced</v>
      </c>
      <c r="I985" t="str">
        <f>Raw_Data!F985</f>
        <v>SMS/ Tele-Out</v>
      </c>
      <c r="J985" t="str">
        <f>Raw_Data!G985</f>
        <v>Database Activity(Teleout/SMS)</v>
      </c>
      <c r="K985" t="str">
        <f>IFERROR(VLOOKUP(J985,Source_Assumptions!$A:$C,2,0),"Unmapped")</f>
        <v>Outbound/Database</v>
      </c>
      <c r="L985" t="str">
        <f>Raw_Data!H985</f>
        <v>AMAZE Petrol</v>
      </c>
      <c r="M985" t="str">
        <f>IFERROR(VLOOKUP(L985,Model_Assumptions!$A:$D,2,0),"Unmapped")</f>
        <v>Sub-4m Sedan</v>
      </c>
      <c r="N985" t="str">
        <f>IFERROR(VLOOKUP(L985,Model_Assumptions!$A:$D,3,0),"Unmapped")</f>
        <v>Petrol</v>
      </c>
      <c r="O985">
        <f>IFERROR(VLOOKUP(L985,Model_Assumptions!$A:$D,4,0),0)</f>
        <v>850000</v>
      </c>
      <c r="P985">
        <f>IFERROR(VLOOKUP(J985,Source_Assumptions!$A:$C,3,0),0)</f>
        <v>250</v>
      </c>
    </row>
    <row r="986" spans="1:16" x14ac:dyDescent="0.3">
      <c r="A986">
        <f>Raw_Data!A986</f>
        <v>985</v>
      </c>
      <c r="B986" s="2">
        <f>Raw_Data!B986</f>
        <v>45320</v>
      </c>
      <c r="C986">
        <f>YEAR(Raw_Data!B986)</f>
        <v>2024</v>
      </c>
      <c r="D986" t="str">
        <f>IF(MONTH(Raw_Data!B986)&gt;=4,YEAR(Raw_Data!B986)&amp;"-"&amp;RIGHT(YEAR(Raw_Data!B986)+1,2),YEAR(Raw_Data!B986)-1&amp;"-"&amp;RIGHT(YEAR(Raw_Data!B986),2))</f>
        <v>2023-24</v>
      </c>
      <c r="E986" t="str">
        <f>"Q"&amp;ROUNDUP(MONTH(Raw_Data!B986)/3,0)</f>
        <v>Q1</v>
      </c>
      <c r="F986" t="str">
        <f>TEXT(Raw_Data!B986,"mmm")</f>
        <v>Jan</v>
      </c>
      <c r="G986" t="str">
        <f>TEXT(Raw_Data!B986,"ddd")</f>
        <v>Mon</v>
      </c>
      <c r="H986" t="str">
        <f>Raw_Data!D986</f>
        <v>Invoiced</v>
      </c>
      <c r="I986" t="str">
        <f>Raw_Data!F986</f>
        <v>Tele-in</v>
      </c>
      <c r="J986" t="str">
        <f>Raw_Data!G986</f>
        <v>Dealer Webpage Tele-In</v>
      </c>
      <c r="K986" t="str">
        <f>IFERROR(VLOOKUP(J986,Source_Assumptions!$A:$C,2,0),"Unmapped")</f>
        <v>Digital - Owned</v>
      </c>
      <c r="L986" t="str">
        <f>Raw_Data!H986</f>
        <v>ELEVATE</v>
      </c>
      <c r="M986" t="str">
        <f>IFERROR(VLOOKUP(L986,Model_Assumptions!$A:$D,2,0),"Unmapped")</f>
        <v>Compact SUV</v>
      </c>
      <c r="N986" t="str">
        <f>IFERROR(VLOOKUP(L986,Model_Assumptions!$A:$D,3,0),"Unmapped")</f>
        <v>Petrol</v>
      </c>
      <c r="O986">
        <f>IFERROR(VLOOKUP(L986,Model_Assumptions!$A:$D,4,0),0)</f>
        <v>1300000</v>
      </c>
      <c r="P986">
        <f>IFERROR(VLOOKUP(J986,Source_Assumptions!$A:$C,3,0),0)</f>
        <v>300</v>
      </c>
    </row>
    <row r="987" spans="1:16" x14ac:dyDescent="0.3">
      <c r="A987">
        <f>Raw_Data!A987</f>
        <v>986</v>
      </c>
      <c r="B987" s="2">
        <f>Raw_Data!B987</f>
        <v>45321</v>
      </c>
      <c r="C987">
        <f>YEAR(Raw_Data!B987)</f>
        <v>2024</v>
      </c>
      <c r="D987" t="str">
        <f>IF(MONTH(Raw_Data!B987)&gt;=4,YEAR(Raw_Data!B987)&amp;"-"&amp;RIGHT(YEAR(Raw_Data!B987)+1,2),YEAR(Raw_Data!B987)-1&amp;"-"&amp;RIGHT(YEAR(Raw_Data!B987),2))</f>
        <v>2023-24</v>
      </c>
      <c r="E987" t="str">
        <f>"Q"&amp;ROUNDUP(MONTH(Raw_Data!B987)/3,0)</f>
        <v>Q1</v>
      </c>
      <c r="F987" t="str">
        <f>TEXT(Raw_Data!B987,"mmm")</f>
        <v>Jan</v>
      </c>
      <c r="G987" t="str">
        <f>TEXT(Raw_Data!B987,"ddd")</f>
        <v>Tue</v>
      </c>
      <c r="H987" t="str">
        <f>Raw_Data!D987</f>
        <v>Invoiced</v>
      </c>
      <c r="I987" t="str">
        <f>Raw_Data!F987</f>
        <v>Walk-in Showroom</v>
      </c>
      <c r="J987" t="str">
        <f>Raw_Data!G987</f>
        <v>Adver. (TVC/Print/Hoarding/FM)</v>
      </c>
      <c r="K987" t="str">
        <f>IFERROR(VLOOKUP(J987,Source_Assumptions!$A:$C,2,0),"Unmapped")</f>
        <v>Traditional Advertising</v>
      </c>
      <c r="L987" t="str">
        <f>Raw_Data!H987</f>
        <v>ELEVATE</v>
      </c>
      <c r="M987" t="str">
        <f>IFERROR(VLOOKUP(L987,Model_Assumptions!$A:$D,2,0),"Unmapped")</f>
        <v>Compact SUV</v>
      </c>
      <c r="N987" t="str">
        <f>IFERROR(VLOOKUP(L987,Model_Assumptions!$A:$D,3,0),"Unmapped")</f>
        <v>Petrol</v>
      </c>
      <c r="O987">
        <f>IFERROR(VLOOKUP(L987,Model_Assumptions!$A:$D,4,0),0)</f>
        <v>1300000</v>
      </c>
      <c r="P987">
        <f>IFERROR(VLOOKUP(J987,Source_Assumptions!$A:$C,3,0),0)</f>
        <v>1200</v>
      </c>
    </row>
    <row r="988" spans="1:16" x14ac:dyDescent="0.3">
      <c r="A988">
        <f>Raw_Data!A988</f>
        <v>987</v>
      </c>
      <c r="B988" s="2">
        <f>Raw_Data!B988</f>
        <v>45321</v>
      </c>
      <c r="C988">
        <f>YEAR(Raw_Data!B988)</f>
        <v>2024</v>
      </c>
      <c r="D988" t="str">
        <f>IF(MONTH(Raw_Data!B988)&gt;=4,YEAR(Raw_Data!B988)&amp;"-"&amp;RIGHT(YEAR(Raw_Data!B988)+1,2),YEAR(Raw_Data!B988)-1&amp;"-"&amp;RIGHT(YEAR(Raw_Data!B988),2))</f>
        <v>2023-24</v>
      </c>
      <c r="E988" t="str">
        <f>"Q"&amp;ROUNDUP(MONTH(Raw_Data!B988)/3,0)</f>
        <v>Q1</v>
      </c>
      <c r="F988" t="str">
        <f>TEXT(Raw_Data!B988,"mmm")</f>
        <v>Jan</v>
      </c>
      <c r="G988" t="str">
        <f>TEXT(Raw_Data!B988,"ddd")</f>
        <v>Tue</v>
      </c>
      <c r="H988" t="str">
        <f>Raw_Data!D988</f>
        <v>Invoiced</v>
      </c>
      <c r="I988" t="str">
        <f>Raw_Data!F988</f>
        <v>Web Lead</v>
      </c>
      <c r="J988" t="str">
        <f>Raw_Data!G988</f>
        <v>Dealer Webpage Tele-In</v>
      </c>
      <c r="K988" t="str">
        <f>IFERROR(VLOOKUP(J988,Source_Assumptions!$A:$C,2,0),"Unmapped")</f>
        <v>Digital - Owned</v>
      </c>
      <c r="L988" t="str">
        <f>Raw_Data!H988</f>
        <v>ELEVATE</v>
      </c>
      <c r="M988" t="str">
        <f>IFERROR(VLOOKUP(L988,Model_Assumptions!$A:$D,2,0),"Unmapped")</f>
        <v>Compact SUV</v>
      </c>
      <c r="N988" t="str">
        <f>IFERROR(VLOOKUP(L988,Model_Assumptions!$A:$D,3,0),"Unmapped")</f>
        <v>Petrol</v>
      </c>
      <c r="O988">
        <f>IFERROR(VLOOKUP(L988,Model_Assumptions!$A:$D,4,0),0)</f>
        <v>1300000</v>
      </c>
      <c r="P988">
        <f>IFERROR(VLOOKUP(J988,Source_Assumptions!$A:$C,3,0),0)</f>
        <v>300</v>
      </c>
    </row>
    <row r="989" spans="1:16" x14ac:dyDescent="0.3">
      <c r="A989">
        <f>Raw_Data!A989</f>
        <v>988</v>
      </c>
      <c r="B989" s="2">
        <f>Raw_Data!B989</f>
        <v>45321</v>
      </c>
      <c r="C989">
        <f>YEAR(Raw_Data!B989)</f>
        <v>2024</v>
      </c>
      <c r="D989" t="str">
        <f>IF(MONTH(Raw_Data!B989)&gt;=4,YEAR(Raw_Data!B989)&amp;"-"&amp;RIGHT(YEAR(Raw_Data!B989)+1,2),YEAR(Raw_Data!B989)-1&amp;"-"&amp;RIGHT(YEAR(Raw_Data!B989),2))</f>
        <v>2023-24</v>
      </c>
      <c r="E989" t="str">
        <f>"Q"&amp;ROUNDUP(MONTH(Raw_Data!B989)/3,0)</f>
        <v>Q1</v>
      </c>
      <c r="F989" t="str">
        <f>TEXT(Raw_Data!B989,"mmm")</f>
        <v>Jan</v>
      </c>
      <c r="G989" t="str">
        <f>TEXT(Raw_Data!B989,"ddd")</f>
        <v>Tue</v>
      </c>
      <c r="H989" t="str">
        <f>Raw_Data!D989</f>
        <v>Invoiced</v>
      </c>
      <c r="I989" t="str">
        <f>Raw_Data!F989</f>
        <v>Web Lead</v>
      </c>
      <c r="J989" t="str">
        <f>Raw_Data!G989</f>
        <v>Web_Organic</v>
      </c>
      <c r="K989" t="str">
        <f>IFERROR(VLOOKUP(J989,Source_Assumptions!$A:$C,2,0),"Unmapped")</f>
        <v>Digital - Organic</v>
      </c>
      <c r="L989" t="str">
        <f>Raw_Data!H989</f>
        <v>ELEVATE</v>
      </c>
      <c r="M989" t="str">
        <f>IFERROR(VLOOKUP(L989,Model_Assumptions!$A:$D,2,0),"Unmapped")</f>
        <v>Compact SUV</v>
      </c>
      <c r="N989" t="str">
        <f>IFERROR(VLOOKUP(L989,Model_Assumptions!$A:$D,3,0),"Unmapped")</f>
        <v>Petrol</v>
      </c>
      <c r="O989">
        <f>IFERROR(VLOOKUP(L989,Model_Assumptions!$A:$D,4,0),0)</f>
        <v>1300000</v>
      </c>
      <c r="P989">
        <f>IFERROR(VLOOKUP(J989,Source_Assumptions!$A:$C,3,0),0)</f>
        <v>100</v>
      </c>
    </row>
    <row r="990" spans="1:16" x14ac:dyDescent="0.3">
      <c r="A990">
        <f>Raw_Data!A990</f>
        <v>989</v>
      </c>
      <c r="B990" s="2">
        <f>Raw_Data!B990</f>
        <v>45321</v>
      </c>
      <c r="C990">
        <f>YEAR(Raw_Data!B990)</f>
        <v>2024</v>
      </c>
      <c r="D990" t="str">
        <f>IF(MONTH(Raw_Data!B990)&gt;=4,YEAR(Raw_Data!B990)&amp;"-"&amp;RIGHT(YEAR(Raw_Data!B990)+1,2),YEAR(Raw_Data!B990)-1&amp;"-"&amp;RIGHT(YEAR(Raw_Data!B990),2))</f>
        <v>2023-24</v>
      </c>
      <c r="E990" t="str">
        <f>"Q"&amp;ROUNDUP(MONTH(Raw_Data!B990)/3,0)</f>
        <v>Q1</v>
      </c>
      <c r="F990" t="str">
        <f>TEXT(Raw_Data!B990,"mmm")</f>
        <v>Jan</v>
      </c>
      <c r="G990" t="str">
        <f>TEXT(Raw_Data!B990,"ddd")</f>
        <v>Tue</v>
      </c>
      <c r="H990" t="str">
        <f>Raw_Data!D990</f>
        <v>Invoiced</v>
      </c>
      <c r="I990" t="str">
        <f>Raw_Data!F990</f>
        <v>Tele-in</v>
      </c>
      <c r="J990" t="str">
        <f>Raw_Data!G990</f>
        <v>Referral-CAM</v>
      </c>
      <c r="K990" t="str">
        <f>IFERROR(VLOOKUP(J990,Source_Assumptions!$A:$C,2,0),"Unmapped")</f>
        <v>Referral</v>
      </c>
      <c r="L990" t="str">
        <f>Raw_Data!H990</f>
        <v>AMAZE Petrol</v>
      </c>
      <c r="M990" t="str">
        <f>IFERROR(VLOOKUP(L990,Model_Assumptions!$A:$D,2,0),"Unmapped")</f>
        <v>Sub-4m Sedan</v>
      </c>
      <c r="N990" t="str">
        <f>IFERROR(VLOOKUP(L990,Model_Assumptions!$A:$D,3,0),"Unmapped")</f>
        <v>Petrol</v>
      </c>
      <c r="O990">
        <f>IFERROR(VLOOKUP(L990,Model_Assumptions!$A:$D,4,0),0)</f>
        <v>850000</v>
      </c>
      <c r="P990">
        <f>IFERROR(VLOOKUP(J990,Source_Assumptions!$A:$C,3,0),0)</f>
        <v>150</v>
      </c>
    </row>
    <row r="991" spans="1:16" x14ac:dyDescent="0.3">
      <c r="A991">
        <f>Raw_Data!A991</f>
        <v>990</v>
      </c>
      <c r="B991" s="2">
        <f>Raw_Data!B991</f>
        <v>45322</v>
      </c>
      <c r="C991">
        <f>YEAR(Raw_Data!B991)</f>
        <v>2024</v>
      </c>
      <c r="D991" t="str">
        <f>IF(MONTH(Raw_Data!B991)&gt;=4,YEAR(Raw_Data!B991)&amp;"-"&amp;RIGHT(YEAR(Raw_Data!B991)+1,2),YEAR(Raw_Data!B991)-1&amp;"-"&amp;RIGHT(YEAR(Raw_Data!B991),2))</f>
        <v>2023-24</v>
      </c>
      <c r="E991" t="str">
        <f>"Q"&amp;ROUNDUP(MONTH(Raw_Data!B991)/3,0)</f>
        <v>Q1</v>
      </c>
      <c r="F991" t="str">
        <f>TEXT(Raw_Data!B991,"mmm")</f>
        <v>Jan</v>
      </c>
      <c r="G991" t="str">
        <f>TEXT(Raw_Data!B991,"ddd")</f>
        <v>Wed</v>
      </c>
      <c r="H991" t="str">
        <f>Raw_Data!D991</f>
        <v>Invoiced</v>
      </c>
      <c r="I991" t="str">
        <f>Raw_Data!F991</f>
        <v>SMS/ Tele-Out</v>
      </c>
      <c r="J991" t="str">
        <f>Raw_Data!G991</f>
        <v>I-BAP Self</v>
      </c>
      <c r="K991" t="str">
        <f>IFERROR(VLOOKUP(J991,Source_Assumptions!$A:$C,2,0),"Unmapped")</f>
        <v>Referral (Insurance/Banking Partner)</v>
      </c>
      <c r="L991" t="str">
        <f>Raw_Data!H991</f>
        <v>5TH GEN CITY PE</v>
      </c>
      <c r="M991" t="str">
        <f>IFERROR(VLOOKUP(L991,Model_Assumptions!$A:$D,2,0),"Unmapped")</f>
        <v>Mid-size Sedan</v>
      </c>
      <c r="N991" t="str">
        <f>IFERROR(VLOOKUP(L991,Model_Assumptions!$A:$D,3,0),"Unmapped")</f>
        <v>Petrol</v>
      </c>
      <c r="O991">
        <f>IFERROR(VLOOKUP(L991,Model_Assumptions!$A:$D,4,0),0)</f>
        <v>1250000</v>
      </c>
      <c r="P991">
        <f>IFERROR(VLOOKUP(J991,Source_Assumptions!$A:$C,3,0),0)</f>
        <v>100</v>
      </c>
    </row>
    <row r="992" spans="1:16" x14ac:dyDescent="0.3">
      <c r="A992">
        <f>Raw_Data!A992</f>
        <v>991</v>
      </c>
      <c r="B992" s="2">
        <f>Raw_Data!B992</f>
        <v>45322</v>
      </c>
      <c r="C992">
        <f>YEAR(Raw_Data!B992)</f>
        <v>2024</v>
      </c>
      <c r="D992" t="str">
        <f>IF(MONTH(Raw_Data!B992)&gt;=4,YEAR(Raw_Data!B992)&amp;"-"&amp;RIGHT(YEAR(Raw_Data!B992)+1,2),YEAR(Raw_Data!B992)-1&amp;"-"&amp;RIGHT(YEAR(Raw_Data!B992),2))</f>
        <v>2023-24</v>
      </c>
      <c r="E992" t="str">
        <f>"Q"&amp;ROUNDUP(MONTH(Raw_Data!B992)/3,0)</f>
        <v>Q1</v>
      </c>
      <c r="F992" t="str">
        <f>TEXT(Raw_Data!B992,"mmm")</f>
        <v>Jan</v>
      </c>
      <c r="G992" t="str">
        <f>TEXT(Raw_Data!B992,"ddd")</f>
        <v>Wed</v>
      </c>
      <c r="H992" t="str">
        <f>Raw_Data!D992</f>
        <v>Invoiced</v>
      </c>
      <c r="I992" t="str">
        <f>Raw_Data!F992</f>
        <v>Walk-in Showroom</v>
      </c>
      <c r="J992" t="str">
        <f>Raw_Data!G992</f>
        <v>Adver. (TVC/Print/Hoarding/FM)</v>
      </c>
      <c r="K992" t="str">
        <f>IFERROR(VLOOKUP(J992,Source_Assumptions!$A:$C,2,0),"Unmapped")</f>
        <v>Traditional Advertising</v>
      </c>
      <c r="L992" t="str">
        <f>Raw_Data!H992</f>
        <v>ELEVATE</v>
      </c>
      <c r="M992" t="str">
        <f>IFERROR(VLOOKUP(L992,Model_Assumptions!$A:$D,2,0),"Unmapped")</f>
        <v>Compact SUV</v>
      </c>
      <c r="N992" t="str">
        <f>IFERROR(VLOOKUP(L992,Model_Assumptions!$A:$D,3,0),"Unmapped")</f>
        <v>Petrol</v>
      </c>
      <c r="O992">
        <f>IFERROR(VLOOKUP(L992,Model_Assumptions!$A:$D,4,0),0)</f>
        <v>1300000</v>
      </c>
      <c r="P992">
        <f>IFERROR(VLOOKUP(J992,Source_Assumptions!$A:$C,3,0),0)</f>
        <v>1200</v>
      </c>
    </row>
    <row r="993" spans="1:16" x14ac:dyDescent="0.3">
      <c r="A993">
        <f>Raw_Data!A993</f>
        <v>992</v>
      </c>
      <c r="B993" s="2">
        <f>Raw_Data!B993</f>
        <v>45322</v>
      </c>
      <c r="C993">
        <f>YEAR(Raw_Data!B993)</f>
        <v>2024</v>
      </c>
      <c r="D993" t="str">
        <f>IF(MONTH(Raw_Data!B993)&gt;=4,YEAR(Raw_Data!B993)&amp;"-"&amp;RIGHT(YEAR(Raw_Data!B993)+1,2),YEAR(Raw_Data!B993)-1&amp;"-"&amp;RIGHT(YEAR(Raw_Data!B993),2))</f>
        <v>2023-24</v>
      </c>
      <c r="E993" t="str">
        <f>"Q"&amp;ROUNDUP(MONTH(Raw_Data!B993)/3,0)</f>
        <v>Q1</v>
      </c>
      <c r="F993" t="str">
        <f>TEXT(Raw_Data!B993,"mmm")</f>
        <v>Jan</v>
      </c>
      <c r="G993" t="str">
        <f>TEXT(Raw_Data!B993,"ddd")</f>
        <v>Wed</v>
      </c>
      <c r="H993" t="str">
        <f>Raw_Data!D993</f>
        <v>Invoiced</v>
      </c>
      <c r="I993" t="str">
        <f>Raw_Data!F993</f>
        <v>Tele-in</v>
      </c>
      <c r="J993" t="str">
        <f>Raw_Data!G993</f>
        <v>Dealer Webpage Tele-In</v>
      </c>
      <c r="K993" t="str">
        <f>IFERROR(VLOOKUP(J993,Source_Assumptions!$A:$C,2,0),"Unmapped")</f>
        <v>Digital - Owned</v>
      </c>
      <c r="L993" t="str">
        <f>Raw_Data!H993</f>
        <v>AMAZE Petrol</v>
      </c>
      <c r="M993" t="str">
        <f>IFERROR(VLOOKUP(L993,Model_Assumptions!$A:$D,2,0),"Unmapped")</f>
        <v>Sub-4m Sedan</v>
      </c>
      <c r="N993" t="str">
        <f>IFERROR(VLOOKUP(L993,Model_Assumptions!$A:$D,3,0),"Unmapped")</f>
        <v>Petrol</v>
      </c>
      <c r="O993">
        <f>IFERROR(VLOOKUP(L993,Model_Assumptions!$A:$D,4,0),0)</f>
        <v>850000</v>
      </c>
      <c r="P993">
        <f>IFERROR(VLOOKUP(J993,Source_Assumptions!$A:$C,3,0),0)</f>
        <v>300</v>
      </c>
    </row>
    <row r="994" spans="1:16" x14ac:dyDescent="0.3">
      <c r="A994">
        <f>Raw_Data!A994</f>
        <v>993</v>
      </c>
      <c r="B994" s="2">
        <f>Raw_Data!B994</f>
        <v>45322</v>
      </c>
      <c r="C994">
        <f>YEAR(Raw_Data!B994)</f>
        <v>2024</v>
      </c>
      <c r="D994" t="str">
        <f>IF(MONTH(Raw_Data!B994)&gt;=4,YEAR(Raw_Data!B994)&amp;"-"&amp;RIGHT(YEAR(Raw_Data!B994)+1,2),YEAR(Raw_Data!B994)-1&amp;"-"&amp;RIGHT(YEAR(Raw_Data!B994),2))</f>
        <v>2023-24</v>
      </c>
      <c r="E994" t="str">
        <f>"Q"&amp;ROUNDUP(MONTH(Raw_Data!B994)/3,0)</f>
        <v>Q1</v>
      </c>
      <c r="F994" t="str">
        <f>TEXT(Raw_Data!B994,"mmm")</f>
        <v>Jan</v>
      </c>
      <c r="G994" t="str">
        <f>TEXT(Raw_Data!B994,"ddd")</f>
        <v>Wed</v>
      </c>
      <c r="H994" t="str">
        <f>Raw_Data!D994</f>
        <v>Invoiced</v>
      </c>
      <c r="I994" t="str">
        <f>Raw_Data!F994</f>
        <v>SMS/ Tele-Out</v>
      </c>
      <c r="J994" t="str">
        <f>Raw_Data!G994</f>
        <v>Referral-CAM</v>
      </c>
      <c r="K994" t="str">
        <f>IFERROR(VLOOKUP(J994,Source_Assumptions!$A:$C,2,0),"Unmapped")</f>
        <v>Referral</v>
      </c>
      <c r="L994" t="str">
        <f>Raw_Data!H994</f>
        <v>5TH GEN CITY PE</v>
      </c>
      <c r="M994" t="str">
        <f>IFERROR(VLOOKUP(L994,Model_Assumptions!$A:$D,2,0),"Unmapped")</f>
        <v>Mid-size Sedan</v>
      </c>
      <c r="N994" t="str">
        <f>IFERROR(VLOOKUP(L994,Model_Assumptions!$A:$D,3,0),"Unmapped")</f>
        <v>Petrol</v>
      </c>
      <c r="O994">
        <f>IFERROR(VLOOKUP(L994,Model_Assumptions!$A:$D,4,0),0)</f>
        <v>1250000</v>
      </c>
      <c r="P994">
        <f>IFERROR(VLOOKUP(J994,Source_Assumptions!$A:$C,3,0),0)</f>
        <v>150</v>
      </c>
    </row>
    <row r="995" spans="1:16" x14ac:dyDescent="0.3">
      <c r="A995">
        <f>Raw_Data!A995</f>
        <v>994</v>
      </c>
      <c r="B995" s="2">
        <f>Raw_Data!B995</f>
        <v>45322</v>
      </c>
      <c r="C995">
        <f>YEAR(Raw_Data!B995)</f>
        <v>2024</v>
      </c>
      <c r="D995" t="str">
        <f>IF(MONTH(Raw_Data!B995)&gt;=4,YEAR(Raw_Data!B995)&amp;"-"&amp;RIGHT(YEAR(Raw_Data!B995)+1,2),YEAR(Raw_Data!B995)-1&amp;"-"&amp;RIGHT(YEAR(Raw_Data!B995),2))</f>
        <v>2023-24</v>
      </c>
      <c r="E995" t="str">
        <f>"Q"&amp;ROUNDUP(MONTH(Raw_Data!B995)/3,0)</f>
        <v>Q1</v>
      </c>
      <c r="F995" t="str">
        <f>TEXT(Raw_Data!B995,"mmm")</f>
        <v>Jan</v>
      </c>
      <c r="G995" t="str">
        <f>TEXT(Raw_Data!B995,"ddd")</f>
        <v>Wed</v>
      </c>
      <c r="H995" t="str">
        <f>Raw_Data!D995</f>
        <v>Invoiced</v>
      </c>
      <c r="I995" t="str">
        <f>Raw_Data!F995</f>
        <v>Tele-in</v>
      </c>
      <c r="J995" t="str">
        <f>Raw_Data!G995</f>
        <v>Referral-CAM</v>
      </c>
      <c r="K995" t="str">
        <f>IFERROR(VLOOKUP(J995,Source_Assumptions!$A:$C,2,0),"Unmapped")</f>
        <v>Referral</v>
      </c>
      <c r="L995" t="str">
        <f>Raw_Data!H995</f>
        <v>5TH GEN CITY PE</v>
      </c>
      <c r="M995" t="str">
        <f>IFERROR(VLOOKUP(L995,Model_Assumptions!$A:$D,2,0),"Unmapped")</f>
        <v>Mid-size Sedan</v>
      </c>
      <c r="N995" t="str">
        <f>IFERROR(VLOOKUP(L995,Model_Assumptions!$A:$D,3,0),"Unmapped")</f>
        <v>Petrol</v>
      </c>
      <c r="O995">
        <f>IFERROR(VLOOKUP(L995,Model_Assumptions!$A:$D,4,0),0)</f>
        <v>1250000</v>
      </c>
      <c r="P995">
        <f>IFERROR(VLOOKUP(J995,Source_Assumptions!$A:$C,3,0),0)</f>
        <v>150</v>
      </c>
    </row>
    <row r="996" spans="1:16" x14ac:dyDescent="0.3">
      <c r="A996">
        <f>Raw_Data!A996</f>
        <v>995</v>
      </c>
      <c r="B996" s="2">
        <f>Raw_Data!B996</f>
        <v>45322</v>
      </c>
      <c r="C996">
        <f>YEAR(Raw_Data!B996)</f>
        <v>2024</v>
      </c>
      <c r="D996" t="str">
        <f>IF(MONTH(Raw_Data!B996)&gt;=4,YEAR(Raw_Data!B996)&amp;"-"&amp;RIGHT(YEAR(Raw_Data!B996)+1,2),YEAR(Raw_Data!B996)-1&amp;"-"&amp;RIGHT(YEAR(Raw_Data!B996),2))</f>
        <v>2023-24</v>
      </c>
      <c r="E996" t="str">
        <f>"Q"&amp;ROUNDUP(MONTH(Raw_Data!B996)/3,0)</f>
        <v>Q1</v>
      </c>
      <c r="F996" t="str">
        <f>TEXT(Raw_Data!B996,"mmm")</f>
        <v>Jan</v>
      </c>
      <c r="G996" t="str">
        <f>TEXT(Raw_Data!B996,"ddd")</f>
        <v>Wed</v>
      </c>
      <c r="H996" t="str">
        <f>Raw_Data!D996</f>
        <v>Invoiced</v>
      </c>
      <c r="I996" t="str">
        <f>Raw_Data!F996</f>
        <v>Tele-in</v>
      </c>
      <c r="J996" t="str">
        <f>Raw_Data!G996</f>
        <v>Referral-CAM</v>
      </c>
      <c r="K996" t="str">
        <f>IFERROR(VLOOKUP(J996,Source_Assumptions!$A:$C,2,0),"Unmapped")</f>
        <v>Referral</v>
      </c>
      <c r="L996" t="str">
        <f>Raw_Data!H996</f>
        <v>ELEVATE</v>
      </c>
      <c r="M996" t="str">
        <f>IFERROR(VLOOKUP(L996,Model_Assumptions!$A:$D,2,0),"Unmapped")</f>
        <v>Compact SUV</v>
      </c>
      <c r="N996" t="str">
        <f>IFERROR(VLOOKUP(L996,Model_Assumptions!$A:$D,3,0),"Unmapped")</f>
        <v>Petrol</v>
      </c>
      <c r="O996">
        <f>IFERROR(VLOOKUP(L996,Model_Assumptions!$A:$D,4,0),0)</f>
        <v>1300000</v>
      </c>
      <c r="P996">
        <f>IFERROR(VLOOKUP(J996,Source_Assumptions!$A:$C,3,0),0)</f>
        <v>150</v>
      </c>
    </row>
    <row r="997" spans="1:16" x14ac:dyDescent="0.3">
      <c r="A997">
        <f>Raw_Data!A997</f>
        <v>996</v>
      </c>
      <c r="B997" s="2">
        <f>Raw_Data!B997</f>
        <v>45325.654085648202</v>
      </c>
      <c r="C997">
        <f>YEAR(Raw_Data!B997)</f>
        <v>2024</v>
      </c>
      <c r="D997" t="str">
        <f>IF(MONTH(Raw_Data!B997)&gt;=4,YEAR(Raw_Data!B997)&amp;"-"&amp;RIGHT(YEAR(Raw_Data!B997)+1,2),YEAR(Raw_Data!B997)-1&amp;"-"&amp;RIGHT(YEAR(Raw_Data!B997),2))</f>
        <v>2023-24</v>
      </c>
      <c r="E997" t="str">
        <f>"Q"&amp;ROUNDUP(MONTH(Raw_Data!B997)/3,0)</f>
        <v>Q1</v>
      </c>
      <c r="F997" t="str">
        <f>TEXT(Raw_Data!B997,"mmm")</f>
        <v>Feb</v>
      </c>
      <c r="G997" t="str">
        <f>TEXT(Raw_Data!B997,"ddd")</f>
        <v>Sat</v>
      </c>
      <c r="H997" t="str">
        <f>Raw_Data!D997</f>
        <v>Invoiced</v>
      </c>
      <c r="I997" t="str">
        <f>Raw_Data!F997</f>
        <v>SMS/ Tele-Out</v>
      </c>
      <c r="J997" t="str">
        <f>Raw_Data!G997</f>
        <v>Database Activity(Teleout/SMS)</v>
      </c>
      <c r="K997" t="str">
        <f>IFERROR(VLOOKUP(J997,Source_Assumptions!$A:$C,2,0),"Unmapped")</f>
        <v>Outbound/Database</v>
      </c>
      <c r="L997" t="str">
        <f>Raw_Data!H997</f>
        <v>AMAZE Petrol</v>
      </c>
      <c r="M997" t="str">
        <f>IFERROR(VLOOKUP(L997,Model_Assumptions!$A:$D,2,0),"Unmapped")</f>
        <v>Sub-4m Sedan</v>
      </c>
      <c r="N997" t="str">
        <f>IFERROR(VLOOKUP(L997,Model_Assumptions!$A:$D,3,0),"Unmapped")</f>
        <v>Petrol</v>
      </c>
      <c r="O997">
        <f>IFERROR(VLOOKUP(L997,Model_Assumptions!$A:$D,4,0),0)</f>
        <v>850000</v>
      </c>
      <c r="P997">
        <f>IFERROR(VLOOKUP(J997,Source_Assumptions!$A:$C,3,0),0)</f>
        <v>250</v>
      </c>
    </row>
    <row r="998" spans="1:16" x14ac:dyDescent="0.3">
      <c r="A998">
        <f>Raw_Data!A998</f>
        <v>997</v>
      </c>
      <c r="B998" s="2">
        <f>Raw_Data!B998</f>
        <v>45328.621493055602</v>
      </c>
      <c r="C998">
        <f>YEAR(Raw_Data!B998)</f>
        <v>2024</v>
      </c>
      <c r="D998" t="str">
        <f>IF(MONTH(Raw_Data!B998)&gt;=4,YEAR(Raw_Data!B998)&amp;"-"&amp;RIGHT(YEAR(Raw_Data!B998)+1,2),YEAR(Raw_Data!B998)-1&amp;"-"&amp;RIGHT(YEAR(Raw_Data!B998),2))</f>
        <v>2023-24</v>
      </c>
      <c r="E998" t="str">
        <f>"Q"&amp;ROUNDUP(MONTH(Raw_Data!B998)/3,0)</f>
        <v>Q1</v>
      </c>
      <c r="F998" t="str">
        <f>TEXT(Raw_Data!B998,"mmm")</f>
        <v>Feb</v>
      </c>
      <c r="G998" t="str">
        <f>TEXT(Raw_Data!B998,"ddd")</f>
        <v>Tue</v>
      </c>
      <c r="H998" t="str">
        <f>Raw_Data!D998</f>
        <v>Invoiced</v>
      </c>
      <c r="I998" t="str">
        <f>Raw_Data!F998</f>
        <v>Tele-in</v>
      </c>
      <c r="J998" t="str">
        <f>Raw_Data!G998</f>
        <v>Referral-CAM</v>
      </c>
      <c r="K998" t="str">
        <f>IFERROR(VLOOKUP(J998,Source_Assumptions!$A:$C,2,0),"Unmapped")</f>
        <v>Referral</v>
      </c>
      <c r="L998" t="str">
        <f>Raw_Data!H998</f>
        <v>ELEVATE</v>
      </c>
      <c r="M998" t="str">
        <f>IFERROR(VLOOKUP(L998,Model_Assumptions!$A:$D,2,0),"Unmapped")</f>
        <v>Compact SUV</v>
      </c>
      <c r="N998" t="str">
        <f>IFERROR(VLOOKUP(L998,Model_Assumptions!$A:$D,3,0),"Unmapped")</f>
        <v>Petrol</v>
      </c>
      <c r="O998">
        <f>IFERROR(VLOOKUP(L998,Model_Assumptions!$A:$D,4,0),0)</f>
        <v>1300000</v>
      </c>
      <c r="P998">
        <f>IFERROR(VLOOKUP(J998,Source_Assumptions!$A:$C,3,0),0)</f>
        <v>150</v>
      </c>
    </row>
    <row r="999" spans="1:16" x14ac:dyDescent="0.3">
      <c r="A999">
        <f>Raw_Data!A999</f>
        <v>998</v>
      </c>
      <c r="B999" s="2">
        <f>Raw_Data!B999</f>
        <v>45329.679259259297</v>
      </c>
      <c r="C999">
        <f>YEAR(Raw_Data!B999)</f>
        <v>2024</v>
      </c>
      <c r="D999" t="str">
        <f>IF(MONTH(Raw_Data!B999)&gt;=4,YEAR(Raw_Data!B999)&amp;"-"&amp;RIGHT(YEAR(Raw_Data!B999)+1,2),YEAR(Raw_Data!B999)-1&amp;"-"&amp;RIGHT(YEAR(Raw_Data!B999),2))</f>
        <v>2023-24</v>
      </c>
      <c r="E999" t="str">
        <f>"Q"&amp;ROUNDUP(MONTH(Raw_Data!B999)/3,0)</f>
        <v>Q1</v>
      </c>
      <c r="F999" t="str">
        <f>TEXT(Raw_Data!B999,"mmm")</f>
        <v>Feb</v>
      </c>
      <c r="G999" t="str">
        <f>TEXT(Raw_Data!B999,"ddd")</f>
        <v>Wed</v>
      </c>
      <c r="H999" t="str">
        <f>Raw_Data!D999</f>
        <v>Invoiced</v>
      </c>
      <c r="I999" t="str">
        <f>Raw_Data!F999</f>
        <v>SMS/ Tele-Out</v>
      </c>
      <c r="J999" t="str">
        <f>Raw_Data!G999</f>
        <v>Database Activity(Teleout/SMS)</v>
      </c>
      <c r="K999" t="str">
        <f>IFERROR(VLOOKUP(J999,Source_Assumptions!$A:$C,2,0),"Unmapped")</f>
        <v>Outbound/Database</v>
      </c>
      <c r="L999" t="str">
        <f>Raw_Data!H999</f>
        <v>AMAZE Petrol</v>
      </c>
      <c r="M999" t="str">
        <f>IFERROR(VLOOKUP(L999,Model_Assumptions!$A:$D,2,0),"Unmapped")</f>
        <v>Sub-4m Sedan</v>
      </c>
      <c r="N999" t="str">
        <f>IFERROR(VLOOKUP(L999,Model_Assumptions!$A:$D,3,0),"Unmapped")</f>
        <v>Petrol</v>
      </c>
      <c r="O999">
        <f>IFERROR(VLOOKUP(L999,Model_Assumptions!$A:$D,4,0),0)</f>
        <v>850000</v>
      </c>
      <c r="P999">
        <f>IFERROR(VLOOKUP(J999,Source_Assumptions!$A:$C,3,0),0)</f>
        <v>250</v>
      </c>
    </row>
    <row r="1000" spans="1:16" x14ac:dyDescent="0.3">
      <c r="A1000">
        <f>Raw_Data!A1000</f>
        <v>999</v>
      </c>
      <c r="B1000" s="2">
        <f>Raw_Data!B1000</f>
        <v>45331.641805555599</v>
      </c>
      <c r="C1000">
        <f>YEAR(Raw_Data!B1000)</f>
        <v>2024</v>
      </c>
      <c r="D1000" t="str">
        <f>IF(MONTH(Raw_Data!B1000)&gt;=4,YEAR(Raw_Data!B1000)&amp;"-"&amp;RIGHT(YEAR(Raw_Data!B1000)+1,2),YEAR(Raw_Data!B1000)-1&amp;"-"&amp;RIGHT(YEAR(Raw_Data!B1000),2))</f>
        <v>2023-24</v>
      </c>
      <c r="E1000" t="str">
        <f>"Q"&amp;ROUNDUP(MONTH(Raw_Data!B1000)/3,0)</f>
        <v>Q1</v>
      </c>
      <c r="F1000" t="str">
        <f>TEXT(Raw_Data!B1000,"mmm")</f>
        <v>Feb</v>
      </c>
      <c r="G1000" t="str">
        <f>TEXT(Raw_Data!B1000,"ddd")</f>
        <v>Fri</v>
      </c>
      <c r="H1000" t="str">
        <f>Raw_Data!D1000</f>
        <v>Invoiced</v>
      </c>
      <c r="I1000" t="str">
        <f>Raw_Data!F1000</f>
        <v>Tele-in</v>
      </c>
      <c r="J1000" t="str">
        <f>Raw_Data!G1000</f>
        <v>Dealer Webpage Tele-In</v>
      </c>
      <c r="K1000" t="str">
        <f>IFERROR(VLOOKUP(J1000,Source_Assumptions!$A:$C,2,0),"Unmapped")</f>
        <v>Digital - Owned</v>
      </c>
      <c r="L1000" t="str">
        <f>Raw_Data!H1000</f>
        <v>ELEVATE</v>
      </c>
      <c r="M1000" t="str">
        <f>IFERROR(VLOOKUP(L1000,Model_Assumptions!$A:$D,2,0),"Unmapped")</f>
        <v>Compact SUV</v>
      </c>
      <c r="N1000" t="str">
        <f>IFERROR(VLOOKUP(L1000,Model_Assumptions!$A:$D,3,0),"Unmapped")</f>
        <v>Petrol</v>
      </c>
      <c r="O1000">
        <f>IFERROR(VLOOKUP(L1000,Model_Assumptions!$A:$D,4,0),0)</f>
        <v>1300000</v>
      </c>
      <c r="P1000">
        <f>IFERROR(VLOOKUP(J1000,Source_Assumptions!$A:$C,3,0),0)</f>
        <v>300</v>
      </c>
    </row>
    <row r="1001" spans="1:16" x14ac:dyDescent="0.3">
      <c r="A1001">
        <f>Raw_Data!A1001</f>
        <v>1000</v>
      </c>
      <c r="B1001" s="2">
        <f>Raw_Data!B1001</f>
        <v>45334.499988425901</v>
      </c>
      <c r="C1001">
        <f>YEAR(Raw_Data!B1001)</f>
        <v>2024</v>
      </c>
      <c r="D1001" t="str">
        <f>IF(MONTH(Raw_Data!B1001)&gt;=4,YEAR(Raw_Data!B1001)&amp;"-"&amp;RIGHT(YEAR(Raw_Data!B1001)+1,2),YEAR(Raw_Data!B1001)-1&amp;"-"&amp;RIGHT(YEAR(Raw_Data!B1001),2))</f>
        <v>2023-24</v>
      </c>
      <c r="E1001" t="str">
        <f>"Q"&amp;ROUNDUP(MONTH(Raw_Data!B1001)/3,0)</f>
        <v>Q1</v>
      </c>
      <c r="F1001" t="str">
        <f>TEXT(Raw_Data!B1001,"mmm")</f>
        <v>Feb</v>
      </c>
      <c r="G1001" t="str">
        <f>TEXT(Raw_Data!B1001,"ddd")</f>
        <v>Mon</v>
      </c>
      <c r="H1001" t="str">
        <f>Raw_Data!D1001</f>
        <v>Invoiced</v>
      </c>
      <c r="I1001" t="str">
        <f>Raw_Data!F1001</f>
        <v>Tele-in</v>
      </c>
      <c r="J1001" t="str">
        <f>Raw_Data!G1001</f>
        <v>Dealer Webpage Tele-In</v>
      </c>
      <c r="K1001" t="str">
        <f>IFERROR(VLOOKUP(J1001,Source_Assumptions!$A:$C,2,0),"Unmapped")</f>
        <v>Digital - Owned</v>
      </c>
      <c r="L1001" t="str">
        <f>Raw_Data!H1001</f>
        <v>ELEVATE</v>
      </c>
      <c r="M1001" t="str">
        <f>IFERROR(VLOOKUP(L1001,Model_Assumptions!$A:$D,2,0),"Unmapped")</f>
        <v>Compact SUV</v>
      </c>
      <c r="N1001" t="str">
        <f>IFERROR(VLOOKUP(L1001,Model_Assumptions!$A:$D,3,0),"Unmapped")</f>
        <v>Petrol</v>
      </c>
      <c r="O1001">
        <f>IFERROR(VLOOKUP(L1001,Model_Assumptions!$A:$D,4,0),0)</f>
        <v>1300000</v>
      </c>
      <c r="P1001">
        <f>IFERROR(VLOOKUP(J1001,Source_Assumptions!$A:$C,3,0),0)</f>
        <v>300</v>
      </c>
    </row>
    <row r="1002" spans="1:16" x14ac:dyDescent="0.3">
      <c r="A1002">
        <f>Raw_Data!A1002</f>
        <v>1001</v>
      </c>
      <c r="B1002" s="2">
        <f>Raw_Data!B1002</f>
        <v>45334.680798611102</v>
      </c>
      <c r="C1002">
        <f>YEAR(Raw_Data!B1002)</f>
        <v>2024</v>
      </c>
      <c r="D1002" t="str">
        <f>IF(MONTH(Raw_Data!B1002)&gt;=4,YEAR(Raw_Data!B1002)&amp;"-"&amp;RIGHT(YEAR(Raw_Data!B1002)+1,2),YEAR(Raw_Data!B1002)-1&amp;"-"&amp;RIGHT(YEAR(Raw_Data!B1002),2))</f>
        <v>2023-24</v>
      </c>
      <c r="E1002" t="str">
        <f>"Q"&amp;ROUNDUP(MONTH(Raw_Data!B1002)/3,0)</f>
        <v>Q1</v>
      </c>
      <c r="F1002" t="str">
        <f>TEXT(Raw_Data!B1002,"mmm")</f>
        <v>Feb</v>
      </c>
      <c r="G1002" t="str">
        <f>TEXT(Raw_Data!B1002,"ddd")</f>
        <v>Mon</v>
      </c>
      <c r="H1002" t="str">
        <f>Raw_Data!D1002</f>
        <v>Invoiced</v>
      </c>
      <c r="I1002" t="str">
        <f>Raw_Data!F1002</f>
        <v>SMS/ Tele-Out</v>
      </c>
      <c r="J1002" t="str">
        <f>Raw_Data!G1002</f>
        <v>Database Activity(Teleout/SMS)</v>
      </c>
      <c r="K1002" t="str">
        <f>IFERROR(VLOOKUP(J1002,Source_Assumptions!$A:$C,2,0),"Unmapped")</f>
        <v>Outbound/Database</v>
      </c>
      <c r="L1002" t="str">
        <f>Raw_Data!H1002</f>
        <v>ELEVATE</v>
      </c>
      <c r="M1002" t="str">
        <f>IFERROR(VLOOKUP(L1002,Model_Assumptions!$A:$D,2,0),"Unmapped")</f>
        <v>Compact SUV</v>
      </c>
      <c r="N1002" t="str">
        <f>IFERROR(VLOOKUP(L1002,Model_Assumptions!$A:$D,3,0),"Unmapped")</f>
        <v>Petrol</v>
      </c>
      <c r="O1002">
        <f>IFERROR(VLOOKUP(L1002,Model_Assumptions!$A:$D,4,0),0)</f>
        <v>1300000</v>
      </c>
      <c r="P1002">
        <f>IFERROR(VLOOKUP(J1002,Source_Assumptions!$A:$C,3,0),0)</f>
        <v>250</v>
      </c>
    </row>
    <row r="1003" spans="1:16" x14ac:dyDescent="0.3">
      <c r="A1003">
        <f>Raw_Data!A1003</f>
        <v>1002</v>
      </c>
      <c r="B1003" s="2">
        <f>Raw_Data!B1003</f>
        <v>45335.708749999998</v>
      </c>
      <c r="C1003">
        <f>YEAR(Raw_Data!B1003)</f>
        <v>2024</v>
      </c>
      <c r="D1003" t="str">
        <f>IF(MONTH(Raw_Data!B1003)&gt;=4,YEAR(Raw_Data!B1003)&amp;"-"&amp;RIGHT(YEAR(Raw_Data!B1003)+1,2),YEAR(Raw_Data!B1003)-1&amp;"-"&amp;RIGHT(YEAR(Raw_Data!B1003),2))</f>
        <v>2023-24</v>
      </c>
      <c r="E1003" t="str">
        <f>"Q"&amp;ROUNDUP(MONTH(Raw_Data!B1003)/3,0)</f>
        <v>Q1</v>
      </c>
      <c r="F1003" t="str">
        <f>TEXT(Raw_Data!B1003,"mmm")</f>
        <v>Feb</v>
      </c>
      <c r="G1003" t="str">
        <f>TEXT(Raw_Data!B1003,"ddd")</f>
        <v>Tue</v>
      </c>
      <c r="H1003" t="str">
        <f>Raw_Data!D1003</f>
        <v>Invoiced</v>
      </c>
      <c r="I1003" t="str">
        <f>Raw_Data!F1003</f>
        <v>SMS/ Tele-Out</v>
      </c>
      <c r="J1003" t="str">
        <f>Raw_Data!G1003</f>
        <v>I-BAP Self</v>
      </c>
      <c r="K1003" t="str">
        <f>IFERROR(VLOOKUP(J1003,Source_Assumptions!$A:$C,2,0),"Unmapped")</f>
        <v>Referral (Insurance/Banking Partner)</v>
      </c>
      <c r="L1003" t="str">
        <f>Raw_Data!H1003</f>
        <v>5TH GEN CITY PE</v>
      </c>
      <c r="M1003" t="str">
        <f>IFERROR(VLOOKUP(L1003,Model_Assumptions!$A:$D,2,0),"Unmapped")</f>
        <v>Mid-size Sedan</v>
      </c>
      <c r="N1003" t="str">
        <f>IFERROR(VLOOKUP(L1003,Model_Assumptions!$A:$D,3,0),"Unmapped")</f>
        <v>Petrol</v>
      </c>
      <c r="O1003">
        <f>IFERROR(VLOOKUP(L1003,Model_Assumptions!$A:$D,4,0),0)</f>
        <v>1250000</v>
      </c>
      <c r="P1003">
        <f>IFERROR(VLOOKUP(J1003,Source_Assumptions!$A:$C,3,0),0)</f>
        <v>100</v>
      </c>
    </row>
    <row r="1004" spans="1:16" x14ac:dyDescent="0.3">
      <c r="A1004">
        <f>Raw_Data!A1004</f>
        <v>1003</v>
      </c>
      <c r="B1004" s="2">
        <f>Raw_Data!B1004</f>
        <v>45337.583124999997</v>
      </c>
      <c r="C1004">
        <f>YEAR(Raw_Data!B1004)</f>
        <v>2024</v>
      </c>
      <c r="D1004" t="str">
        <f>IF(MONTH(Raw_Data!B1004)&gt;=4,YEAR(Raw_Data!B1004)&amp;"-"&amp;RIGHT(YEAR(Raw_Data!B1004)+1,2),YEAR(Raw_Data!B1004)-1&amp;"-"&amp;RIGHT(YEAR(Raw_Data!B1004),2))</f>
        <v>2023-24</v>
      </c>
      <c r="E1004" t="str">
        <f>"Q"&amp;ROUNDUP(MONTH(Raw_Data!B1004)/3,0)</f>
        <v>Q1</v>
      </c>
      <c r="F1004" t="str">
        <f>TEXT(Raw_Data!B1004,"mmm")</f>
        <v>Feb</v>
      </c>
      <c r="G1004" t="str">
        <f>TEXT(Raw_Data!B1004,"ddd")</f>
        <v>Thu</v>
      </c>
      <c r="H1004" t="str">
        <f>Raw_Data!D1004</f>
        <v>Invoiced</v>
      </c>
      <c r="I1004" t="str">
        <f>Raw_Data!F1004</f>
        <v>SMS/ Tele-Out</v>
      </c>
      <c r="J1004" t="str">
        <f>Raw_Data!G1004</f>
        <v>Referral-CAM</v>
      </c>
      <c r="K1004" t="str">
        <f>IFERROR(VLOOKUP(J1004,Source_Assumptions!$A:$C,2,0),"Unmapped")</f>
        <v>Referral</v>
      </c>
      <c r="L1004" t="str">
        <f>Raw_Data!H1004</f>
        <v>AMAZE Petrol</v>
      </c>
      <c r="M1004" t="str">
        <f>IFERROR(VLOOKUP(L1004,Model_Assumptions!$A:$D,2,0),"Unmapped")</f>
        <v>Sub-4m Sedan</v>
      </c>
      <c r="N1004" t="str">
        <f>IFERROR(VLOOKUP(L1004,Model_Assumptions!$A:$D,3,0),"Unmapped")</f>
        <v>Petrol</v>
      </c>
      <c r="O1004">
        <f>IFERROR(VLOOKUP(L1004,Model_Assumptions!$A:$D,4,0),0)</f>
        <v>850000</v>
      </c>
      <c r="P1004">
        <f>IFERROR(VLOOKUP(J1004,Source_Assumptions!$A:$C,3,0),0)</f>
        <v>150</v>
      </c>
    </row>
    <row r="1005" spans="1:16" x14ac:dyDescent="0.3">
      <c r="A1005">
        <f>Raw_Data!A1005</f>
        <v>1004</v>
      </c>
      <c r="B1005" s="2">
        <f>Raw_Data!B1005</f>
        <v>45337.586967592601</v>
      </c>
      <c r="C1005">
        <f>YEAR(Raw_Data!B1005)</f>
        <v>2024</v>
      </c>
      <c r="D1005" t="str">
        <f>IF(MONTH(Raw_Data!B1005)&gt;=4,YEAR(Raw_Data!B1005)&amp;"-"&amp;RIGHT(YEAR(Raw_Data!B1005)+1,2),YEAR(Raw_Data!B1005)-1&amp;"-"&amp;RIGHT(YEAR(Raw_Data!B1005),2))</f>
        <v>2023-24</v>
      </c>
      <c r="E1005" t="str">
        <f>"Q"&amp;ROUNDUP(MONTH(Raw_Data!B1005)/3,0)</f>
        <v>Q1</v>
      </c>
      <c r="F1005" t="str">
        <f>TEXT(Raw_Data!B1005,"mmm")</f>
        <v>Feb</v>
      </c>
      <c r="G1005" t="str">
        <f>TEXT(Raw_Data!B1005,"ddd")</f>
        <v>Thu</v>
      </c>
      <c r="H1005" t="str">
        <f>Raw_Data!D1005</f>
        <v>Invoiced</v>
      </c>
      <c r="I1005" t="str">
        <f>Raw_Data!F1005</f>
        <v>Walk-in Showroom</v>
      </c>
      <c r="J1005" t="str">
        <f>Raw_Data!G1005</f>
        <v>Adver. (TVC/Print/Hoarding/FM)</v>
      </c>
      <c r="K1005" t="str">
        <f>IFERROR(VLOOKUP(J1005,Source_Assumptions!$A:$C,2,0),"Unmapped")</f>
        <v>Traditional Advertising</v>
      </c>
      <c r="L1005" t="str">
        <f>Raw_Data!H1005</f>
        <v>AMAZE Petrol</v>
      </c>
      <c r="M1005" t="str">
        <f>IFERROR(VLOOKUP(L1005,Model_Assumptions!$A:$D,2,0),"Unmapped")</f>
        <v>Sub-4m Sedan</v>
      </c>
      <c r="N1005" t="str">
        <f>IFERROR(VLOOKUP(L1005,Model_Assumptions!$A:$D,3,0),"Unmapped")</f>
        <v>Petrol</v>
      </c>
      <c r="O1005">
        <f>IFERROR(VLOOKUP(L1005,Model_Assumptions!$A:$D,4,0),0)</f>
        <v>850000</v>
      </c>
      <c r="P1005">
        <f>IFERROR(VLOOKUP(J1005,Source_Assumptions!$A:$C,3,0),0)</f>
        <v>1200</v>
      </c>
    </row>
    <row r="1006" spans="1:16" x14ac:dyDescent="0.3">
      <c r="A1006">
        <f>Raw_Data!A1006</f>
        <v>1005</v>
      </c>
      <c r="B1006" s="2">
        <f>Raw_Data!B1006</f>
        <v>45337.682326388902</v>
      </c>
      <c r="C1006">
        <f>YEAR(Raw_Data!B1006)</f>
        <v>2024</v>
      </c>
      <c r="D1006" t="str">
        <f>IF(MONTH(Raw_Data!B1006)&gt;=4,YEAR(Raw_Data!B1006)&amp;"-"&amp;RIGHT(YEAR(Raw_Data!B1006)+1,2),YEAR(Raw_Data!B1006)-1&amp;"-"&amp;RIGHT(YEAR(Raw_Data!B1006),2))</f>
        <v>2023-24</v>
      </c>
      <c r="E1006" t="str">
        <f>"Q"&amp;ROUNDUP(MONTH(Raw_Data!B1006)/3,0)</f>
        <v>Q1</v>
      </c>
      <c r="F1006" t="str">
        <f>TEXT(Raw_Data!B1006,"mmm")</f>
        <v>Feb</v>
      </c>
      <c r="G1006" t="str">
        <f>TEXT(Raw_Data!B1006,"ddd")</f>
        <v>Thu</v>
      </c>
      <c r="H1006" t="str">
        <f>Raw_Data!D1006</f>
        <v>Invoiced</v>
      </c>
      <c r="I1006" t="str">
        <f>Raw_Data!F1006</f>
        <v>Tele-in</v>
      </c>
      <c r="J1006" t="str">
        <f>Raw_Data!G1006</f>
        <v>Dealer Webpage Tele-In</v>
      </c>
      <c r="K1006" t="str">
        <f>IFERROR(VLOOKUP(J1006,Source_Assumptions!$A:$C,2,0),"Unmapped")</f>
        <v>Digital - Owned</v>
      </c>
      <c r="L1006" t="str">
        <f>Raw_Data!H1006</f>
        <v>ELEVATE</v>
      </c>
      <c r="M1006" t="str">
        <f>IFERROR(VLOOKUP(L1006,Model_Assumptions!$A:$D,2,0),"Unmapped")</f>
        <v>Compact SUV</v>
      </c>
      <c r="N1006" t="str">
        <f>IFERROR(VLOOKUP(L1006,Model_Assumptions!$A:$D,3,0),"Unmapped")</f>
        <v>Petrol</v>
      </c>
      <c r="O1006">
        <f>IFERROR(VLOOKUP(L1006,Model_Assumptions!$A:$D,4,0),0)</f>
        <v>1300000</v>
      </c>
      <c r="P1006">
        <f>IFERROR(VLOOKUP(J1006,Source_Assumptions!$A:$C,3,0),0)</f>
        <v>300</v>
      </c>
    </row>
    <row r="1007" spans="1:16" x14ac:dyDescent="0.3">
      <c r="A1007">
        <f>Raw_Data!A1007</f>
        <v>1006</v>
      </c>
      <c r="B1007" s="2">
        <f>Raw_Data!B1007</f>
        <v>45337.7244907407</v>
      </c>
      <c r="C1007">
        <f>YEAR(Raw_Data!B1007)</f>
        <v>2024</v>
      </c>
      <c r="D1007" t="str">
        <f>IF(MONTH(Raw_Data!B1007)&gt;=4,YEAR(Raw_Data!B1007)&amp;"-"&amp;RIGHT(YEAR(Raw_Data!B1007)+1,2),YEAR(Raw_Data!B1007)-1&amp;"-"&amp;RIGHT(YEAR(Raw_Data!B1007),2))</f>
        <v>2023-24</v>
      </c>
      <c r="E1007" t="str">
        <f>"Q"&amp;ROUNDUP(MONTH(Raw_Data!B1007)/3,0)</f>
        <v>Q1</v>
      </c>
      <c r="F1007" t="str">
        <f>TEXT(Raw_Data!B1007,"mmm")</f>
        <v>Feb</v>
      </c>
      <c r="G1007" t="str">
        <f>TEXT(Raw_Data!B1007,"ddd")</f>
        <v>Thu</v>
      </c>
      <c r="H1007" t="str">
        <f>Raw_Data!D1007</f>
        <v>Invoiced</v>
      </c>
      <c r="I1007" t="str">
        <f>Raw_Data!F1007</f>
        <v>Tele-in</v>
      </c>
      <c r="J1007" t="str">
        <f>Raw_Data!G1007</f>
        <v>Dealer Webpage Tele-In</v>
      </c>
      <c r="K1007" t="str">
        <f>IFERROR(VLOOKUP(J1007,Source_Assumptions!$A:$C,2,0),"Unmapped")</f>
        <v>Digital - Owned</v>
      </c>
      <c r="L1007" t="str">
        <f>Raw_Data!H1007</f>
        <v>AMAZE Petrol</v>
      </c>
      <c r="M1007" t="str">
        <f>IFERROR(VLOOKUP(L1007,Model_Assumptions!$A:$D,2,0),"Unmapped")</f>
        <v>Sub-4m Sedan</v>
      </c>
      <c r="N1007" t="str">
        <f>IFERROR(VLOOKUP(L1007,Model_Assumptions!$A:$D,3,0),"Unmapped")</f>
        <v>Petrol</v>
      </c>
      <c r="O1007">
        <f>IFERROR(VLOOKUP(L1007,Model_Assumptions!$A:$D,4,0),0)</f>
        <v>850000</v>
      </c>
      <c r="P1007">
        <f>IFERROR(VLOOKUP(J1007,Source_Assumptions!$A:$C,3,0),0)</f>
        <v>300</v>
      </c>
    </row>
    <row r="1008" spans="1:16" x14ac:dyDescent="0.3">
      <c r="A1008">
        <f>Raw_Data!A1008</f>
        <v>1007</v>
      </c>
      <c r="B1008" s="2">
        <f>Raw_Data!B1008</f>
        <v>45338.687349537002</v>
      </c>
      <c r="C1008">
        <f>YEAR(Raw_Data!B1008)</f>
        <v>2024</v>
      </c>
      <c r="D1008" t="str">
        <f>IF(MONTH(Raw_Data!B1008)&gt;=4,YEAR(Raw_Data!B1008)&amp;"-"&amp;RIGHT(YEAR(Raw_Data!B1008)+1,2),YEAR(Raw_Data!B1008)-1&amp;"-"&amp;RIGHT(YEAR(Raw_Data!B1008),2))</f>
        <v>2023-24</v>
      </c>
      <c r="E1008" t="str">
        <f>"Q"&amp;ROUNDUP(MONTH(Raw_Data!B1008)/3,0)</f>
        <v>Q1</v>
      </c>
      <c r="F1008" t="str">
        <f>TEXT(Raw_Data!B1008,"mmm")</f>
        <v>Feb</v>
      </c>
      <c r="G1008" t="str">
        <f>TEXT(Raw_Data!B1008,"ddd")</f>
        <v>Fri</v>
      </c>
      <c r="H1008" t="str">
        <f>Raw_Data!D1008</f>
        <v>Invoiced</v>
      </c>
      <c r="I1008" t="str">
        <f>Raw_Data!F1008</f>
        <v>Tele-in</v>
      </c>
      <c r="J1008" t="str">
        <f>Raw_Data!G1008</f>
        <v>Dealer Webpage Tele-In</v>
      </c>
      <c r="K1008" t="str">
        <f>IFERROR(VLOOKUP(J1008,Source_Assumptions!$A:$C,2,0),"Unmapped")</f>
        <v>Digital - Owned</v>
      </c>
      <c r="L1008" t="str">
        <f>Raw_Data!H1008</f>
        <v>ELEVATE</v>
      </c>
      <c r="M1008" t="str">
        <f>IFERROR(VLOOKUP(L1008,Model_Assumptions!$A:$D,2,0),"Unmapped")</f>
        <v>Compact SUV</v>
      </c>
      <c r="N1008" t="str">
        <f>IFERROR(VLOOKUP(L1008,Model_Assumptions!$A:$D,3,0),"Unmapped")</f>
        <v>Petrol</v>
      </c>
      <c r="O1008">
        <f>IFERROR(VLOOKUP(L1008,Model_Assumptions!$A:$D,4,0),0)</f>
        <v>1300000</v>
      </c>
      <c r="P1008">
        <f>IFERROR(VLOOKUP(J1008,Source_Assumptions!$A:$C,3,0),0)</f>
        <v>300</v>
      </c>
    </row>
    <row r="1009" spans="1:16" x14ac:dyDescent="0.3">
      <c r="A1009">
        <f>Raw_Data!A1009</f>
        <v>1008</v>
      </c>
      <c r="B1009" s="2">
        <f>Raw_Data!B1009</f>
        <v>45338.695185185199</v>
      </c>
      <c r="C1009">
        <f>YEAR(Raw_Data!B1009)</f>
        <v>2024</v>
      </c>
      <c r="D1009" t="str">
        <f>IF(MONTH(Raw_Data!B1009)&gt;=4,YEAR(Raw_Data!B1009)&amp;"-"&amp;RIGHT(YEAR(Raw_Data!B1009)+1,2),YEAR(Raw_Data!B1009)-1&amp;"-"&amp;RIGHT(YEAR(Raw_Data!B1009),2))</f>
        <v>2023-24</v>
      </c>
      <c r="E1009" t="str">
        <f>"Q"&amp;ROUNDUP(MONTH(Raw_Data!B1009)/3,0)</f>
        <v>Q1</v>
      </c>
      <c r="F1009" t="str">
        <f>TEXT(Raw_Data!B1009,"mmm")</f>
        <v>Feb</v>
      </c>
      <c r="G1009" t="str">
        <f>TEXT(Raw_Data!B1009,"ddd")</f>
        <v>Fri</v>
      </c>
      <c r="H1009" t="str">
        <f>Raw_Data!D1009</f>
        <v>Invoiced</v>
      </c>
      <c r="I1009" t="str">
        <f>Raw_Data!F1009</f>
        <v>SMS/ Tele-Out</v>
      </c>
      <c r="J1009" t="str">
        <f>Raw_Data!G1009</f>
        <v>Database Activity(Teleout/SMS)</v>
      </c>
      <c r="K1009" t="str">
        <f>IFERROR(VLOOKUP(J1009,Source_Assumptions!$A:$C,2,0),"Unmapped")</f>
        <v>Outbound/Database</v>
      </c>
      <c r="L1009" t="str">
        <f>Raw_Data!H1009</f>
        <v>AMAZE Petrol</v>
      </c>
      <c r="M1009" t="str">
        <f>IFERROR(VLOOKUP(L1009,Model_Assumptions!$A:$D,2,0),"Unmapped")</f>
        <v>Sub-4m Sedan</v>
      </c>
      <c r="N1009" t="str">
        <f>IFERROR(VLOOKUP(L1009,Model_Assumptions!$A:$D,3,0),"Unmapped")</f>
        <v>Petrol</v>
      </c>
      <c r="O1009">
        <f>IFERROR(VLOOKUP(L1009,Model_Assumptions!$A:$D,4,0),0)</f>
        <v>850000</v>
      </c>
      <c r="P1009">
        <f>IFERROR(VLOOKUP(J1009,Source_Assumptions!$A:$C,3,0),0)</f>
        <v>250</v>
      </c>
    </row>
    <row r="1010" spans="1:16" x14ac:dyDescent="0.3">
      <c r="A1010">
        <f>Raw_Data!A1010</f>
        <v>1009</v>
      </c>
      <c r="B1010" s="2">
        <f>Raw_Data!B1010</f>
        <v>45339.497233796297</v>
      </c>
      <c r="C1010">
        <f>YEAR(Raw_Data!B1010)</f>
        <v>2024</v>
      </c>
      <c r="D1010" t="str">
        <f>IF(MONTH(Raw_Data!B1010)&gt;=4,YEAR(Raw_Data!B1010)&amp;"-"&amp;RIGHT(YEAR(Raw_Data!B1010)+1,2),YEAR(Raw_Data!B1010)-1&amp;"-"&amp;RIGHT(YEAR(Raw_Data!B1010),2))</f>
        <v>2023-24</v>
      </c>
      <c r="E1010" t="str">
        <f>"Q"&amp;ROUNDUP(MONTH(Raw_Data!B1010)/3,0)</f>
        <v>Q1</v>
      </c>
      <c r="F1010" t="str">
        <f>TEXT(Raw_Data!B1010,"mmm")</f>
        <v>Feb</v>
      </c>
      <c r="G1010" t="str">
        <f>TEXT(Raw_Data!B1010,"ddd")</f>
        <v>Sat</v>
      </c>
      <c r="H1010" t="str">
        <f>Raw_Data!D1010</f>
        <v>Invoiced</v>
      </c>
      <c r="I1010" t="str">
        <f>Raw_Data!F1010</f>
        <v>Walk-in Showroom</v>
      </c>
      <c r="J1010" t="str">
        <f>Raw_Data!G1010</f>
        <v>Adver. (TVC/Print/Hoarding/FM)</v>
      </c>
      <c r="K1010" t="str">
        <f>IFERROR(VLOOKUP(J1010,Source_Assumptions!$A:$C,2,0),"Unmapped")</f>
        <v>Traditional Advertising</v>
      </c>
      <c r="L1010" t="str">
        <f>Raw_Data!H1010</f>
        <v>ELEVATE</v>
      </c>
      <c r="M1010" t="str">
        <f>IFERROR(VLOOKUP(L1010,Model_Assumptions!$A:$D,2,0),"Unmapped")</f>
        <v>Compact SUV</v>
      </c>
      <c r="N1010" t="str">
        <f>IFERROR(VLOOKUP(L1010,Model_Assumptions!$A:$D,3,0),"Unmapped")</f>
        <v>Petrol</v>
      </c>
      <c r="O1010">
        <f>IFERROR(VLOOKUP(L1010,Model_Assumptions!$A:$D,4,0),0)</f>
        <v>1300000</v>
      </c>
      <c r="P1010">
        <f>IFERROR(VLOOKUP(J1010,Source_Assumptions!$A:$C,3,0),0)</f>
        <v>1200</v>
      </c>
    </row>
    <row r="1011" spans="1:16" x14ac:dyDescent="0.3">
      <c r="A1011">
        <f>Raw_Data!A1011</f>
        <v>1010</v>
      </c>
      <c r="B1011" s="2">
        <f>Raw_Data!B1011</f>
        <v>45339.713402777801</v>
      </c>
      <c r="C1011">
        <f>YEAR(Raw_Data!B1011)</f>
        <v>2024</v>
      </c>
      <c r="D1011" t="str">
        <f>IF(MONTH(Raw_Data!B1011)&gt;=4,YEAR(Raw_Data!B1011)&amp;"-"&amp;RIGHT(YEAR(Raw_Data!B1011)+1,2),YEAR(Raw_Data!B1011)-1&amp;"-"&amp;RIGHT(YEAR(Raw_Data!B1011),2))</f>
        <v>2023-24</v>
      </c>
      <c r="E1011" t="str">
        <f>"Q"&amp;ROUNDUP(MONTH(Raw_Data!B1011)/3,0)</f>
        <v>Q1</v>
      </c>
      <c r="F1011" t="str">
        <f>TEXT(Raw_Data!B1011,"mmm")</f>
        <v>Feb</v>
      </c>
      <c r="G1011" t="str">
        <f>TEXT(Raw_Data!B1011,"ddd")</f>
        <v>Sat</v>
      </c>
      <c r="H1011" t="str">
        <f>Raw_Data!D1011</f>
        <v>Invoiced</v>
      </c>
      <c r="I1011" t="str">
        <f>Raw_Data!F1011</f>
        <v>SMS/ Tele-Out</v>
      </c>
      <c r="J1011" t="str">
        <f>Raw_Data!G1011</f>
        <v>I-BAP Self</v>
      </c>
      <c r="K1011" t="str">
        <f>IFERROR(VLOOKUP(J1011,Source_Assumptions!$A:$C,2,0),"Unmapped")</f>
        <v>Referral (Insurance/Banking Partner)</v>
      </c>
      <c r="L1011" t="str">
        <f>Raw_Data!H1011</f>
        <v>5TH GEN CITY PE</v>
      </c>
      <c r="M1011" t="str">
        <f>IFERROR(VLOOKUP(L1011,Model_Assumptions!$A:$D,2,0),"Unmapped")</f>
        <v>Mid-size Sedan</v>
      </c>
      <c r="N1011" t="str">
        <f>IFERROR(VLOOKUP(L1011,Model_Assumptions!$A:$D,3,0),"Unmapped")</f>
        <v>Petrol</v>
      </c>
      <c r="O1011">
        <f>IFERROR(VLOOKUP(L1011,Model_Assumptions!$A:$D,4,0),0)</f>
        <v>1250000</v>
      </c>
      <c r="P1011">
        <f>IFERROR(VLOOKUP(J1011,Source_Assumptions!$A:$C,3,0),0)</f>
        <v>100</v>
      </c>
    </row>
    <row r="1012" spans="1:16" x14ac:dyDescent="0.3">
      <c r="A1012">
        <f>Raw_Data!A1012</f>
        <v>1011</v>
      </c>
      <c r="B1012" s="2">
        <f>Raw_Data!B1012</f>
        <v>45341.721770833297</v>
      </c>
      <c r="C1012">
        <f>YEAR(Raw_Data!B1012)</f>
        <v>2024</v>
      </c>
      <c r="D1012" t="str">
        <f>IF(MONTH(Raw_Data!B1012)&gt;=4,YEAR(Raw_Data!B1012)&amp;"-"&amp;RIGHT(YEAR(Raw_Data!B1012)+1,2),YEAR(Raw_Data!B1012)-1&amp;"-"&amp;RIGHT(YEAR(Raw_Data!B1012),2))</f>
        <v>2023-24</v>
      </c>
      <c r="E1012" t="str">
        <f>"Q"&amp;ROUNDUP(MONTH(Raw_Data!B1012)/3,0)</f>
        <v>Q1</v>
      </c>
      <c r="F1012" t="str">
        <f>TEXT(Raw_Data!B1012,"mmm")</f>
        <v>Feb</v>
      </c>
      <c r="G1012" t="str">
        <f>TEXT(Raw_Data!B1012,"ddd")</f>
        <v>Mon</v>
      </c>
      <c r="H1012" t="str">
        <f>Raw_Data!D1012</f>
        <v>Invoiced</v>
      </c>
      <c r="I1012" t="str">
        <f>Raw_Data!F1012</f>
        <v>Tele-in</v>
      </c>
      <c r="J1012" t="str">
        <f>Raw_Data!G1012</f>
        <v>Referral-CAM</v>
      </c>
      <c r="K1012" t="str">
        <f>IFERROR(VLOOKUP(J1012,Source_Assumptions!$A:$C,2,0),"Unmapped")</f>
        <v>Referral</v>
      </c>
      <c r="L1012" t="str">
        <f>Raw_Data!H1012</f>
        <v>5TH GEN CITY e:HEV</v>
      </c>
      <c r="M1012" t="str">
        <f>IFERROR(VLOOKUP(L1012,Model_Assumptions!$A:$D,2,0),"Unmapped")</f>
        <v>Mid-size Sedan</v>
      </c>
      <c r="N1012" t="str">
        <f>IFERROR(VLOOKUP(L1012,Model_Assumptions!$A:$D,3,0),"Unmapped")</f>
        <v>Hybrid</v>
      </c>
      <c r="O1012">
        <f>IFERROR(VLOOKUP(L1012,Model_Assumptions!$A:$D,4,0),0)</f>
        <v>1950000</v>
      </c>
      <c r="P1012">
        <f>IFERROR(VLOOKUP(J1012,Source_Assumptions!$A:$C,3,0),0)</f>
        <v>150</v>
      </c>
    </row>
    <row r="1013" spans="1:16" x14ac:dyDescent="0.3">
      <c r="A1013">
        <f>Raw_Data!A1013</f>
        <v>1012</v>
      </c>
      <c r="B1013" s="2">
        <f>Raw_Data!B1013</f>
        <v>45344.4399305556</v>
      </c>
      <c r="C1013">
        <f>YEAR(Raw_Data!B1013)</f>
        <v>2024</v>
      </c>
      <c r="D1013" t="str">
        <f>IF(MONTH(Raw_Data!B1013)&gt;=4,YEAR(Raw_Data!B1013)&amp;"-"&amp;RIGHT(YEAR(Raw_Data!B1013)+1,2),YEAR(Raw_Data!B1013)-1&amp;"-"&amp;RIGHT(YEAR(Raw_Data!B1013),2))</f>
        <v>2023-24</v>
      </c>
      <c r="E1013" t="str">
        <f>"Q"&amp;ROUNDUP(MONTH(Raw_Data!B1013)/3,0)</f>
        <v>Q1</v>
      </c>
      <c r="F1013" t="str">
        <f>TEXT(Raw_Data!B1013,"mmm")</f>
        <v>Feb</v>
      </c>
      <c r="G1013" t="str">
        <f>TEXT(Raw_Data!B1013,"ddd")</f>
        <v>Thu</v>
      </c>
      <c r="H1013" t="str">
        <f>Raw_Data!D1013</f>
        <v>Invoiced</v>
      </c>
      <c r="I1013" t="str">
        <f>Raw_Data!F1013</f>
        <v>SMS/ Tele-Out</v>
      </c>
      <c r="J1013" t="str">
        <f>Raw_Data!G1013</f>
        <v>Database Activity(Teleout/SMS)</v>
      </c>
      <c r="K1013" t="str">
        <f>IFERROR(VLOOKUP(J1013,Source_Assumptions!$A:$C,2,0),"Unmapped")</f>
        <v>Outbound/Database</v>
      </c>
      <c r="L1013" t="str">
        <f>Raw_Data!H1013</f>
        <v>ELEVATE</v>
      </c>
      <c r="M1013" t="str">
        <f>IFERROR(VLOOKUP(L1013,Model_Assumptions!$A:$D,2,0),"Unmapped")</f>
        <v>Compact SUV</v>
      </c>
      <c r="N1013" t="str">
        <f>IFERROR(VLOOKUP(L1013,Model_Assumptions!$A:$D,3,0),"Unmapped")</f>
        <v>Petrol</v>
      </c>
      <c r="O1013">
        <f>IFERROR(VLOOKUP(L1013,Model_Assumptions!$A:$D,4,0),0)</f>
        <v>1300000</v>
      </c>
      <c r="P1013">
        <f>IFERROR(VLOOKUP(J1013,Source_Assumptions!$A:$C,3,0),0)</f>
        <v>250</v>
      </c>
    </row>
    <row r="1014" spans="1:16" x14ac:dyDescent="0.3">
      <c r="A1014">
        <f>Raw_Data!A1014</f>
        <v>1013</v>
      </c>
      <c r="B1014" s="2">
        <f>Raw_Data!B1014</f>
        <v>45344.716759259303</v>
      </c>
      <c r="C1014">
        <f>YEAR(Raw_Data!B1014)</f>
        <v>2024</v>
      </c>
      <c r="D1014" t="str">
        <f>IF(MONTH(Raw_Data!B1014)&gt;=4,YEAR(Raw_Data!B1014)&amp;"-"&amp;RIGHT(YEAR(Raw_Data!B1014)+1,2),YEAR(Raw_Data!B1014)-1&amp;"-"&amp;RIGHT(YEAR(Raw_Data!B1014),2))</f>
        <v>2023-24</v>
      </c>
      <c r="E1014" t="str">
        <f>"Q"&amp;ROUNDUP(MONTH(Raw_Data!B1014)/3,0)</f>
        <v>Q1</v>
      </c>
      <c r="F1014" t="str">
        <f>TEXT(Raw_Data!B1014,"mmm")</f>
        <v>Feb</v>
      </c>
      <c r="G1014" t="str">
        <f>TEXT(Raw_Data!B1014,"ddd")</f>
        <v>Thu</v>
      </c>
      <c r="H1014" t="str">
        <f>Raw_Data!D1014</f>
        <v>Invoiced</v>
      </c>
      <c r="I1014" t="str">
        <f>Raw_Data!F1014</f>
        <v>Tele-in</v>
      </c>
      <c r="J1014" t="str">
        <f>Raw_Data!G1014</f>
        <v>Referral-CAM</v>
      </c>
      <c r="K1014" t="str">
        <f>IFERROR(VLOOKUP(J1014,Source_Assumptions!$A:$C,2,0),"Unmapped")</f>
        <v>Referral</v>
      </c>
      <c r="L1014" t="str">
        <f>Raw_Data!H1014</f>
        <v>ELEVATE</v>
      </c>
      <c r="M1014" t="str">
        <f>IFERROR(VLOOKUP(L1014,Model_Assumptions!$A:$D,2,0),"Unmapped")</f>
        <v>Compact SUV</v>
      </c>
      <c r="N1014" t="str">
        <f>IFERROR(VLOOKUP(L1014,Model_Assumptions!$A:$D,3,0),"Unmapped")</f>
        <v>Petrol</v>
      </c>
      <c r="O1014">
        <f>IFERROR(VLOOKUP(L1014,Model_Assumptions!$A:$D,4,0),0)</f>
        <v>1300000</v>
      </c>
      <c r="P1014">
        <f>IFERROR(VLOOKUP(J1014,Source_Assumptions!$A:$C,3,0),0)</f>
        <v>150</v>
      </c>
    </row>
    <row r="1015" spans="1:16" x14ac:dyDescent="0.3">
      <c r="A1015">
        <f>Raw_Data!A1015</f>
        <v>1014</v>
      </c>
      <c r="B1015" s="2">
        <f>Raw_Data!B1015</f>
        <v>45344.737245370401</v>
      </c>
      <c r="C1015">
        <f>YEAR(Raw_Data!B1015)</f>
        <v>2024</v>
      </c>
      <c r="D1015" t="str">
        <f>IF(MONTH(Raw_Data!B1015)&gt;=4,YEAR(Raw_Data!B1015)&amp;"-"&amp;RIGHT(YEAR(Raw_Data!B1015)+1,2),YEAR(Raw_Data!B1015)-1&amp;"-"&amp;RIGHT(YEAR(Raw_Data!B1015),2))</f>
        <v>2023-24</v>
      </c>
      <c r="E1015" t="str">
        <f>"Q"&amp;ROUNDUP(MONTH(Raw_Data!B1015)/3,0)</f>
        <v>Q1</v>
      </c>
      <c r="F1015" t="str">
        <f>TEXT(Raw_Data!B1015,"mmm")</f>
        <v>Feb</v>
      </c>
      <c r="G1015" t="str">
        <f>TEXT(Raw_Data!B1015,"ddd")</f>
        <v>Thu</v>
      </c>
      <c r="H1015" t="str">
        <f>Raw_Data!D1015</f>
        <v>Invoiced</v>
      </c>
      <c r="I1015" t="str">
        <f>Raw_Data!F1015</f>
        <v>Tele-in</v>
      </c>
      <c r="J1015" t="str">
        <f>Raw_Data!G1015</f>
        <v>Dealer Webpage Tele-In</v>
      </c>
      <c r="K1015" t="str">
        <f>IFERROR(VLOOKUP(J1015,Source_Assumptions!$A:$C,2,0),"Unmapped")</f>
        <v>Digital - Owned</v>
      </c>
      <c r="L1015" t="str">
        <f>Raw_Data!H1015</f>
        <v>ELEVATE</v>
      </c>
      <c r="M1015" t="str">
        <f>IFERROR(VLOOKUP(L1015,Model_Assumptions!$A:$D,2,0),"Unmapped")</f>
        <v>Compact SUV</v>
      </c>
      <c r="N1015" t="str">
        <f>IFERROR(VLOOKUP(L1015,Model_Assumptions!$A:$D,3,0),"Unmapped")</f>
        <v>Petrol</v>
      </c>
      <c r="O1015">
        <f>IFERROR(VLOOKUP(L1015,Model_Assumptions!$A:$D,4,0),0)</f>
        <v>1300000</v>
      </c>
      <c r="P1015">
        <f>IFERROR(VLOOKUP(J1015,Source_Assumptions!$A:$C,3,0),0)</f>
        <v>300</v>
      </c>
    </row>
    <row r="1016" spans="1:16" x14ac:dyDescent="0.3">
      <c r="A1016">
        <f>Raw_Data!A1016</f>
        <v>1015</v>
      </c>
      <c r="B1016" s="2">
        <f>Raw_Data!B1016</f>
        <v>45344.742916666699</v>
      </c>
      <c r="C1016">
        <f>YEAR(Raw_Data!B1016)</f>
        <v>2024</v>
      </c>
      <c r="D1016" t="str">
        <f>IF(MONTH(Raw_Data!B1016)&gt;=4,YEAR(Raw_Data!B1016)&amp;"-"&amp;RIGHT(YEAR(Raw_Data!B1016)+1,2),YEAR(Raw_Data!B1016)-1&amp;"-"&amp;RIGHT(YEAR(Raw_Data!B1016),2))</f>
        <v>2023-24</v>
      </c>
      <c r="E1016" t="str">
        <f>"Q"&amp;ROUNDUP(MONTH(Raw_Data!B1016)/3,0)</f>
        <v>Q1</v>
      </c>
      <c r="F1016" t="str">
        <f>TEXT(Raw_Data!B1016,"mmm")</f>
        <v>Feb</v>
      </c>
      <c r="G1016" t="str">
        <f>TEXT(Raw_Data!B1016,"ddd")</f>
        <v>Thu</v>
      </c>
      <c r="H1016" t="str">
        <f>Raw_Data!D1016</f>
        <v>Invoiced</v>
      </c>
      <c r="I1016" t="str">
        <f>Raw_Data!F1016</f>
        <v>Walk-in Showroom</v>
      </c>
      <c r="J1016" t="str">
        <f>Raw_Data!G1016</f>
        <v>Adver. (TVC/Print/Hoarding/FM)</v>
      </c>
      <c r="K1016" t="str">
        <f>IFERROR(VLOOKUP(J1016,Source_Assumptions!$A:$C,2,0),"Unmapped")</f>
        <v>Traditional Advertising</v>
      </c>
      <c r="L1016" t="str">
        <f>Raw_Data!H1016</f>
        <v>ELEVATE</v>
      </c>
      <c r="M1016" t="str">
        <f>IFERROR(VLOOKUP(L1016,Model_Assumptions!$A:$D,2,0),"Unmapped")</f>
        <v>Compact SUV</v>
      </c>
      <c r="N1016" t="str">
        <f>IFERROR(VLOOKUP(L1016,Model_Assumptions!$A:$D,3,0),"Unmapped")</f>
        <v>Petrol</v>
      </c>
      <c r="O1016">
        <f>IFERROR(VLOOKUP(L1016,Model_Assumptions!$A:$D,4,0),0)</f>
        <v>1300000</v>
      </c>
      <c r="P1016">
        <f>IFERROR(VLOOKUP(J1016,Source_Assumptions!$A:$C,3,0),0)</f>
        <v>1200</v>
      </c>
    </row>
    <row r="1017" spans="1:16" x14ac:dyDescent="0.3">
      <c r="A1017">
        <f>Raw_Data!A1017</f>
        <v>1016</v>
      </c>
      <c r="B1017" s="2">
        <f>Raw_Data!B1017</f>
        <v>45345.539525462998</v>
      </c>
      <c r="C1017">
        <f>YEAR(Raw_Data!B1017)</f>
        <v>2024</v>
      </c>
      <c r="D1017" t="str">
        <f>IF(MONTH(Raw_Data!B1017)&gt;=4,YEAR(Raw_Data!B1017)&amp;"-"&amp;RIGHT(YEAR(Raw_Data!B1017)+1,2),YEAR(Raw_Data!B1017)-1&amp;"-"&amp;RIGHT(YEAR(Raw_Data!B1017),2))</f>
        <v>2023-24</v>
      </c>
      <c r="E1017" t="str">
        <f>"Q"&amp;ROUNDUP(MONTH(Raw_Data!B1017)/3,0)</f>
        <v>Q1</v>
      </c>
      <c r="F1017" t="str">
        <f>TEXT(Raw_Data!B1017,"mmm")</f>
        <v>Feb</v>
      </c>
      <c r="G1017" t="str">
        <f>TEXT(Raw_Data!B1017,"ddd")</f>
        <v>Fri</v>
      </c>
      <c r="H1017" t="str">
        <f>Raw_Data!D1017</f>
        <v>Invoiced</v>
      </c>
      <c r="I1017" t="str">
        <f>Raw_Data!F1017</f>
        <v>SMS/ Tele-Out</v>
      </c>
      <c r="J1017" t="str">
        <f>Raw_Data!G1017</f>
        <v>I-BAP Referral</v>
      </c>
      <c r="K1017" t="str">
        <f>IFERROR(VLOOKUP(J1017,Source_Assumptions!$A:$C,2,0),"Unmapped")</f>
        <v>Referral (Insurance/Banking Partner)</v>
      </c>
      <c r="L1017" t="str">
        <f>Raw_Data!H1017</f>
        <v>ELEVATE</v>
      </c>
      <c r="M1017" t="str">
        <f>IFERROR(VLOOKUP(L1017,Model_Assumptions!$A:$D,2,0),"Unmapped")</f>
        <v>Compact SUV</v>
      </c>
      <c r="N1017" t="str">
        <f>IFERROR(VLOOKUP(L1017,Model_Assumptions!$A:$D,3,0),"Unmapped")</f>
        <v>Petrol</v>
      </c>
      <c r="O1017">
        <f>IFERROR(VLOOKUP(L1017,Model_Assumptions!$A:$D,4,0),0)</f>
        <v>1300000</v>
      </c>
      <c r="P1017">
        <f>IFERROR(VLOOKUP(J1017,Source_Assumptions!$A:$C,3,0),0)</f>
        <v>150</v>
      </c>
    </row>
    <row r="1018" spans="1:16" x14ac:dyDescent="0.3">
      <c r="A1018">
        <f>Raw_Data!A1018</f>
        <v>1017</v>
      </c>
      <c r="B1018" s="2">
        <f>Raw_Data!B1018</f>
        <v>45349.483530092599</v>
      </c>
      <c r="C1018">
        <f>YEAR(Raw_Data!B1018)</f>
        <v>2024</v>
      </c>
      <c r="D1018" t="str">
        <f>IF(MONTH(Raw_Data!B1018)&gt;=4,YEAR(Raw_Data!B1018)&amp;"-"&amp;RIGHT(YEAR(Raw_Data!B1018)+1,2),YEAR(Raw_Data!B1018)-1&amp;"-"&amp;RIGHT(YEAR(Raw_Data!B1018),2))</f>
        <v>2023-24</v>
      </c>
      <c r="E1018" t="str">
        <f>"Q"&amp;ROUNDUP(MONTH(Raw_Data!B1018)/3,0)</f>
        <v>Q1</v>
      </c>
      <c r="F1018" t="str">
        <f>TEXT(Raw_Data!B1018,"mmm")</f>
        <v>Feb</v>
      </c>
      <c r="G1018" t="str">
        <f>TEXT(Raw_Data!B1018,"ddd")</f>
        <v>Tue</v>
      </c>
      <c r="H1018" t="str">
        <f>Raw_Data!D1018</f>
        <v>Invoiced</v>
      </c>
      <c r="I1018" t="str">
        <f>Raw_Data!F1018</f>
        <v>Walk-in Showroom</v>
      </c>
      <c r="J1018" t="str">
        <f>Raw_Data!G1018</f>
        <v>Adver. (TVC/Print/Hoarding/FM)</v>
      </c>
      <c r="K1018" t="str">
        <f>IFERROR(VLOOKUP(J1018,Source_Assumptions!$A:$C,2,0),"Unmapped")</f>
        <v>Traditional Advertising</v>
      </c>
      <c r="L1018" t="str">
        <f>Raw_Data!H1018</f>
        <v>ELEVATE</v>
      </c>
      <c r="M1018" t="str">
        <f>IFERROR(VLOOKUP(L1018,Model_Assumptions!$A:$D,2,0),"Unmapped")</f>
        <v>Compact SUV</v>
      </c>
      <c r="N1018" t="str">
        <f>IFERROR(VLOOKUP(L1018,Model_Assumptions!$A:$D,3,0),"Unmapped")</f>
        <v>Petrol</v>
      </c>
      <c r="O1018">
        <f>IFERROR(VLOOKUP(L1018,Model_Assumptions!$A:$D,4,0),0)</f>
        <v>1300000</v>
      </c>
      <c r="P1018">
        <f>IFERROR(VLOOKUP(J1018,Source_Assumptions!$A:$C,3,0),0)</f>
        <v>1200</v>
      </c>
    </row>
    <row r="1019" spans="1:16" x14ac:dyDescent="0.3">
      <c r="A1019">
        <f>Raw_Data!A1019</f>
        <v>1018</v>
      </c>
      <c r="B1019" s="2">
        <f>Raw_Data!B1019</f>
        <v>45349.678530092599</v>
      </c>
      <c r="C1019">
        <f>YEAR(Raw_Data!B1019)</f>
        <v>2024</v>
      </c>
      <c r="D1019" t="str">
        <f>IF(MONTH(Raw_Data!B1019)&gt;=4,YEAR(Raw_Data!B1019)&amp;"-"&amp;RIGHT(YEAR(Raw_Data!B1019)+1,2),YEAR(Raw_Data!B1019)-1&amp;"-"&amp;RIGHT(YEAR(Raw_Data!B1019),2))</f>
        <v>2023-24</v>
      </c>
      <c r="E1019" t="str">
        <f>"Q"&amp;ROUNDUP(MONTH(Raw_Data!B1019)/3,0)</f>
        <v>Q1</v>
      </c>
      <c r="F1019" t="str">
        <f>TEXT(Raw_Data!B1019,"mmm")</f>
        <v>Feb</v>
      </c>
      <c r="G1019" t="str">
        <f>TEXT(Raw_Data!B1019,"ddd")</f>
        <v>Tue</v>
      </c>
      <c r="H1019" t="str">
        <f>Raw_Data!D1019</f>
        <v>Invoiced</v>
      </c>
      <c r="I1019" t="str">
        <f>Raw_Data!F1019</f>
        <v>SMS/ Tele-Out</v>
      </c>
      <c r="J1019" t="str">
        <f>Raw_Data!G1019</f>
        <v>Database Activity(Teleout/SMS)</v>
      </c>
      <c r="K1019" t="str">
        <f>IFERROR(VLOOKUP(J1019,Source_Assumptions!$A:$C,2,0),"Unmapped")</f>
        <v>Outbound/Database</v>
      </c>
      <c r="L1019" t="str">
        <f>Raw_Data!H1019</f>
        <v>5TH GEN CITY PE</v>
      </c>
      <c r="M1019" t="str">
        <f>IFERROR(VLOOKUP(L1019,Model_Assumptions!$A:$D,2,0),"Unmapped")</f>
        <v>Mid-size Sedan</v>
      </c>
      <c r="N1019" t="str">
        <f>IFERROR(VLOOKUP(L1019,Model_Assumptions!$A:$D,3,0),"Unmapped")</f>
        <v>Petrol</v>
      </c>
      <c r="O1019">
        <f>IFERROR(VLOOKUP(L1019,Model_Assumptions!$A:$D,4,0),0)</f>
        <v>1250000</v>
      </c>
      <c r="P1019">
        <f>IFERROR(VLOOKUP(J1019,Source_Assumptions!$A:$C,3,0),0)</f>
        <v>250</v>
      </c>
    </row>
    <row r="1020" spans="1:16" x14ac:dyDescent="0.3">
      <c r="A1020">
        <f>Raw_Data!A1020</f>
        <v>1019</v>
      </c>
      <c r="B1020" s="2">
        <f>Raw_Data!B1020</f>
        <v>45350.531006944497</v>
      </c>
      <c r="C1020">
        <f>YEAR(Raw_Data!B1020)</f>
        <v>2024</v>
      </c>
      <c r="D1020" t="str">
        <f>IF(MONTH(Raw_Data!B1020)&gt;=4,YEAR(Raw_Data!B1020)&amp;"-"&amp;RIGHT(YEAR(Raw_Data!B1020)+1,2),YEAR(Raw_Data!B1020)-1&amp;"-"&amp;RIGHT(YEAR(Raw_Data!B1020),2))</f>
        <v>2023-24</v>
      </c>
      <c r="E1020" t="str">
        <f>"Q"&amp;ROUNDUP(MONTH(Raw_Data!B1020)/3,0)</f>
        <v>Q1</v>
      </c>
      <c r="F1020" t="str">
        <f>TEXT(Raw_Data!B1020,"mmm")</f>
        <v>Feb</v>
      </c>
      <c r="G1020" t="str">
        <f>TEXT(Raw_Data!B1020,"ddd")</f>
        <v>Wed</v>
      </c>
      <c r="H1020" t="str">
        <f>Raw_Data!D1020</f>
        <v>Invoiced</v>
      </c>
      <c r="I1020" t="str">
        <f>Raw_Data!F1020</f>
        <v>Walk-in Showroom</v>
      </c>
      <c r="J1020" t="str">
        <f>Raw_Data!G1020</f>
        <v>Adver. (TVC/Print/Hoarding/FM)</v>
      </c>
      <c r="K1020" t="str">
        <f>IFERROR(VLOOKUP(J1020,Source_Assumptions!$A:$C,2,0),"Unmapped")</f>
        <v>Traditional Advertising</v>
      </c>
      <c r="L1020" t="str">
        <f>Raw_Data!H1020</f>
        <v>ELEVATE</v>
      </c>
      <c r="M1020" t="str">
        <f>IFERROR(VLOOKUP(L1020,Model_Assumptions!$A:$D,2,0),"Unmapped")</f>
        <v>Compact SUV</v>
      </c>
      <c r="N1020" t="str">
        <f>IFERROR(VLOOKUP(L1020,Model_Assumptions!$A:$D,3,0),"Unmapped")</f>
        <v>Petrol</v>
      </c>
      <c r="O1020">
        <f>IFERROR(VLOOKUP(L1020,Model_Assumptions!$A:$D,4,0),0)</f>
        <v>1300000</v>
      </c>
      <c r="P1020">
        <f>IFERROR(VLOOKUP(J1020,Source_Assumptions!$A:$C,3,0),0)</f>
        <v>1200</v>
      </c>
    </row>
    <row r="1021" spans="1:16" x14ac:dyDescent="0.3">
      <c r="A1021">
        <f>Raw_Data!A1021</f>
        <v>1020</v>
      </c>
      <c r="B1021" s="2">
        <f>Raw_Data!B1021</f>
        <v>45350.579918981501</v>
      </c>
      <c r="C1021">
        <f>YEAR(Raw_Data!B1021)</f>
        <v>2024</v>
      </c>
      <c r="D1021" t="str">
        <f>IF(MONTH(Raw_Data!B1021)&gt;=4,YEAR(Raw_Data!B1021)&amp;"-"&amp;RIGHT(YEAR(Raw_Data!B1021)+1,2),YEAR(Raw_Data!B1021)-1&amp;"-"&amp;RIGHT(YEAR(Raw_Data!B1021),2))</f>
        <v>2023-24</v>
      </c>
      <c r="E1021" t="str">
        <f>"Q"&amp;ROUNDUP(MONTH(Raw_Data!B1021)/3,0)</f>
        <v>Q1</v>
      </c>
      <c r="F1021" t="str">
        <f>TEXT(Raw_Data!B1021,"mmm")</f>
        <v>Feb</v>
      </c>
      <c r="G1021" t="str">
        <f>TEXT(Raw_Data!B1021,"ddd")</f>
        <v>Wed</v>
      </c>
      <c r="H1021" t="str">
        <f>Raw_Data!D1021</f>
        <v>Invoiced</v>
      </c>
      <c r="I1021" t="str">
        <f>Raw_Data!F1021</f>
        <v>Tele-in</v>
      </c>
      <c r="J1021" t="str">
        <f>Raw_Data!G1021</f>
        <v>Dealer Webpage Tele-In</v>
      </c>
      <c r="K1021" t="str">
        <f>IFERROR(VLOOKUP(J1021,Source_Assumptions!$A:$C,2,0),"Unmapped")</f>
        <v>Digital - Owned</v>
      </c>
      <c r="L1021" t="str">
        <f>Raw_Data!H1021</f>
        <v>ELEVATE</v>
      </c>
      <c r="M1021" t="str">
        <f>IFERROR(VLOOKUP(L1021,Model_Assumptions!$A:$D,2,0),"Unmapped")</f>
        <v>Compact SUV</v>
      </c>
      <c r="N1021" t="str">
        <f>IFERROR(VLOOKUP(L1021,Model_Assumptions!$A:$D,3,0),"Unmapped")</f>
        <v>Petrol</v>
      </c>
      <c r="O1021">
        <f>IFERROR(VLOOKUP(L1021,Model_Assumptions!$A:$D,4,0),0)</f>
        <v>1300000</v>
      </c>
      <c r="P1021">
        <f>IFERROR(VLOOKUP(J1021,Source_Assumptions!$A:$C,3,0),0)</f>
        <v>300</v>
      </c>
    </row>
    <row r="1022" spans="1:16" x14ac:dyDescent="0.3">
      <c r="A1022">
        <f>Raw_Data!A1022</f>
        <v>1021</v>
      </c>
      <c r="B1022" s="2">
        <f>Raw_Data!B1022</f>
        <v>45350.708217592597</v>
      </c>
      <c r="C1022">
        <f>YEAR(Raw_Data!B1022)</f>
        <v>2024</v>
      </c>
      <c r="D1022" t="str">
        <f>IF(MONTH(Raw_Data!B1022)&gt;=4,YEAR(Raw_Data!B1022)&amp;"-"&amp;RIGHT(YEAR(Raw_Data!B1022)+1,2),YEAR(Raw_Data!B1022)-1&amp;"-"&amp;RIGHT(YEAR(Raw_Data!B1022),2))</f>
        <v>2023-24</v>
      </c>
      <c r="E1022" t="str">
        <f>"Q"&amp;ROUNDUP(MONTH(Raw_Data!B1022)/3,0)</f>
        <v>Q1</v>
      </c>
      <c r="F1022" t="str">
        <f>TEXT(Raw_Data!B1022,"mmm")</f>
        <v>Feb</v>
      </c>
      <c r="G1022" t="str">
        <f>TEXT(Raw_Data!B1022,"ddd")</f>
        <v>Wed</v>
      </c>
      <c r="H1022" t="str">
        <f>Raw_Data!D1022</f>
        <v>Invoiced</v>
      </c>
      <c r="I1022" t="str">
        <f>Raw_Data!F1022</f>
        <v>Tele-in</v>
      </c>
      <c r="J1022" t="str">
        <f>Raw_Data!G1022</f>
        <v>Dealer Webpage Tele-In</v>
      </c>
      <c r="K1022" t="str">
        <f>IFERROR(VLOOKUP(J1022,Source_Assumptions!$A:$C,2,0),"Unmapped")</f>
        <v>Digital - Owned</v>
      </c>
      <c r="L1022" t="str">
        <f>Raw_Data!H1022</f>
        <v>5TH GEN CITY PE</v>
      </c>
      <c r="M1022" t="str">
        <f>IFERROR(VLOOKUP(L1022,Model_Assumptions!$A:$D,2,0),"Unmapped")</f>
        <v>Mid-size Sedan</v>
      </c>
      <c r="N1022" t="str">
        <f>IFERROR(VLOOKUP(L1022,Model_Assumptions!$A:$D,3,0),"Unmapped")</f>
        <v>Petrol</v>
      </c>
      <c r="O1022">
        <f>IFERROR(VLOOKUP(L1022,Model_Assumptions!$A:$D,4,0),0)</f>
        <v>1250000</v>
      </c>
      <c r="P1022">
        <f>IFERROR(VLOOKUP(J1022,Source_Assumptions!$A:$C,3,0),0)</f>
        <v>300</v>
      </c>
    </row>
    <row r="1023" spans="1:16" x14ac:dyDescent="0.3">
      <c r="A1023">
        <f>Raw_Data!A1023</f>
        <v>1022</v>
      </c>
      <c r="B1023" s="2">
        <f>Raw_Data!B1023</f>
        <v>45350.7167708333</v>
      </c>
      <c r="C1023">
        <f>YEAR(Raw_Data!B1023)</f>
        <v>2024</v>
      </c>
      <c r="D1023" t="str">
        <f>IF(MONTH(Raw_Data!B1023)&gt;=4,YEAR(Raw_Data!B1023)&amp;"-"&amp;RIGHT(YEAR(Raw_Data!B1023)+1,2),YEAR(Raw_Data!B1023)-1&amp;"-"&amp;RIGHT(YEAR(Raw_Data!B1023),2))</f>
        <v>2023-24</v>
      </c>
      <c r="E1023" t="str">
        <f>"Q"&amp;ROUNDUP(MONTH(Raw_Data!B1023)/3,0)</f>
        <v>Q1</v>
      </c>
      <c r="F1023" t="str">
        <f>TEXT(Raw_Data!B1023,"mmm")</f>
        <v>Feb</v>
      </c>
      <c r="G1023" t="str">
        <f>TEXT(Raw_Data!B1023,"ddd")</f>
        <v>Wed</v>
      </c>
      <c r="H1023" t="str">
        <f>Raw_Data!D1023</f>
        <v>Invoiced</v>
      </c>
      <c r="I1023" t="str">
        <f>Raw_Data!F1023</f>
        <v>Tele-in</v>
      </c>
      <c r="J1023" t="str">
        <f>Raw_Data!G1023</f>
        <v>Dealer Webpage Tele-In</v>
      </c>
      <c r="K1023" t="str">
        <f>IFERROR(VLOOKUP(J1023,Source_Assumptions!$A:$C,2,0),"Unmapped")</f>
        <v>Digital - Owned</v>
      </c>
      <c r="L1023" t="str">
        <f>Raw_Data!H1023</f>
        <v>ELEVATE</v>
      </c>
      <c r="M1023" t="str">
        <f>IFERROR(VLOOKUP(L1023,Model_Assumptions!$A:$D,2,0),"Unmapped")</f>
        <v>Compact SUV</v>
      </c>
      <c r="N1023" t="str">
        <f>IFERROR(VLOOKUP(L1023,Model_Assumptions!$A:$D,3,0),"Unmapped")</f>
        <v>Petrol</v>
      </c>
      <c r="O1023">
        <f>IFERROR(VLOOKUP(L1023,Model_Assumptions!$A:$D,4,0),0)</f>
        <v>1300000</v>
      </c>
      <c r="P1023">
        <f>IFERROR(VLOOKUP(J1023,Source_Assumptions!$A:$C,3,0),0)</f>
        <v>300</v>
      </c>
    </row>
    <row r="1024" spans="1:16" x14ac:dyDescent="0.3">
      <c r="A1024">
        <f>Raw_Data!A1024</f>
        <v>1023</v>
      </c>
      <c r="B1024" s="2">
        <f>Raw_Data!B1024</f>
        <v>45350.738634259302</v>
      </c>
      <c r="C1024">
        <f>YEAR(Raw_Data!B1024)</f>
        <v>2024</v>
      </c>
      <c r="D1024" t="str">
        <f>IF(MONTH(Raw_Data!B1024)&gt;=4,YEAR(Raw_Data!B1024)&amp;"-"&amp;RIGHT(YEAR(Raw_Data!B1024)+1,2),YEAR(Raw_Data!B1024)-1&amp;"-"&amp;RIGHT(YEAR(Raw_Data!B1024),2))</f>
        <v>2023-24</v>
      </c>
      <c r="E1024" t="str">
        <f>"Q"&amp;ROUNDUP(MONTH(Raw_Data!B1024)/3,0)</f>
        <v>Q1</v>
      </c>
      <c r="F1024" t="str">
        <f>TEXT(Raw_Data!B1024,"mmm")</f>
        <v>Feb</v>
      </c>
      <c r="G1024" t="str">
        <f>TEXT(Raw_Data!B1024,"ddd")</f>
        <v>Wed</v>
      </c>
      <c r="H1024" t="str">
        <f>Raw_Data!D1024</f>
        <v>Invoiced</v>
      </c>
      <c r="I1024" t="str">
        <f>Raw_Data!F1024</f>
        <v>Walk-in Showroom</v>
      </c>
      <c r="J1024" t="str">
        <f>Raw_Data!G1024</f>
        <v>Adver. (TVC/Print/Hoarding/FM)</v>
      </c>
      <c r="K1024" t="str">
        <f>IFERROR(VLOOKUP(J1024,Source_Assumptions!$A:$C,2,0),"Unmapped")</f>
        <v>Traditional Advertising</v>
      </c>
      <c r="L1024" t="str">
        <f>Raw_Data!H1024</f>
        <v>5TH GEN CITY PE</v>
      </c>
      <c r="M1024" t="str">
        <f>IFERROR(VLOOKUP(L1024,Model_Assumptions!$A:$D,2,0),"Unmapped")</f>
        <v>Mid-size Sedan</v>
      </c>
      <c r="N1024" t="str">
        <f>IFERROR(VLOOKUP(L1024,Model_Assumptions!$A:$D,3,0),"Unmapped")</f>
        <v>Petrol</v>
      </c>
      <c r="O1024">
        <f>IFERROR(VLOOKUP(L1024,Model_Assumptions!$A:$D,4,0),0)</f>
        <v>1250000</v>
      </c>
      <c r="P1024">
        <f>IFERROR(VLOOKUP(J1024,Source_Assumptions!$A:$C,3,0),0)</f>
        <v>1200</v>
      </c>
    </row>
    <row r="1025" spans="1:16" x14ac:dyDescent="0.3">
      <c r="A1025">
        <f>Raw_Data!A1025</f>
        <v>1024</v>
      </c>
      <c r="B1025" s="2">
        <f>Raw_Data!B1025</f>
        <v>45351.386412036998</v>
      </c>
      <c r="C1025">
        <f>YEAR(Raw_Data!B1025)</f>
        <v>2024</v>
      </c>
      <c r="D1025" t="str">
        <f>IF(MONTH(Raw_Data!B1025)&gt;=4,YEAR(Raw_Data!B1025)&amp;"-"&amp;RIGHT(YEAR(Raw_Data!B1025)+1,2),YEAR(Raw_Data!B1025)-1&amp;"-"&amp;RIGHT(YEAR(Raw_Data!B1025),2))</f>
        <v>2023-24</v>
      </c>
      <c r="E1025" t="str">
        <f>"Q"&amp;ROUNDUP(MONTH(Raw_Data!B1025)/3,0)</f>
        <v>Q1</v>
      </c>
      <c r="F1025" t="str">
        <f>TEXT(Raw_Data!B1025,"mmm")</f>
        <v>Feb</v>
      </c>
      <c r="G1025" t="str">
        <f>TEXT(Raw_Data!B1025,"ddd")</f>
        <v>Thu</v>
      </c>
      <c r="H1025" t="str">
        <f>Raw_Data!D1025</f>
        <v>Invoiced</v>
      </c>
      <c r="I1025" t="str">
        <f>Raw_Data!F1025</f>
        <v>Tele-in</v>
      </c>
      <c r="J1025" t="str">
        <f>Raw_Data!G1025</f>
        <v>Dealer Webpage Tele-In</v>
      </c>
      <c r="K1025" t="str">
        <f>IFERROR(VLOOKUP(J1025,Source_Assumptions!$A:$C,2,0),"Unmapped")</f>
        <v>Digital - Owned</v>
      </c>
      <c r="L1025" t="str">
        <f>Raw_Data!H1025</f>
        <v>ELEVATE</v>
      </c>
      <c r="M1025" t="str">
        <f>IFERROR(VLOOKUP(L1025,Model_Assumptions!$A:$D,2,0),"Unmapped")</f>
        <v>Compact SUV</v>
      </c>
      <c r="N1025" t="str">
        <f>IFERROR(VLOOKUP(L1025,Model_Assumptions!$A:$D,3,0),"Unmapped")</f>
        <v>Petrol</v>
      </c>
      <c r="O1025">
        <f>IFERROR(VLOOKUP(L1025,Model_Assumptions!$A:$D,4,0),0)</f>
        <v>1300000</v>
      </c>
      <c r="P1025">
        <f>IFERROR(VLOOKUP(J1025,Source_Assumptions!$A:$C,3,0),0)</f>
        <v>300</v>
      </c>
    </row>
    <row r="1026" spans="1:16" x14ac:dyDescent="0.3">
      <c r="A1026">
        <f>Raw_Data!A1026</f>
        <v>1025</v>
      </c>
      <c r="B1026" s="2">
        <f>Raw_Data!B1026</f>
        <v>45351.5105555556</v>
      </c>
      <c r="C1026">
        <f>YEAR(Raw_Data!B1026)</f>
        <v>2024</v>
      </c>
      <c r="D1026" t="str">
        <f>IF(MONTH(Raw_Data!B1026)&gt;=4,YEAR(Raw_Data!B1026)&amp;"-"&amp;RIGHT(YEAR(Raw_Data!B1026)+1,2),YEAR(Raw_Data!B1026)-1&amp;"-"&amp;RIGHT(YEAR(Raw_Data!B1026),2))</f>
        <v>2023-24</v>
      </c>
      <c r="E1026" t="str">
        <f>"Q"&amp;ROUNDUP(MONTH(Raw_Data!B1026)/3,0)</f>
        <v>Q1</v>
      </c>
      <c r="F1026" t="str">
        <f>TEXT(Raw_Data!B1026,"mmm")</f>
        <v>Feb</v>
      </c>
      <c r="G1026" t="str">
        <f>TEXT(Raw_Data!B1026,"ddd")</f>
        <v>Thu</v>
      </c>
      <c r="H1026" t="str">
        <f>Raw_Data!D1026</f>
        <v>Invoiced</v>
      </c>
      <c r="I1026" t="str">
        <f>Raw_Data!F1026</f>
        <v>SMS/ Tele-Out</v>
      </c>
      <c r="J1026" t="str">
        <f>Raw_Data!G1026</f>
        <v>Database Activity(Teleout/SMS)</v>
      </c>
      <c r="K1026" t="str">
        <f>IFERROR(VLOOKUP(J1026,Source_Assumptions!$A:$C,2,0),"Unmapped")</f>
        <v>Outbound/Database</v>
      </c>
      <c r="L1026" t="str">
        <f>Raw_Data!H1026</f>
        <v>AMAZE Petrol</v>
      </c>
      <c r="M1026" t="str">
        <f>IFERROR(VLOOKUP(L1026,Model_Assumptions!$A:$D,2,0),"Unmapped")</f>
        <v>Sub-4m Sedan</v>
      </c>
      <c r="N1026" t="str">
        <f>IFERROR(VLOOKUP(L1026,Model_Assumptions!$A:$D,3,0),"Unmapped")</f>
        <v>Petrol</v>
      </c>
      <c r="O1026">
        <f>IFERROR(VLOOKUP(L1026,Model_Assumptions!$A:$D,4,0),0)</f>
        <v>850000</v>
      </c>
      <c r="P1026">
        <f>IFERROR(VLOOKUP(J1026,Source_Assumptions!$A:$C,3,0),0)</f>
        <v>250</v>
      </c>
    </row>
    <row r="1027" spans="1:16" x14ac:dyDescent="0.3">
      <c r="A1027">
        <f>Raw_Data!A1027</f>
        <v>1026</v>
      </c>
      <c r="B1027" s="2">
        <f>Raw_Data!B1027</f>
        <v>45351.658622685201</v>
      </c>
      <c r="C1027">
        <f>YEAR(Raw_Data!B1027)</f>
        <v>2024</v>
      </c>
      <c r="D1027" t="str">
        <f>IF(MONTH(Raw_Data!B1027)&gt;=4,YEAR(Raw_Data!B1027)&amp;"-"&amp;RIGHT(YEAR(Raw_Data!B1027)+1,2),YEAR(Raw_Data!B1027)-1&amp;"-"&amp;RIGHT(YEAR(Raw_Data!B1027),2))</f>
        <v>2023-24</v>
      </c>
      <c r="E1027" t="str">
        <f>"Q"&amp;ROUNDUP(MONTH(Raw_Data!B1027)/3,0)</f>
        <v>Q1</v>
      </c>
      <c r="F1027" t="str">
        <f>TEXT(Raw_Data!B1027,"mmm")</f>
        <v>Feb</v>
      </c>
      <c r="G1027" t="str">
        <f>TEXT(Raw_Data!B1027,"ddd")</f>
        <v>Thu</v>
      </c>
      <c r="H1027" t="str">
        <f>Raw_Data!D1027</f>
        <v>Invoiced</v>
      </c>
      <c r="I1027" t="str">
        <f>Raw_Data!F1027</f>
        <v>SMS/ Tele-Out</v>
      </c>
      <c r="J1027" t="str">
        <f>Raw_Data!G1027</f>
        <v>Database Activity(Teleout/SMS)</v>
      </c>
      <c r="K1027" t="str">
        <f>IFERROR(VLOOKUP(J1027,Source_Assumptions!$A:$C,2,0),"Unmapped")</f>
        <v>Outbound/Database</v>
      </c>
      <c r="L1027" t="str">
        <f>Raw_Data!H1027</f>
        <v>5TH GEN CITY PE</v>
      </c>
      <c r="M1027" t="str">
        <f>IFERROR(VLOOKUP(L1027,Model_Assumptions!$A:$D,2,0),"Unmapped")</f>
        <v>Mid-size Sedan</v>
      </c>
      <c r="N1027" t="str">
        <f>IFERROR(VLOOKUP(L1027,Model_Assumptions!$A:$D,3,0),"Unmapped")</f>
        <v>Petrol</v>
      </c>
      <c r="O1027">
        <f>IFERROR(VLOOKUP(L1027,Model_Assumptions!$A:$D,4,0),0)</f>
        <v>1250000</v>
      </c>
      <c r="P1027">
        <f>IFERROR(VLOOKUP(J1027,Source_Assumptions!$A:$C,3,0),0)</f>
        <v>250</v>
      </c>
    </row>
    <row r="1028" spans="1:16" x14ac:dyDescent="0.3">
      <c r="A1028">
        <f>Raw_Data!A1028</f>
        <v>1027</v>
      </c>
      <c r="B1028" s="2">
        <f>Raw_Data!B1028</f>
        <v>45351.685810185198</v>
      </c>
      <c r="C1028">
        <f>YEAR(Raw_Data!B1028)</f>
        <v>2024</v>
      </c>
      <c r="D1028" t="str">
        <f>IF(MONTH(Raw_Data!B1028)&gt;=4,YEAR(Raw_Data!B1028)&amp;"-"&amp;RIGHT(YEAR(Raw_Data!B1028)+1,2),YEAR(Raw_Data!B1028)-1&amp;"-"&amp;RIGHT(YEAR(Raw_Data!B1028),2))</f>
        <v>2023-24</v>
      </c>
      <c r="E1028" t="str">
        <f>"Q"&amp;ROUNDUP(MONTH(Raw_Data!B1028)/3,0)</f>
        <v>Q1</v>
      </c>
      <c r="F1028" t="str">
        <f>TEXT(Raw_Data!B1028,"mmm")</f>
        <v>Feb</v>
      </c>
      <c r="G1028" t="str">
        <f>TEXT(Raw_Data!B1028,"ddd")</f>
        <v>Thu</v>
      </c>
      <c r="H1028" t="str">
        <f>Raw_Data!D1028</f>
        <v>Invoiced</v>
      </c>
      <c r="I1028" t="str">
        <f>Raw_Data!F1028</f>
        <v>Tele-in</v>
      </c>
      <c r="J1028" t="str">
        <f>Raw_Data!G1028</f>
        <v>Dealer Webpage Tele-In</v>
      </c>
      <c r="K1028" t="str">
        <f>IFERROR(VLOOKUP(J1028,Source_Assumptions!$A:$C,2,0),"Unmapped")</f>
        <v>Digital - Owned</v>
      </c>
      <c r="L1028" t="str">
        <f>Raw_Data!H1028</f>
        <v>AMAZE Petrol</v>
      </c>
      <c r="M1028" t="str">
        <f>IFERROR(VLOOKUP(L1028,Model_Assumptions!$A:$D,2,0),"Unmapped")</f>
        <v>Sub-4m Sedan</v>
      </c>
      <c r="N1028" t="str">
        <f>IFERROR(VLOOKUP(L1028,Model_Assumptions!$A:$D,3,0),"Unmapped")</f>
        <v>Petrol</v>
      </c>
      <c r="O1028">
        <f>IFERROR(VLOOKUP(L1028,Model_Assumptions!$A:$D,4,0),0)</f>
        <v>850000</v>
      </c>
      <c r="P1028">
        <f>IFERROR(VLOOKUP(J1028,Source_Assumptions!$A:$C,3,0),0)</f>
        <v>300</v>
      </c>
    </row>
    <row r="1029" spans="1:16" x14ac:dyDescent="0.3">
      <c r="A1029">
        <f>Raw_Data!A1029</f>
        <v>1028</v>
      </c>
      <c r="B1029" s="2">
        <f>Raw_Data!B1029</f>
        <v>45351.808518518497</v>
      </c>
      <c r="C1029">
        <f>YEAR(Raw_Data!B1029)</f>
        <v>2024</v>
      </c>
      <c r="D1029" t="str">
        <f>IF(MONTH(Raw_Data!B1029)&gt;=4,YEAR(Raw_Data!B1029)&amp;"-"&amp;RIGHT(YEAR(Raw_Data!B1029)+1,2),YEAR(Raw_Data!B1029)-1&amp;"-"&amp;RIGHT(YEAR(Raw_Data!B1029),2))</f>
        <v>2023-24</v>
      </c>
      <c r="E1029" t="str">
        <f>"Q"&amp;ROUNDUP(MONTH(Raw_Data!B1029)/3,0)</f>
        <v>Q1</v>
      </c>
      <c r="F1029" t="str">
        <f>TEXT(Raw_Data!B1029,"mmm")</f>
        <v>Feb</v>
      </c>
      <c r="G1029" t="str">
        <f>TEXT(Raw_Data!B1029,"ddd")</f>
        <v>Thu</v>
      </c>
      <c r="H1029" t="str">
        <f>Raw_Data!D1029</f>
        <v>Invoiced</v>
      </c>
      <c r="I1029" t="str">
        <f>Raw_Data!F1029</f>
        <v>SMS/ Tele-Out</v>
      </c>
      <c r="J1029" t="str">
        <f>Raw_Data!G1029</f>
        <v>Referral-CAM</v>
      </c>
      <c r="K1029" t="str">
        <f>IFERROR(VLOOKUP(J1029,Source_Assumptions!$A:$C,2,0),"Unmapped")</f>
        <v>Referral</v>
      </c>
      <c r="L1029" t="str">
        <f>Raw_Data!H1029</f>
        <v>ELEVATE</v>
      </c>
      <c r="M1029" t="str">
        <f>IFERROR(VLOOKUP(L1029,Model_Assumptions!$A:$D,2,0),"Unmapped")</f>
        <v>Compact SUV</v>
      </c>
      <c r="N1029" t="str">
        <f>IFERROR(VLOOKUP(L1029,Model_Assumptions!$A:$D,3,0),"Unmapped")</f>
        <v>Petrol</v>
      </c>
      <c r="O1029">
        <f>IFERROR(VLOOKUP(L1029,Model_Assumptions!$A:$D,4,0),0)</f>
        <v>1300000</v>
      </c>
      <c r="P1029">
        <f>IFERROR(VLOOKUP(J1029,Source_Assumptions!$A:$C,3,0),0)</f>
        <v>150</v>
      </c>
    </row>
    <row r="1030" spans="1:16" x14ac:dyDescent="0.3">
      <c r="A1030">
        <f>Raw_Data!A1030</f>
        <v>1029</v>
      </c>
      <c r="B1030" s="2">
        <f>Raw_Data!B1030</f>
        <v>45356.521087963003</v>
      </c>
      <c r="C1030">
        <f>YEAR(Raw_Data!B1030)</f>
        <v>2024</v>
      </c>
      <c r="D1030" t="str">
        <f>IF(MONTH(Raw_Data!B1030)&gt;=4,YEAR(Raw_Data!B1030)&amp;"-"&amp;RIGHT(YEAR(Raw_Data!B1030)+1,2),YEAR(Raw_Data!B1030)-1&amp;"-"&amp;RIGHT(YEAR(Raw_Data!B1030),2))</f>
        <v>2023-24</v>
      </c>
      <c r="E1030" t="str">
        <f>"Q"&amp;ROUNDUP(MONTH(Raw_Data!B1030)/3,0)</f>
        <v>Q1</v>
      </c>
      <c r="F1030" t="str">
        <f>TEXT(Raw_Data!B1030,"mmm")</f>
        <v>Mar</v>
      </c>
      <c r="G1030" t="str">
        <f>TEXT(Raw_Data!B1030,"ddd")</f>
        <v>Tue</v>
      </c>
      <c r="H1030" t="str">
        <f>Raw_Data!D1030</f>
        <v>Invoiced</v>
      </c>
      <c r="I1030" t="str">
        <f>Raw_Data!F1030</f>
        <v>Tele-in</v>
      </c>
      <c r="J1030" t="str">
        <f>Raw_Data!G1030</f>
        <v>Dealer Webpage Tele-In</v>
      </c>
      <c r="K1030" t="str">
        <f>IFERROR(VLOOKUP(J1030,Source_Assumptions!$A:$C,2,0),"Unmapped")</f>
        <v>Digital - Owned</v>
      </c>
      <c r="L1030" t="str">
        <f>Raw_Data!H1030</f>
        <v>ELEVATE</v>
      </c>
      <c r="M1030" t="str">
        <f>IFERROR(VLOOKUP(L1030,Model_Assumptions!$A:$D,2,0),"Unmapped")</f>
        <v>Compact SUV</v>
      </c>
      <c r="N1030" t="str">
        <f>IFERROR(VLOOKUP(L1030,Model_Assumptions!$A:$D,3,0),"Unmapped")</f>
        <v>Petrol</v>
      </c>
      <c r="O1030">
        <f>IFERROR(VLOOKUP(L1030,Model_Assumptions!$A:$D,4,0),0)</f>
        <v>1300000</v>
      </c>
      <c r="P1030">
        <f>IFERROR(VLOOKUP(J1030,Source_Assumptions!$A:$C,3,0),0)</f>
        <v>300</v>
      </c>
    </row>
    <row r="1031" spans="1:16" x14ac:dyDescent="0.3">
      <c r="A1031">
        <f>Raw_Data!A1031</f>
        <v>1030</v>
      </c>
      <c r="B1031" s="2">
        <f>Raw_Data!B1031</f>
        <v>45357.542812500003</v>
      </c>
      <c r="C1031">
        <f>YEAR(Raw_Data!B1031)</f>
        <v>2024</v>
      </c>
      <c r="D1031" t="str">
        <f>IF(MONTH(Raw_Data!B1031)&gt;=4,YEAR(Raw_Data!B1031)&amp;"-"&amp;RIGHT(YEAR(Raw_Data!B1031)+1,2),YEAR(Raw_Data!B1031)-1&amp;"-"&amp;RIGHT(YEAR(Raw_Data!B1031),2))</f>
        <v>2023-24</v>
      </c>
      <c r="E1031" t="str">
        <f>"Q"&amp;ROUNDUP(MONTH(Raw_Data!B1031)/3,0)</f>
        <v>Q1</v>
      </c>
      <c r="F1031" t="str">
        <f>TEXT(Raw_Data!B1031,"mmm")</f>
        <v>Mar</v>
      </c>
      <c r="G1031" t="str">
        <f>TEXT(Raw_Data!B1031,"ddd")</f>
        <v>Wed</v>
      </c>
      <c r="H1031" t="str">
        <f>Raw_Data!D1031</f>
        <v>Invoiced</v>
      </c>
      <c r="I1031" t="str">
        <f>Raw_Data!F1031</f>
        <v>SMS/ Tele-Out</v>
      </c>
      <c r="J1031" t="str">
        <f>Raw_Data!G1031</f>
        <v>Database Activity(Teleout/SMS)</v>
      </c>
      <c r="K1031" t="str">
        <f>IFERROR(VLOOKUP(J1031,Source_Assumptions!$A:$C,2,0),"Unmapped")</f>
        <v>Outbound/Database</v>
      </c>
      <c r="L1031" t="str">
        <f>Raw_Data!H1031</f>
        <v>AMAZE Petrol</v>
      </c>
      <c r="M1031" t="str">
        <f>IFERROR(VLOOKUP(L1031,Model_Assumptions!$A:$D,2,0),"Unmapped")</f>
        <v>Sub-4m Sedan</v>
      </c>
      <c r="N1031" t="str">
        <f>IFERROR(VLOOKUP(L1031,Model_Assumptions!$A:$D,3,0),"Unmapped")</f>
        <v>Petrol</v>
      </c>
      <c r="O1031">
        <f>IFERROR(VLOOKUP(L1031,Model_Assumptions!$A:$D,4,0),0)</f>
        <v>850000</v>
      </c>
      <c r="P1031">
        <f>IFERROR(VLOOKUP(J1031,Source_Assumptions!$A:$C,3,0),0)</f>
        <v>250</v>
      </c>
    </row>
    <row r="1032" spans="1:16" x14ac:dyDescent="0.3">
      <c r="A1032">
        <f>Raw_Data!A1032</f>
        <v>1031</v>
      </c>
      <c r="B1032" s="2">
        <f>Raw_Data!B1032</f>
        <v>45357.690520833297</v>
      </c>
      <c r="C1032">
        <f>YEAR(Raw_Data!B1032)</f>
        <v>2024</v>
      </c>
      <c r="D1032" t="str">
        <f>IF(MONTH(Raw_Data!B1032)&gt;=4,YEAR(Raw_Data!B1032)&amp;"-"&amp;RIGHT(YEAR(Raw_Data!B1032)+1,2),YEAR(Raw_Data!B1032)-1&amp;"-"&amp;RIGHT(YEAR(Raw_Data!B1032),2))</f>
        <v>2023-24</v>
      </c>
      <c r="E1032" t="str">
        <f>"Q"&amp;ROUNDUP(MONTH(Raw_Data!B1032)/3,0)</f>
        <v>Q1</v>
      </c>
      <c r="F1032" t="str">
        <f>TEXT(Raw_Data!B1032,"mmm")</f>
        <v>Mar</v>
      </c>
      <c r="G1032" t="str">
        <f>TEXT(Raw_Data!B1032,"ddd")</f>
        <v>Wed</v>
      </c>
      <c r="H1032" t="str">
        <f>Raw_Data!D1032</f>
        <v>Invoiced</v>
      </c>
      <c r="I1032" t="str">
        <f>Raw_Data!F1032</f>
        <v>Tele-in</v>
      </c>
      <c r="J1032" t="str">
        <f>Raw_Data!G1032</f>
        <v>Dealer Webpage Tele-In</v>
      </c>
      <c r="K1032" t="str">
        <f>IFERROR(VLOOKUP(J1032,Source_Assumptions!$A:$C,2,0),"Unmapped")</f>
        <v>Digital - Owned</v>
      </c>
      <c r="L1032" t="str">
        <f>Raw_Data!H1032</f>
        <v>ELEVATE</v>
      </c>
      <c r="M1032" t="str">
        <f>IFERROR(VLOOKUP(L1032,Model_Assumptions!$A:$D,2,0),"Unmapped")</f>
        <v>Compact SUV</v>
      </c>
      <c r="N1032" t="str">
        <f>IFERROR(VLOOKUP(L1032,Model_Assumptions!$A:$D,3,0),"Unmapped")</f>
        <v>Petrol</v>
      </c>
      <c r="O1032">
        <f>IFERROR(VLOOKUP(L1032,Model_Assumptions!$A:$D,4,0),0)</f>
        <v>1300000</v>
      </c>
      <c r="P1032">
        <f>IFERROR(VLOOKUP(J1032,Source_Assumptions!$A:$C,3,0),0)</f>
        <v>300</v>
      </c>
    </row>
    <row r="1033" spans="1:16" x14ac:dyDescent="0.3">
      <c r="A1033">
        <f>Raw_Data!A1033</f>
        <v>1032</v>
      </c>
      <c r="B1033" s="2">
        <f>Raw_Data!B1033</f>
        <v>45358.446400462999</v>
      </c>
      <c r="C1033">
        <f>YEAR(Raw_Data!B1033)</f>
        <v>2024</v>
      </c>
      <c r="D1033" t="str">
        <f>IF(MONTH(Raw_Data!B1033)&gt;=4,YEAR(Raw_Data!B1033)&amp;"-"&amp;RIGHT(YEAR(Raw_Data!B1033)+1,2),YEAR(Raw_Data!B1033)-1&amp;"-"&amp;RIGHT(YEAR(Raw_Data!B1033),2))</f>
        <v>2023-24</v>
      </c>
      <c r="E1033" t="str">
        <f>"Q"&amp;ROUNDUP(MONTH(Raw_Data!B1033)/3,0)</f>
        <v>Q1</v>
      </c>
      <c r="F1033" t="str">
        <f>TEXT(Raw_Data!B1033,"mmm")</f>
        <v>Mar</v>
      </c>
      <c r="G1033" t="str">
        <f>TEXT(Raw_Data!B1033,"ddd")</f>
        <v>Thu</v>
      </c>
      <c r="H1033" t="str">
        <f>Raw_Data!D1033</f>
        <v>Invoiced</v>
      </c>
      <c r="I1033" t="str">
        <f>Raw_Data!F1033</f>
        <v>Tele-in</v>
      </c>
      <c r="J1033" t="str">
        <f>Raw_Data!G1033</f>
        <v>Referral-CAM</v>
      </c>
      <c r="K1033" t="str">
        <f>IFERROR(VLOOKUP(J1033,Source_Assumptions!$A:$C,2,0),"Unmapped")</f>
        <v>Referral</v>
      </c>
      <c r="L1033" t="str">
        <f>Raw_Data!H1033</f>
        <v>ELEVATE</v>
      </c>
      <c r="M1033" t="str">
        <f>IFERROR(VLOOKUP(L1033,Model_Assumptions!$A:$D,2,0),"Unmapped")</f>
        <v>Compact SUV</v>
      </c>
      <c r="N1033" t="str">
        <f>IFERROR(VLOOKUP(L1033,Model_Assumptions!$A:$D,3,0),"Unmapped")</f>
        <v>Petrol</v>
      </c>
      <c r="O1033">
        <f>IFERROR(VLOOKUP(L1033,Model_Assumptions!$A:$D,4,0),0)</f>
        <v>1300000</v>
      </c>
      <c r="P1033">
        <f>IFERROR(VLOOKUP(J1033,Source_Assumptions!$A:$C,3,0),0)</f>
        <v>150</v>
      </c>
    </row>
    <row r="1034" spans="1:16" x14ac:dyDescent="0.3">
      <c r="A1034">
        <f>Raw_Data!A1034</f>
        <v>1033</v>
      </c>
      <c r="B1034" s="2">
        <f>Raw_Data!B1034</f>
        <v>45358.661226851902</v>
      </c>
      <c r="C1034">
        <f>YEAR(Raw_Data!B1034)</f>
        <v>2024</v>
      </c>
      <c r="D1034" t="str">
        <f>IF(MONTH(Raw_Data!B1034)&gt;=4,YEAR(Raw_Data!B1034)&amp;"-"&amp;RIGHT(YEAR(Raw_Data!B1034)+1,2),YEAR(Raw_Data!B1034)-1&amp;"-"&amp;RIGHT(YEAR(Raw_Data!B1034),2))</f>
        <v>2023-24</v>
      </c>
      <c r="E1034" t="str">
        <f>"Q"&amp;ROUNDUP(MONTH(Raw_Data!B1034)/3,0)</f>
        <v>Q1</v>
      </c>
      <c r="F1034" t="str">
        <f>TEXT(Raw_Data!B1034,"mmm")</f>
        <v>Mar</v>
      </c>
      <c r="G1034" t="str">
        <f>TEXT(Raw_Data!B1034,"ddd")</f>
        <v>Thu</v>
      </c>
      <c r="H1034" t="str">
        <f>Raw_Data!D1034</f>
        <v>Invoiced</v>
      </c>
      <c r="I1034" t="str">
        <f>Raw_Data!F1034</f>
        <v>Tele-in</v>
      </c>
      <c r="J1034" t="str">
        <f>Raw_Data!G1034</f>
        <v>Dealer Webpage Tele-In</v>
      </c>
      <c r="K1034" t="str">
        <f>IFERROR(VLOOKUP(J1034,Source_Assumptions!$A:$C,2,0),"Unmapped")</f>
        <v>Digital - Owned</v>
      </c>
      <c r="L1034" t="str">
        <f>Raw_Data!H1034</f>
        <v>5TH GEN CITY PE</v>
      </c>
      <c r="M1034" t="str">
        <f>IFERROR(VLOOKUP(L1034,Model_Assumptions!$A:$D,2,0),"Unmapped")</f>
        <v>Mid-size Sedan</v>
      </c>
      <c r="N1034" t="str">
        <f>IFERROR(VLOOKUP(L1034,Model_Assumptions!$A:$D,3,0),"Unmapped")</f>
        <v>Petrol</v>
      </c>
      <c r="O1034">
        <f>IFERROR(VLOOKUP(L1034,Model_Assumptions!$A:$D,4,0),0)</f>
        <v>1250000</v>
      </c>
      <c r="P1034">
        <f>IFERROR(VLOOKUP(J1034,Source_Assumptions!$A:$C,3,0),0)</f>
        <v>300</v>
      </c>
    </row>
    <row r="1035" spans="1:16" x14ac:dyDescent="0.3">
      <c r="A1035">
        <f>Raw_Data!A1035</f>
        <v>1034</v>
      </c>
      <c r="B1035" s="2">
        <f>Raw_Data!B1035</f>
        <v>45358.7166782407</v>
      </c>
      <c r="C1035">
        <f>YEAR(Raw_Data!B1035)</f>
        <v>2024</v>
      </c>
      <c r="D1035" t="str">
        <f>IF(MONTH(Raw_Data!B1035)&gt;=4,YEAR(Raw_Data!B1035)&amp;"-"&amp;RIGHT(YEAR(Raw_Data!B1035)+1,2),YEAR(Raw_Data!B1035)-1&amp;"-"&amp;RIGHT(YEAR(Raw_Data!B1035),2))</f>
        <v>2023-24</v>
      </c>
      <c r="E1035" t="str">
        <f>"Q"&amp;ROUNDUP(MONTH(Raw_Data!B1035)/3,0)</f>
        <v>Q1</v>
      </c>
      <c r="F1035" t="str">
        <f>TEXT(Raw_Data!B1035,"mmm")</f>
        <v>Mar</v>
      </c>
      <c r="G1035" t="str">
        <f>TEXT(Raw_Data!B1035,"ddd")</f>
        <v>Thu</v>
      </c>
      <c r="H1035" t="str">
        <f>Raw_Data!D1035</f>
        <v>Invoiced</v>
      </c>
      <c r="I1035" t="str">
        <f>Raw_Data!F1035</f>
        <v>Walk-in Event</v>
      </c>
      <c r="J1035" t="str">
        <f>Raw_Data!G1035</f>
        <v>Event</v>
      </c>
      <c r="K1035" t="str">
        <f>IFERROR(VLOOKUP(J1035,Source_Assumptions!$A:$C,2,0),"Unmapped")</f>
        <v>Event/Offline</v>
      </c>
      <c r="L1035" t="str">
        <f>Raw_Data!H1035</f>
        <v>5TH GEN CITY PE</v>
      </c>
      <c r="M1035" t="str">
        <f>IFERROR(VLOOKUP(L1035,Model_Assumptions!$A:$D,2,0),"Unmapped")</f>
        <v>Mid-size Sedan</v>
      </c>
      <c r="N1035" t="str">
        <f>IFERROR(VLOOKUP(L1035,Model_Assumptions!$A:$D,3,0),"Unmapped")</f>
        <v>Petrol</v>
      </c>
      <c r="O1035">
        <f>IFERROR(VLOOKUP(L1035,Model_Assumptions!$A:$D,4,0),0)</f>
        <v>1250000</v>
      </c>
      <c r="P1035">
        <f>IFERROR(VLOOKUP(J1035,Source_Assumptions!$A:$C,3,0),0)</f>
        <v>1500</v>
      </c>
    </row>
    <row r="1036" spans="1:16" x14ac:dyDescent="0.3">
      <c r="A1036">
        <f>Raw_Data!A1036</f>
        <v>1035</v>
      </c>
      <c r="B1036" s="2">
        <f>Raw_Data!B1036</f>
        <v>45362.491006944401</v>
      </c>
      <c r="C1036">
        <f>YEAR(Raw_Data!B1036)</f>
        <v>2024</v>
      </c>
      <c r="D1036" t="str">
        <f>IF(MONTH(Raw_Data!B1036)&gt;=4,YEAR(Raw_Data!B1036)&amp;"-"&amp;RIGHT(YEAR(Raw_Data!B1036)+1,2),YEAR(Raw_Data!B1036)-1&amp;"-"&amp;RIGHT(YEAR(Raw_Data!B1036),2))</f>
        <v>2023-24</v>
      </c>
      <c r="E1036" t="str">
        <f>"Q"&amp;ROUNDUP(MONTH(Raw_Data!B1036)/3,0)</f>
        <v>Q1</v>
      </c>
      <c r="F1036" t="str">
        <f>TEXT(Raw_Data!B1036,"mmm")</f>
        <v>Mar</v>
      </c>
      <c r="G1036" t="str">
        <f>TEXT(Raw_Data!B1036,"ddd")</f>
        <v>Mon</v>
      </c>
      <c r="H1036" t="str">
        <f>Raw_Data!D1036</f>
        <v>Invoiced</v>
      </c>
      <c r="I1036" t="str">
        <f>Raw_Data!F1036</f>
        <v>Tele-in</v>
      </c>
      <c r="J1036" t="str">
        <f>Raw_Data!G1036</f>
        <v>Referral-CAM</v>
      </c>
      <c r="K1036" t="str">
        <f>IFERROR(VLOOKUP(J1036,Source_Assumptions!$A:$C,2,0),"Unmapped")</f>
        <v>Referral</v>
      </c>
      <c r="L1036" t="str">
        <f>Raw_Data!H1036</f>
        <v>ELEVATE</v>
      </c>
      <c r="M1036" t="str">
        <f>IFERROR(VLOOKUP(L1036,Model_Assumptions!$A:$D,2,0),"Unmapped")</f>
        <v>Compact SUV</v>
      </c>
      <c r="N1036" t="str">
        <f>IFERROR(VLOOKUP(L1036,Model_Assumptions!$A:$D,3,0),"Unmapped")</f>
        <v>Petrol</v>
      </c>
      <c r="O1036">
        <f>IFERROR(VLOOKUP(L1036,Model_Assumptions!$A:$D,4,0),0)</f>
        <v>1300000</v>
      </c>
      <c r="P1036">
        <f>IFERROR(VLOOKUP(J1036,Source_Assumptions!$A:$C,3,0),0)</f>
        <v>150</v>
      </c>
    </row>
    <row r="1037" spans="1:16" x14ac:dyDescent="0.3">
      <c r="A1037">
        <f>Raw_Data!A1037</f>
        <v>1036</v>
      </c>
      <c r="B1037" s="2">
        <f>Raw_Data!B1037</f>
        <v>45365.487407407403</v>
      </c>
      <c r="C1037">
        <f>YEAR(Raw_Data!B1037)</f>
        <v>2024</v>
      </c>
      <c r="D1037" t="str">
        <f>IF(MONTH(Raw_Data!B1037)&gt;=4,YEAR(Raw_Data!B1037)&amp;"-"&amp;RIGHT(YEAR(Raw_Data!B1037)+1,2),YEAR(Raw_Data!B1037)-1&amp;"-"&amp;RIGHT(YEAR(Raw_Data!B1037),2))</f>
        <v>2023-24</v>
      </c>
      <c r="E1037" t="str">
        <f>"Q"&amp;ROUNDUP(MONTH(Raw_Data!B1037)/3,0)</f>
        <v>Q1</v>
      </c>
      <c r="F1037" t="str">
        <f>TEXT(Raw_Data!B1037,"mmm")</f>
        <v>Mar</v>
      </c>
      <c r="G1037" t="str">
        <f>TEXT(Raw_Data!B1037,"ddd")</f>
        <v>Thu</v>
      </c>
      <c r="H1037" t="str">
        <f>Raw_Data!D1037</f>
        <v>Invoiced</v>
      </c>
      <c r="I1037" t="str">
        <f>Raw_Data!F1037</f>
        <v>Tele-in</v>
      </c>
      <c r="J1037" t="str">
        <f>Raw_Data!G1037</f>
        <v>Referral-CAM</v>
      </c>
      <c r="K1037" t="str">
        <f>IFERROR(VLOOKUP(J1037,Source_Assumptions!$A:$C,2,0),"Unmapped")</f>
        <v>Referral</v>
      </c>
      <c r="L1037" t="str">
        <f>Raw_Data!H1037</f>
        <v>AMAZE Petrol</v>
      </c>
      <c r="M1037" t="str">
        <f>IFERROR(VLOOKUP(L1037,Model_Assumptions!$A:$D,2,0),"Unmapped")</f>
        <v>Sub-4m Sedan</v>
      </c>
      <c r="N1037" t="str">
        <f>IFERROR(VLOOKUP(L1037,Model_Assumptions!$A:$D,3,0),"Unmapped")</f>
        <v>Petrol</v>
      </c>
      <c r="O1037">
        <f>IFERROR(VLOOKUP(L1037,Model_Assumptions!$A:$D,4,0),0)</f>
        <v>850000</v>
      </c>
      <c r="P1037">
        <f>IFERROR(VLOOKUP(J1037,Source_Assumptions!$A:$C,3,0),0)</f>
        <v>150</v>
      </c>
    </row>
    <row r="1038" spans="1:16" x14ac:dyDescent="0.3">
      <c r="A1038">
        <f>Raw_Data!A1038</f>
        <v>1037</v>
      </c>
      <c r="B1038" s="2">
        <f>Raw_Data!B1038</f>
        <v>45365.646469907399</v>
      </c>
      <c r="C1038">
        <f>YEAR(Raw_Data!B1038)</f>
        <v>2024</v>
      </c>
      <c r="D1038" t="str">
        <f>IF(MONTH(Raw_Data!B1038)&gt;=4,YEAR(Raw_Data!B1038)&amp;"-"&amp;RIGHT(YEAR(Raw_Data!B1038)+1,2),YEAR(Raw_Data!B1038)-1&amp;"-"&amp;RIGHT(YEAR(Raw_Data!B1038),2))</f>
        <v>2023-24</v>
      </c>
      <c r="E1038" t="str">
        <f>"Q"&amp;ROUNDUP(MONTH(Raw_Data!B1038)/3,0)</f>
        <v>Q1</v>
      </c>
      <c r="F1038" t="str">
        <f>TEXT(Raw_Data!B1038,"mmm")</f>
        <v>Mar</v>
      </c>
      <c r="G1038" t="str">
        <f>TEXT(Raw_Data!B1038,"ddd")</f>
        <v>Thu</v>
      </c>
      <c r="H1038" t="str">
        <f>Raw_Data!D1038</f>
        <v>Invoiced</v>
      </c>
      <c r="I1038" t="str">
        <f>Raw_Data!F1038</f>
        <v>Web Lead</v>
      </c>
      <c r="J1038" t="str">
        <f>Raw_Data!G1038</f>
        <v>Web</v>
      </c>
      <c r="K1038" t="str">
        <f>IFERROR(VLOOKUP(J1038,Source_Assumptions!$A:$C,2,0),"Unmapped")</f>
        <v>Digital - Owned</v>
      </c>
      <c r="L1038" t="str">
        <f>Raw_Data!H1038</f>
        <v>AMAZE Petrol</v>
      </c>
      <c r="M1038" t="str">
        <f>IFERROR(VLOOKUP(L1038,Model_Assumptions!$A:$D,2,0),"Unmapped")</f>
        <v>Sub-4m Sedan</v>
      </c>
      <c r="N1038" t="str">
        <f>IFERROR(VLOOKUP(L1038,Model_Assumptions!$A:$D,3,0),"Unmapped")</f>
        <v>Petrol</v>
      </c>
      <c r="O1038">
        <f>IFERROR(VLOOKUP(L1038,Model_Assumptions!$A:$D,4,0),0)</f>
        <v>850000</v>
      </c>
      <c r="P1038">
        <f>IFERROR(VLOOKUP(J1038,Source_Assumptions!$A:$C,3,0),0)</f>
        <v>300</v>
      </c>
    </row>
    <row r="1039" spans="1:16" x14ac:dyDescent="0.3">
      <c r="A1039">
        <f>Raw_Data!A1039</f>
        <v>1038</v>
      </c>
      <c r="B1039" s="2">
        <f>Raw_Data!B1039</f>
        <v>45367.459027777797</v>
      </c>
      <c r="C1039">
        <f>YEAR(Raw_Data!B1039)</f>
        <v>2024</v>
      </c>
      <c r="D1039" t="str">
        <f>IF(MONTH(Raw_Data!B1039)&gt;=4,YEAR(Raw_Data!B1039)&amp;"-"&amp;RIGHT(YEAR(Raw_Data!B1039)+1,2),YEAR(Raw_Data!B1039)-1&amp;"-"&amp;RIGHT(YEAR(Raw_Data!B1039),2))</f>
        <v>2023-24</v>
      </c>
      <c r="E1039" t="str">
        <f>"Q"&amp;ROUNDUP(MONTH(Raw_Data!B1039)/3,0)</f>
        <v>Q1</v>
      </c>
      <c r="F1039" t="str">
        <f>TEXT(Raw_Data!B1039,"mmm")</f>
        <v>Mar</v>
      </c>
      <c r="G1039" t="str">
        <f>TEXT(Raw_Data!B1039,"ddd")</f>
        <v>Sat</v>
      </c>
      <c r="H1039" t="str">
        <f>Raw_Data!D1039</f>
        <v>Invoiced</v>
      </c>
      <c r="I1039" t="str">
        <f>Raw_Data!F1039</f>
        <v>Tele-in</v>
      </c>
      <c r="J1039" t="str">
        <f>Raw_Data!G1039</f>
        <v>Referral-CAM</v>
      </c>
      <c r="K1039" t="str">
        <f>IFERROR(VLOOKUP(J1039,Source_Assumptions!$A:$C,2,0),"Unmapped")</f>
        <v>Referral</v>
      </c>
      <c r="L1039" t="str">
        <f>Raw_Data!H1039</f>
        <v>ELEVATE</v>
      </c>
      <c r="M1039" t="str">
        <f>IFERROR(VLOOKUP(L1039,Model_Assumptions!$A:$D,2,0),"Unmapped")</f>
        <v>Compact SUV</v>
      </c>
      <c r="N1039" t="str">
        <f>IFERROR(VLOOKUP(L1039,Model_Assumptions!$A:$D,3,0),"Unmapped")</f>
        <v>Petrol</v>
      </c>
      <c r="O1039">
        <f>IFERROR(VLOOKUP(L1039,Model_Assumptions!$A:$D,4,0),0)</f>
        <v>1300000</v>
      </c>
      <c r="P1039">
        <f>IFERROR(VLOOKUP(J1039,Source_Assumptions!$A:$C,3,0),0)</f>
        <v>150</v>
      </c>
    </row>
    <row r="1040" spans="1:16" x14ac:dyDescent="0.3">
      <c r="A1040">
        <f>Raw_Data!A1040</f>
        <v>1039</v>
      </c>
      <c r="B1040" s="2">
        <f>Raw_Data!B1040</f>
        <v>45369.608148148203</v>
      </c>
      <c r="C1040">
        <f>YEAR(Raw_Data!B1040)</f>
        <v>2024</v>
      </c>
      <c r="D1040" t="str">
        <f>IF(MONTH(Raw_Data!B1040)&gt;=4,YEAR(Raw_Data!B1040)&amp;"-"&amp;RIGHT(YEAR(Raw_Data!B1040)+1,2),YEAR(Raw_Data!B1040)-1&amp;"-"&amp;RIGHT(YEAR(Raw_Data!B1040),2))</f>
        <v>2023-24</v>
      </c>
      <c r="E1040" t="str">
        <f>"Q"&amp;ROUNDUP(MONTH(Raw_Data!B1040)/3,0)</f>
        <v>Q1</v>
      </c>
      <c r="F1040" t="str">
        <f>TEXT(Raw_Data!B1040,"mmm")</f>
        <v>Mar</v>
      </c>
      <c r="G1040" t="str">
        <f>TEXT(Raw_Data!B1040,"ddd")</f>
        <v>Mon</v>
      </c>
      <c r="H1040" t="str">
        <f>Raw_Data!D1040</f>
        <v>Invoiced</v>
      </c>
      <c r="I1040" t="str">
        <f>Raw_Data!F1040</f>
        <v>SMS/ Tele-Out</v>
      </c>
      <c r="J1040" t="str">
        <f>Raw_Data!G1040</f>
        <v>I-BAP Self</v>
      </c>
      <c r="K1040" t="str">
        <f>IFERROR(VLOOKUP(J1040,Source_Assumptions!$A:$C,2,0),"Unmapped")</f>
        <v>Referral (Insurance/Banking Partner)</v>
      </c>
      <c r="L1040" t="str">
        <f>Raw_Data!H1040</f>
        <v>ELEVATE</v>
      </c>
      <c r="M1040" t="str">
        <f>IFERROR(VLOOKUP(L1040,Model_Assumptions!$A:$D,2,0),"Unmapped")</f>
        <v>Compact SUV</v>
      </c>
      <c r="N1040" t="str">
        <f>IFERROR(VLOOKUP(L1040,Model_Assumptions!$A:$D,3,0),"Unmapped")</f>
        <v>Petrol</v>
      </c>
      <c r="O1040">
        <f>IFERROR(VLOOKUP(L1040,Model_Assumptions!$A:$D,4,0),0)</f>
        <v>1300000</v>
      </c>
      <c r="P1040">
        <f>IFERROR(VLOOKUP(J1040,Source_Assumptions!$A:$C,3,0),0)</f>
        <v>100</v>
      </c>
    </row>
    <row r="1041" spans="1:16" x14ac:dyDescent="0.3">
      <c r="A1041">
        <f>Raw_Data!A1041</f>
        <v>1040</v>
      </c>
      <c r="B1041" s="2">
        <f>Raw_Data!B1041</f>
        <v>45369.724976851903</v>
      </c>
      <c r="C1041">
        <f>YEAR(Raw_Data!B1041)</f>
        <v>2024</v>
      </c>
      <c r="D1041" t="str">
        <f>IF(MONTH(Raw_Data!B1041)&gt;=4,YEAR(Raw_Data!B1041)&amp;"-"&amp;RIGHT(YEAR(Raw_Data!B1041)+1,2),YEAR(Raw_Data!B1041)-1&amp;"-"&amp;RIGHT(YEAR(Raw_Data!B1041),2))</f>
        <v>2023-24</v>
      </c>
      <c r="E1041" t="str">
        <f>"Q"&amp;ROUNDUP(MONTH(Raw_Data!B1041)/3,0)</f>
        <v>Q1</v>
      </c>
      <c r="F1041" t="str">
        <f>TEXT(Raw_Data!B1041,"mmm")</f>
        <v>Mar</v>
      </c>
      <c r="G1041" t="str">
        <f>TEXT(Raw_Data!B1041,"ddd")</f>
        <v>Mon</v>
      </c>
      <c r="H1041" t="str">
        <f>Raw_Data!D1041</f>
        <v>Invoiced</v>
      </c>
      <c r="I1041" t="str">
        <f>Raw_Data!F1041</f>
        <v>Web Lead</v>
      </c>
      <c r="J1041" t="str">
        <f>Raw_Data!G1041</f>
        <v>Web_Facebook</v>
      </c>
      <c r="K1041" t="str">
        <f>IFERROR(VLOOKUP(J1041,Source_Assumptions!$A:$C,2,0),"Unmapped")</f>
        <v>Digital - Paid Social</v>
      </c>
      <c r="L1041" t="str">
        <f>Raw_Data!H1041</f>
        <v>ELEVATE</v>
      </c>
      <c r="M1041" t="str">
        <f>IFERROR(VLOOKUP(L1041,Model_Assumptions!$A:$D,2,0),"Unmapped")</f>
        <v>Compact SUV</v>
      </c>
      <c r="N1041" t="str">
        <f>IFERROR(VLOOKUP(L1041,Model_Assumptions!$A:$D,3,0),"Unmapped")</f>
        <v>Petrol</v>
      </c>
      <c r="O1041">
        <f>IFERROR(VLOOKUP(L1041,Model_Assumptions!$A:$D,4,0),0)</f>
        <v>1300000</v>
      </c>
      <c r="P1041">
        <f>IFERROR(VLOOKUP(J1041,Source_Assumptions!$A:$C,3,0),0)</f>
        <v>600</v>
      </c>
    </row>
    <row r="1042" spans="1:16" x14ac:dyDescent="0.3">
      <c r="A1042">
        <f>Raw_Data!A1042</f>
        <v>1041</v>
      </c>
      <c r="B1042" s="2">
        <f>Raw_Data!B1042</f>
        <v>45370.496226851901</v>
      </c>
      <c r="C1042">
        <f>YEAR(Raw_Data!B1042)</f>
        <v>2024</v>
      </c>
      <c r="D1042" t="str">
        <f>IF(MONTH(Raw_Data!B1042)&gt;=4,YEAR(Raw_Data!B1042)&amp;"-"&amp;RIGHT(YEAR(Raw_Data!B1042)+1,2),YEAR(Raw_Data!B1042)-1&amp;"-"&amp;RIGHT(YEAR(Raw_Data!B1042),2))</f>
        <v>2023-24</v>
      </c>
      <c r="E1042" t="str">
        <f>"Q"&amp;ROUNDUP(MONTH(Raw_Data!B1042)/3,0)</f>
        <v>Q1</v>
      </c>
      <c r="F1042" t="str">
        <f>TEXT(Raw_Data!B1042,"mmm")</f>
        <v>Mar</v>
      </c>
      <c r="G1042" t="str">
        <f>TEXT(Raw_Data!B1042,"ddd")</f>
        <v>Tue</v>
      </c>
      <c r="H1042" t="str">
        <f>Raw_Data!D1042</f>
        <v>Invoiced</v>
      </c>
      <c r="I1042" t="str">
        <f>Raw_Data!F1042</f>
        <v>Tele-in</v>
      </c>
      <c r="J1042" t="str">
        <f>Raw_Data!G1042</f>
        <v>Referral-CAM</v>
      </c>
      <c r="K1042" t="str">
        <f>IFERROR(VLOOKUP(J1042,Source_Assumptions!$A:$C,2,0),"Unmapped")</f>
        <v>Referral</v>
      </c>
      <c r="L1042" t="str">
        <f>Raw_Data!H1042</f>
        <v>ELEVATE</v>
      </c>
      <c r="M1042" t="str">
        <f>IFERROR(VLOOKUP(L1042,Model_Assumptions!$A:$D,2,0),"Unmapped")</f>
        <v>Compact SUV</v>
      </c>
      <c r="N1042" t="str">
        <f>IFERROR(VLOOKUP(L1042,Model_Assumptions!$A:$D,3,0),"Unmapped")</f>
        <v>Petrol</v>
      </c>
      <c r="O1042">
        <f>IFERROR(VLOOKUP(L1042,Model_Assumptions!$A:$D,4,0),0)</f>
        <v>1300000</v>
      </c>
      <c r="P1042">
        <f>IFERROR(VLOOKUP(J1042,Source_Assumptions!$A:$C,3,0),0)</f>
        <v>150</v>
      </c>
    </row>
    <row r="1043" spans="1:16" x14ac:dyDescent="0.3">
      <c r="A1043">
        <f>Raw_Data!A1043</f>
        <v>1042</v>
      </c>
      <c r="B1043" s="2">
        <f>Raw_Data!B1043</f>
        <v>45370.734351851897</v>
      </c>
      <c r="C1043">
        <f>YEAR(Raw_Data!B1043)</f>
        <v>2024</v>
      </c>
      <c r="D1043" t="str">
        <f>IF(MONTH(Raw_Data!B1043)&gt;=4,YEAR(Raw_Data!B1043)&amp;"-"&amp;RIGHT(YEAR(Raw_Data!B1043)+1,2),YEAR(Raw_Data!B1043)-1&amp;"-"&amp;RIGHT(YEAR(Raw_Data!B1043),2))</f>
        <v>2023-24</v>
      </c>
      <c r="E1043" t="str">
        <f>"Q"&amp;ROUNDUP(MONTH(Raw_Data!B1043)/3,0)</f>
        <v>Q1</v>
      </c>
      <c r="F1043" t="str">
        <f>TEXT(Raw_Data!B1043,"mmm")</f>
        <v>Mar</v>
      </c>
      <c r="G1043" t="str">
        <f>TEXT(Raw_Data!B1043,"ddd")</f>
        <v>Tue</v>
      </c>
      <c r="H1043" t="str">
        <f>Raw_Data!D1043</f>
        <v>Invoiced</v>
      </c>
      <c r="I1043" t="str">
        <f>Raw_Data!F1043</f>
        <v>SMS/ Tele-Out</v>
      </c>
      <c r="J1043" t="str">
        <f>Raw_Data!G1043</f>
        <v>Database Activity(Teleout/SMS)</v>
      </c>
      <c r="K1043" t="str">
        <f>IFERROR(VLOOKUP(J1043,Source_Assumptions!$A:$C,2,0),"Unmapped")</f>
        <v>Outbound/Database</v>
      </c>
      <c r="L1043" t="str">
        <f>Raw_Data!H1043</f>
        <v>ELEVATE</v>
      </c>
      <c r="M1043" t="str">
        <f>IFERROR(VLOOKUP(L1043,Model_Assumptions!$A:$D,2,0),"Unmapped")</f>
        <v>Compact SUV</v>
      </c>
      <c r="N1043" t="str">
        <f>IFERROR(VLOOKUP(L1043,Model_Assumptions!$A:$D,3,0),"Unmapped")</f>
        <v>Petrol</v>
      </c>
      <c r="O1043">
        <f>IFERROR(VLOOKUP(L1043,Model_Assumptions!$A:$D,4,0),0)</f>
        <v>1300000</v>
      </c>
      <c r="P1043">
        <f>IFERROR(VLOOKUP(J1043,Source_Assumptions!$A:$C,3,0),0)</f>
        <v>250</v>
      </c>
    </row>
    <row r="1044" spans="1:16" x14ac:dyDescent="0.3">
      <c r="A1044">
        <f>Raw_Data!A1044</f>
        <v>1043</v>
      </c>
      <c r="B1044" s="2">
        <f>Raw_Data!B1044</f>
        <v>45371.716793981497</v>
      </c>
      <c r="C1044">
        <f>YEAR(Raw_Data!B1044)</f>
        <v>2024</v>
      </c>
      <c r="D1044" t="str">
        <f>IF(MONTH(Raw_Data!B1044)&gt;=4,YEAR(Raw_Data!B1044)&amp;"-"&amp;RIGHT(YEAR(Raw_Data!B1044)+1,2),YEAR(Raw_Data!B1044)-1&amp;"-"&amp;RIGHT(YEAR(Raw_Data!B1044),2))</f>
        <v>2023-24</v>
      </c>
      <c r="E1044" t="str">
        <f>"Q"&amp;ROUNDUP(MONTH(Raw_Data!B1044)/3,0)</f>
        <v>Q1</v>
      </c>
      <c r="F1044" t="str">
        <f>TEXT(Raw_Data!B1044,"mmm")</f>
        <v>Mar</v>
      </c>
      <c r="G1044" t="str">
        <f>TEXT(Raw_Data!B1044,"ddd")</f>
        <v>Wed</v>
      </c>
      <c r="H1044" t="str">
        <f>Raw_Data!D1044</f>
        <v>Invoiced</v>
      </c>
      <c r="I1044" t="str">
        <f>Raw_Data!F1044</f>
        <v>Web Lead</v>
      </c>
      <c r="J1044" t="str">
        <f>Raw_Data!G1044</f>
        <v>Web</v>
      </c>
      <c r="K1044" t="str">
        <f>IFERROR(VLOOKUP(J1044,Source_Assumptions!$A:$C,2,0),"Unmapped")</f>
        <v>Digital - Owned</v>
      </c>
      <c r="L1044" t="str">
        <f>Raw_Data!H1044</f>
        <v>AMAZE Petrol</v>
      </c>
      <c r="M1044" t="str">
        <f>IFERROR(VLOOKUP(L1044,Model_Assumptions!$A:$D,2,0),"Unmapped")</f>
        <v>Sub-4m Sedan</v>
      </c>
      <c r="N1044" t="str">
        <f>IFERROR(VLOOKUP(L1044,Model_Assumptions!$A:$D,3,0),"Unmapped")</f>
        <v>Petrol</v>
      </c>
      <c r="O1044">
        <f>IFERROR(VLOOKUP(L1044,Model_Assumptions!$A:$D,4,0),0)</f>
        <v>850000</v>
      </c>
      <c r="P1044">
        <f>IFERROR(VLOOKUP(J1044,Source_Assumptions!$A:$C,3,0),0)</f>
        <v>300</v>
      </c>
    </row>
    <row r="1045" spans="1:16" x14ac:dyDescent="0.3">
      <c r="A1045">
        <f>Raw_Data!A1045</f>
        <v>1044</v>
      </c>
      <c r="B1045" s="2">
        <f>Raw_Data!B1045</f>
        <v>45371.728796296302</v>
      </c>
      <c r="C1045">
        <f>YEAR(Raw_Data!B1045)</f>
        <v>2024</v>
      </c>
      <c r="D1045" t="str">
        <f>IF(MONTH(Raw_Data!B1045)&gt;=4,YEAR(Raw_Data!B1045)&amp;"-"&amp;RIGHT(YEAR(Raw_Data!B1045)+1,2),YEAR(Raw_Data!B1045)-1&amp;"-"&amp;RIGHT(YEAR(Raw_Data!B1045),2))</f>
        <v>2023-24</v>
      </c>
      <c r="E1045" t="str">
        <f>"Q"&amp;ROUNDUP(MONTH(Raw_Data!B1045)/3,0)</f>
        <v>Q1</v>
      </c>
      <c r="F1045" t="str">
        <f>TEXT(Raw_Data!B1045,"mmm")</f>
        <v>Mar</v>
      </c>
      <c r="G1045" t="str">
        <f>TEXT(Raw_Data!B1045,"ddd")</f>
        <v>Wed</v>
      </c>
      <c r="H1045" t="str">
        <f>Raw_Data!D1045</f>
        <v>Invoiced</v>
      </c>
      <c r="I1045" t="str">
        <f>Raw_Data!F1045</f>
        <v>Walk-in Showroom</v>
      </c>
      <c r="J1045" t="str">
        <f>Raw_Data!G1045</f>
        <v>Adver. (TVC/Print/Hoarding/FM)</v>
      </c>
      <c r="K1045" t="str">
        <f>IFERROR(VLOOKUP(J1045,Source_Assumptions!$A:$C,2,0),"Unmapped")</f>
        <v>Traditional Advertising</v>
      </c>
      <c r="L1045" t="str">
        <f>Raw_Data!H1045</f>
        <v>ELEVATE</v>
      </c>
      <c r="M1045" t="str">
        <f>IFERROR(VLOOKUP(L1045,Model_Assumptions!$A:$D,2,0),"Unmapped")</f>
        <v>Compact SUV</v>
      </c>
      <c r="N1045" t="str">
        <f>IFERROR(VLOOKUP(L1045,Model_Assumptions!$A:$D,3,0),"Unmapped")</f>
        <v>Petrol</v>
      </c>
      <c r="O1045">
        <f>IFERROR(VLOOKUP(L1045,Model_Assumptions!$A:$D,4,0),0)</f>
        <v>1300000</v>
      </c>
      <c r="P1045">
        <f>IFERROR(VLOOKUP(J1045,Source_Assumptions!$A:$C,3,0),0)</f>
        <v>1200</v>
      </c>
    </row>
    <row r="1046" spans="1:16" x14ac:dyDescent="0.3">
      <c r="A1046">
        <f>Raw_Data!A1046</f>
        <v>1045</v>
      </c>
      <c r="B1046" s="2">
        <f>Raw_Data!B1046</f>
        <v>45372.551967592597</v>
      </c>
      <c r="C1046">
        <f>YEAR(Raw_Data!B1046)</f>
        <v>2024</v>
      </c>
      <c r="D1046" t="str">
        <f>IF(MONTH(Raw_Data!B1046)&gt;=4,YEAR(Raw_Data!B1046)&amp;"-"&amp;RIGHT(YEAR(Raw_Data!B1046)+1,2),YEAR(Raw_Data!B1046)-1&amp;"-"&amp;RIGHT(YEAR(Raw_Data!B1046),2))</f>
        <v>2023-24</v>
      </c>
      <c r="E1046" t="str">
        <f>"Q"&amp;ROUNDUP(MONTH(Raw_Data!B1046)/3,0)</f>
        <v>Q1</v>
      </c>
      <c r="F1046" t="str">
        <f>TEXT(Raw_Data!B1046,"mmm")</f>
        <v>Mar</v>
      </c>
      <c r="G1046" t="str">
        <f>TEXT(Raw_Data!B1046,"ddd")</f>
        <v>Thu</v>
      </c>
      <c r="H1046" t="str">
        <f>Raw_Data!D1046</f>
        <v>Invoiced</v>
      </c>
      <c r="I1046" t="str">
        <f>Raw_Data!F1046</f>
        <v>Web Lead</v>
      </c>
      <c r="J1046" t="str">
        <f>Raw_Data!G1046</f>
        <v>Web</v>
      </c>
      <c r="K1046" t="str">
        <f>IFERROR(VLOOKUP(J1046,Source_Assumptions!$A:$C,2,0),"Unmapped")</f>
        <v>Digital - Owned</v>
      </c>
      <c r="L1046" t="str">
        <f>Raw_Data!H1046</f>
        <v>ELEVATE</v>
      </c>
      <c r="M1046" t="str">
        <f>IFERROR(VLOOKUP(L1046,Model_Assumptions!$A:$D,2,0),"Unmapped")</f>
        <v>Compact SUV</v>
      </c>
      <c r="N1046" t="str">
        <f>IFERROR(VLOOKUP(L1046,Model_Assumptions!$A:$D,3,0),"Unmapped")</f>
        <v>Petrol</v>
      </c>
      <c r="O1046">
        <f>IFERROR(VLOOKUP(L1046,Model_Assumptions!$A:$D,4,0),0)</f>
        <v>1300000</v>
      </c>
      <c r="P1046">
        <f>IFERROR(VLOOKUP(J1046,Source_Assumptions!$A:$C,3,0),0)</f>
        <v>300</v>
      </c>
    </row>
    <row r="1047" spans="1:16" x14ac:dyDescent="0.3">
      <c r="A1047">
        <f>Raw_Data!A1047</f>
        <v>1046</v>
      </c>
      <c r="B1047" s="2">
        <f>Raw_Data!B1047</f>
        <v>45372.5636689815</v>
      </c>
      <c r="C1047">
        <f>YEAR(Raw_Data!B1047)</f>
        <v>2024</v>
      </c>
      <c r="D1047" t="str">
        <f>IF(MONTH(Raw_Data!B1047)&gt;=4,YEAR(Raw_Data!B1047)&amp;"-"&amp;RIGHT(YEAR(Raw_Data!B1047)+1,2),YEAR(Raw_Data!B1047)-1&amp;"-"&amp;RIGHT(YEAR(Raw_Data!B1047),2))</f>
        <v>2023-24</v>
      </c>
      <c r="E1047" t="str">
        <f>"Q"&amp;ROUNDUP(MONTH(Raw_Data!B1047)/3,0)</f>
        <v>Q1</v>
      </c>
      <c r="F1047" t="str">
        <f>TEXT(Raw_Data!B1047,"mmm")</f>
        <v>Mar</v>
      </c>
      <c r="G1047" t="str">
        <f>TEXT(Raw_Data!B1047,"ddd")</f>
        <v>Thu</v>
      </c>
      <c r="H1047" t="str">
        <f>Raw_Data!D1047</f>
        <v>Invoiced</v>
      </c>
      <c r="I1047" t="str">
        <f>Raw_Data!F1047</f>
        <v>Walk-in Showroom</v>
      </c>
      <c r="J1047" t="str">
        <f>Raw_Data!G1047</f>
        <v>Adver. (TVC/Print/Hoarding/FM)</v>
      </c>
      <c r="K1047" t="str">
        <f>IFERROR(VLOOKUP(J1047,Source_Assumptions!$A:$C,2,0),"Unmapped")</f>
        <v>Traditional Advertising</v>
      </c>
      <c r="L1047" t="str">
        <f>Raw_Data!H1047</f>
        <v>AMAZE Petrol</v>
      </c>
      <c r="M1047" t="str">
        <f>IFERROR(VLOOKUP(L1047,Model_Assumptions!$A:$D,2,0),"Unmapped")</f>
        <v>Sub-4m Sedan</v>
      </c>
      <c r="N1047" t="str">
        <f>IFERROR(VLOOKUP(L1047,Model_Assumptions!$A:$D,3,0),"Unmapped")</f>
        <v>Petrol</v>
      </c>
      <c r="O1047">
        <f>IFERROR(VLOOKUP(L1047,Model_Assumptions!$A:$D,4,0),0)</f>
        <v>850000</v>
      </c>
      <c r="P1047">
        <f>IFERROR(VLOOKUP(J1047,Source_Assumptions!$A:$C,3,0),0)</f>
        <v>1200</v>
      </c>
    </row>
    <row r="1048" spans="1:16" x14ac:dyDescent="0.3">
      <c r="A1048">
        <f>Raw_Data!A1048</f>
        <v>1047</v>
      </c>
      <c r="B1048" s="2">
        <f>Raw_Data!B1048</f>
        <v>45372.680428240703</v>
      </c>
      <c r="C1048">
        <f>YEAR(Raw_Data!B1048)</f>
        <v>2024</v>
      </c>
      <c r="D1048" t="str">
        <f>IF(MONTH(Raw_Data!B1048)&gt;=4,YEAR(Raw_Data!B1048)&amp;"-"&amp;RIGHT(YEAR(Raw_Data!B1048)+1,2),YEAR(Raw_Data!B1048)-1&amp;"-"&amp;RIGHT(YEAR(Raw_Data!B1048),2))</f>
        <v>2023-24</v>
      </c>
      <c r="E1048" t="str">
        <f>"Q"&amp;ROUNDUP(MONTH(Raw_Data!B1048)/3,0)</f>
        <v>Q1</v>
      </c>
      <c r="F1048" t="str">
        <f>TEXT(Raw_Data!B1048,"mmm")</f>
        <v>Mar</v>
      </c>
      <c r="G1048" t="str">
        <f>TEXT(Raw_Data!B1048,"ddd")</f>
        <v>Thu</v>
      </c>
      <c r="H1048" t="str">
        <f>Raw_Data!D1048</f>
        <v>Invoiced</v>
      </c>
      <c r="I1048" t="str">
        <f>Raw_Data!F1048</f>
        <v>Tele-in</v>
      </c>
      <c r="J1048" t="str">
        <f>Raw_Data!G1048</f>
        <v>Referral-CAM</v>
      </c>
      <c r="K1048" t="str">
        <f>IFERROR(VLOOKUP(J1048,Source_Assumptions!$A:$C,2,0),"Unmapped")</f>
        <v>Referral</v>
      </c>
      <c r="L1048" t="str">
        <f>Raw_Data!H1048</f>
        <v>ELEVATE</v>
      </c>
      <c r="M1048" t="str">
        <f>IFERROR(VLOOKUP(L1048,Model_Assumptions!$A:$D,2,0),"Unmapped")</f>
        <v>Compact SUV</v>
      </c>
      <c r="N1048" t="str">
        <f>IFERROR(VLOOKUP(L1048,Model_Assumptions!$A:$D,3,0),"Unmapped")</f>
        <v>Petrol</v>
      </c>
      <c r="O1048">
        <f>IFERROR(VLOOKUP(L1048,Model_Assumptions!$A:$D,4,0),0)</f>
        <v>1300000</v>
      </c>
      <c r="P1048">
        <f>IFERROR(VLOOKUP(J1048,Source_Assumptions!$A:$C,3,0),0)</f>
        <v>150</v>
      </c>
    </row>
    <row r="1049" spans="1:16" x14ac:dyDescent="0.3">
      <c r="A1049">
        <f>Raw_Data!A1049</f>
        <v>1048</v>
      </c>
      <c r="B1049" s="2">
        <f>Raw_Data!B1049</f>
        <v>45372.697222222203</v>
      </c>
      <c r="C1049">
        <f>YEAR(Raw_Data!B1049)</f>
        <v>2024</v>
      </c>
      <c r="D1049" t="str">
        <f>IF(MONTH(Raw_Data!B1049)&gt;=4,YEAR(Raw_Data!B1049)&amp;"-"&amp;RIGHT(YEAR(Raw_Data!B1049)+1,2),YEAR(Raw_Data!B1049)-1&amp;"-"&amp;RIGHT(YEAR(Raw_Data!B1049),2))</f>
        <v>2023-24</v>
      </c>
      <c r="E1049" t="str">
        <f>"Q"&amp;ROUNDUP(MONTH(Raw_Data!B1049)/3,0)</f>
        <v>Q1</v>
      </c>
      <c r="F1049" t="str">
        <f>TEXT(Raw_Data!B1049,"mmm")</f>
        <v>Mar</v>
      </c>
      <c r="G1049" t="str">
        <f>TEXT(Raw_Data!B1049,"ddd")</f>
        <v>Thu</v>
      </c>
      <c r="H1049" t="str">
        <f>Raw_Data!D1049</f>
        <v>Invoiced</v>
      </c>
      <c r="I1049" t="str">
        <f>Raw_Data!F1049</f>
        <v>Web Lead</v>
      </c>
      <c r="J1049" t="str">
        <f>Raw_Data!G1049</f>
        <v>Web</v>
      </c>
      <c r="K1049" t="str">
        <f>IFERROR(VLOOKUP(J1049,Source_Assumptions!$A:$C,2,0),"Unmapped")</f>
        <v>Digital - Owned</v>
      </c>
      <c r="L1049" t="str">
        <f>Raw_Data!H1049</f>
        <v>ELEVATE</v>
      </c>
      <c r="M1049" t="str">
        <f>IFERROR(VLOOKUP(L1049,Model_Assumptions!$A:$D,2,0),"Unmapped")</f>
        <v>Compact SUV</v>
      </c>
      <c r="N1049" t="str">
        <f>IFERROR(VLOOKUP(L1049,Model_Assumptions!$A:$D,3,0),"Unmapped")</f>
        <v>Petrol</v>
      </c>
      <c r="O1049">
        <f>IFERROR(VLOOKUP(L1049,Model_Assumptions!$A:$D,4,0),0)</f>
        <v>1300000</v>
      </c>
      <c r="P1049">
        <f>IFERROR(VLOOKUP(J1049,Source_Assumptions!$A:$C,3,0),0)</f>
        <v>300</v>
      </c>
    </row>
    <row r="1050" spans="1:16" x14ac:dyDescent="0.3">
      <c r="A1050">
        <f>Raw_Data!A1050</f>
        <v>1049</v>
      </c>
      <c r="B1050" s="2">
        <f>Raw_Data!B1050</f>
        <v>45373.604155092602</v>
      </c>
      <c r="C1050">
        <f>YEAR(Raw_Data!B1050)</f>
        <v>2024</v>
      </c>
      <c r="D1050" t="str">
        <f>IF(MONTH(Raw_Data!B1050)&gt;=4,YEAR(Raw_Data!B1050)&amp;"-"&amp;RIGHT(YEAR(Raw_Data!B1050)+1,2),YEAR(Raw_Data!B1050)-1&amp;"-"&amp;RIGHT(YEAR(Raw_Data!B1050),2))</f>
        <v>2023-24</v>
      </c>
      <c r="E1050" t="str">
        <f>"Q"&amp;ROUNDUP(MONTH(Raw_Data!B1050)/3,0)</f>
        <v>Q1</v>
      </c>
      <c r="F1050" t="str">
        <f>TEXT(Raw_Data!B1050,"mmm")</f>
        <v>Mar</v>
      </c>
      <c r="G1050" t="str">
        <f>TEXT(Raw_Data!B1050,"ddd")</f>
        <v>Fri</v>
      </c>
      <c r="H1050" t="str">
        <f>Raw_Data!D1050</f>
        <v>Invoiced</v>
      </c>
      <c r="I1050" t="str">
        <f>Raw_Data!F1050</f>
        <v>Walk-in Showroom</v>
      </c>
      <c r="J1050" t="str">
        <f>Raw_Data!G1050</f>
        <v>Adver. (TVC/Print/Hoarding/FM)</v>
      </c>
      <c r="K1050" t="str">
        <f>IFERROR(VLOOKUP(J1050,Source_Assumptions!$A:$C,2,0),"Unmapped")</f>
        <v>Traditional Advertising</v>
      </c>
      <c r="L1050" t="str">
        <f>Raw_Data!H1050</f>
        <v>ELEVATE</v>
      </c>
      <c r="M1050" t="str">
        <f>IFERROR(VLOOKUP(L1050,Model_Assumptions!$A:$D,2,0),"Unmapped")</f>
        <v>Compact SUV</v>
      </c>
      <c r="N1050" t="str">
        <f>IFERROR(VLOOKUP(L1050,Model_Assumptions!$A:$D,3,0),"Unmapped")</f>
        <v>Petrol</v>
      </c>
      <c r="O1050">
        <f>IFERROR(VLOOKUP(L1050,Model_Assumptions!$A:$D,4,0),0)</f>
        <v>1300000</v>
      </c>
      <c r="P1050">
        <f>IFERROR(VLOOKUP(J1050,Source_Assumptions!$A:$C,3,0),0)</f>
        <v>1200</v>
      </c>
    </row>
    <row r="1051" spans="1:16" x14ac:dyDescent="0.3">
      <c r="A1051">
        <f>Raw_Data!A1051</f>
        <v>1050</v>
      </c>
      <c r="B1051" s="2">
        <f>Raw_Data!B1051</f>
        <v>45373.646030092597</v>
      </c>
      <c r="C1051">
        <f>YEAR(Raw_Data!B1051)</f>
        <v>2024</v>
      </c>
      <c r="D1051" t="str">
        <f>IF(MONTH(Raw_Data!B1051)&gt;=4,YEAR(Raw_Data!B1051)&amp;"-"&amp;RIGHT(YEAR(Raw_Data!B1051)+1,2),YEAR(Raw_Data!B1051)-1&amp;"-"&amp;RIGHT(YEAR(Raw_Data!B1051),2))</f>
        <v>2023-24</v>
      </c>
      <c r="E1051" t="str">
        <f>"Q"&amp;ROUNDUP(MONTH(Raw_Data!B1051)/3,0)</f>
        <v>Q1</v>
      </c>
      <c r="F1051" t="str">
        <f>TEXT(Raw_Data!B1051,"mmm")</f>
        <v>Mar</v>
      </c>
      <c r="G1051" t="str">
        <f>TEXT(Raw_Data!B1051,"ddd")</f>
        <v>Fri</v>
      </c>
      <c r="H1051" t="str">
        <f>Raw_Data!D1051</f>
        <v>Invoiced</v>
      </c>
      <c r="I1051" t="str">
        <f>Raw_Data!F1051</f>
        <v>Walk-in Showroom</v>
      </c>
      <c r="J1051" t="str">
        <f>Raw_Data!G1051</f>
        <v>Adver. (TVC/Print/Hoarding/FM)</v>
      </c>
      <c r="K1051" t="str">
        <f>IFERROR(VLOOKUP(J1051,Source_Assumptions!$A:$C,2,0),"Unmapped")</f>
        <v>Traditional Advertising</v>
      </c>
      <c r="L1051" t="str">
        <f>Raw_Data!H1051</f>
        <v>ELEVATE</v>
      </c>
      <c r="M1051" t="str">
        <f>IFERROR(VLOOKUP(L1051,Model_Assumptions!$A:$D,2,0),"Unmapped")</f>
        <v>Compact SUV</v>
      </c>
      <c r="N1051" t="str">
        <f>IFERROR(VLOOKUP(L1051,Model_Assumptions!$A:$D,3,0),"Unmapped")</f>
        <v>Petrol</v>
      </c>
      <c r="O1051">
        <f>IFERROR(VLOOKUP(L1051,Model_Assumptions!$A:$D,4,0),0)</f>
        <v>1300000</v>
      </c>
      <c r="P1051">
        <f>IFERROR(VLOOKUP(J1051,Source_Assumptions!$A:$C,3,0),0)</f>
        <v>1200</v>
      </c>
    </row>
    <row r="1052" spans="1:16" x14ac:dyDescent="0.3">
      <c r="A1052">
        <f>Raw_Data!A1052</f>
        <v>1051</v>
      </c>
      <c r="B1052" s="2">
        <f>Raw_Data!B1052</f>
        <v>45373.664351851898</v>
      </c>
      <c r="C1052">
        <f>YEAR(Raw_Data!B1052)</f>
        <v>2024</v>
      </c>
      <c r="D1052" t="str">
        <f>IF(MONTH(Raw_Data!B1052)&gt;=4,YEAR(Raw_Data!B1052)&amp;"-"&amp;RIGHT(YEAR(Raw_Data!B1052)+1,2),YEAR(Raw_Data!B1052)-1&amp;"-"&amp;RIGHT(YEAR(Raw_Data!B1052),2))</f>
        <v>2023-24</v>
      </c>
      <c r="E1052" t="str">
        <f>"Q"&amp;ROUNDUP(MONTH(Raw_Data!B1052)/3,0)</f>
        <v>Q1</v>
      </c>
      <c r="F1052" t="str">
        <f>TEXT(Raw_Data!B1052,"mmm")</f>
        <v>Mar</v>
      </c>
      <c r="G1052" t="str">
        <f>TEXT(Raw_Data!B1052,"ddd")</f>
        <v>Fri</v>
      </c>
      <c r="H1052" t="str">
        <f>Raw_Data!D1052</f>
        <v>Invoiced</v>
      </c>
      <c r="I1052" t="str">
        <f>Raw_Data!F1052</f>
        <v>Walk-in Showroom</v>
      </c>
      <c r="J1052" t="str">
        <f>Raw_Data!G1052</f>
        <v>Adver. (TVC/Print/Hoarding/FM)</v>
      </c>
      <c r="K1052" t="str">
        <f>IFERROR(VLOOKUP(J1052,Source_Assumptions!$A:$C,2,0),"Unmapped")</f>
        <v>Traditional Advertising</v>
      </c>
      <c r="L1052" t="str">
        <f>Raw_Data!H1052</f>
        <v>ELEVATE</v>
      </c>
      <c r="M1052" t="str">
        <f>IFERROR(VLOOKUP(L1052,Model_Assumptions!$A:$D,2,0),"Unmapped")</f>
        <v>Compact SUV</v>
      </c>
      <c r="N1052" t="str">
        <f>IFERROR(VLOOKUP(L1052,Model_Assumptions!$A:$D,3,0),"Unmapped")</f>
        <v>Petrol</v>
      </c>
      <c r="O1052">
        <f>IFERROR(VLOOKUP(L1052,Model_Assumptions!$A:$D,4,0),0)</f>
        <v>1300000</v>
      </c>
      <c r="P1052">
        <f>IFERROR(VLOOKUP(J1052,Source_Assumptions!$A:$C,3,0),0)</f>
        <v>1200</v>
      </c>
    </row>
    <row r="1053" spans="1:16" x14ac:dyDescent="0.3">
      <c r="A1053">
        <f>Raw_Data!A1053</f>
        <v>1052</v>
      </c>
      <c r="B1053" s="2">
        <f>Raw_Data!B1053</f>
        <v>45373.667303240698</v>
      </c>
      <c r="C1053">
        <f>YEAR(Raw_Data!B1053)</f>
        <v>2024</v>
      </c>
      <c r="D1053" t="str">
        <f>IF(MONTH(Raw_Data!B1053)&gt;=4,YEAR(Raw_Data!B1053)&amp;"-"&amp;RIGHT(YEAR(Raw_Data!B1053)+1,2),YEAR(Raw_Data!B1053)-1&amp;"-"&amp;RIGHT(YEAR(Raw_Data!B1053),2))</f>
        <v>2023-24</v>
      </c>
      <c r="E1053" t="str">
        <f>"Q"&amp;ROUNDUP(MONTH(Raw_Data!B1053)/3,0)</f>
        <v>Q1</v>
      </c>
      <c r="F1053" t="str">
        <f>TEXT(Raw_Data!B1053,"mmm")</f>
        <v>Mar</v>
      </c>
      <c r="G1053" t="str">
        <f>TEXT(Raw_Data!B1053,"ddd")</f>
        <v>Fri</v>
      </c>
      <c r="H1053" t="str">
        <f>Raw_Data!D1053</f>
        <v>Invoiced</v>
      </c>
      <c r="I1053" t="str">
        <f>Raw_Data!F1053</f>
        <v>Web Lead</v>
      </c>
      <c r="J1053" t="str">
        <f>Raw_Data!G1053</f>
        <v>Web</v>
      </c>
      <c r="K1053" t="str">
        <f>IFERROR(VLOOKUP(J1053,Source_Assumptions!$A:$C,2,0),"Unmapped")</f>
        <v>Digital - Owned</v>
      </c>
      <c r="L1053" t="str">
        <f>Raw_Data!H1053</f>
        <v>ELEVATE</v>
      </c>
      <c r="M1053" t="str">
        <f>IFERROR(VLOOKUP(L1053,Model_Assumptions!$A:$D,2,0),"Unmapped")</f>
        <v>Compact SUV</v>
      </c>
      <c r="N1053" t="str">
        <f>IFERROR(VLOOKUP(L1053,Model_Assumptions!$A:$D,3,0),"Unmapped")</f>
        <v>Petrol</v>
      </c>
      <c r="O1053">
        <f>IFERROR(VLOOKUP(L1053,Model_Assumptions!$A:$D,4,0),0)</f>
        <v>1300000</v>
      </c>
      <c r="P1053">
        <f>IFERROR(VLOOKUP(J1053,Source_Assumptions!$A:$C,3,0),0)</f>
        <v>300</v>
      </c>
    </row>
    <row r="1054" spans="1:16" x14ac:dyDescent="0.3">
      <c r="A1054">
        <f>Raw_Data!A1054</f>
        <v>1053</v>
      </c>
      <c r="B1054" s="2">
        <f>Raw_Data!B1054</f>
        <v>45374.492824074099</v>
      </c>
      <c r="C1054">
        <f>YEAR(Raw_Data!B1054)</f>
        <v>2024</v>
      </c>
      <c r="D1054" t="str">
        <f>IF(MONTH(Raw_Data!B1054)&gt;=4,YEAR(Raw_Data!B1054)&amp;"-"&amp;RIGHT(YEAR(Raw_Data!B1054)+1,2),YEAR(Raw_Data!B1054)-1&amp;"-"&amp;RIGHT(YEAR(Raw_Data!B1054),2))</f>
        <v>2023-24</v>
      </c>
      <c r="E1054" t="str">
        <f>"Q"&amp;ROUNDUP(MONTH(Raw_Data!B1054)/3,0)</f>
        <v>Q1</v>
      </c>
      <c r="F1054" t="str">
        <f>TEXT(Raw_Data!B1054,"mmm")</f>
        <v>Mar</v>
      </c>
      <c r="G1054" t="str">
        <f>TEXT(Raw_Data!B1054,"ddd")</f>
        <v>Sat</v>
      </c>
      <c r="H1054" t="str">
        <f>Raw_Data!D1054</f>
        <v>Invoiced</v>
      </c>
      <c r="I1054" t="str">
        <f>Raw_Data!F1054</f>
        <v>SMS/ Tele-Out</v>
      </c>
      <c r="J1054" t="str">
        <f>Raw_Data!G1054</f>
        <v>Database Activity(Teleout/SMS)</v>
      </c>
      <c r="K1054" t="str">
        <f>IFERROR(VLOOKUP(J1054,Source_Assumptions!$A:$C,2,0),"Unmapped")</f>
        <v>Outbound/Database</v>
      </c>
      <c r="L1054" t="str">
        <f>Raw_Data!H1054</f>
        <v>ELEVATE</v>
      </c>
      <c r="M1054" t="str">
        <f>IFERROR(VLOOKUP(L1054,Model_Assumptions!$A:$D,2,0),"Unmapped")</f>
        <v>Compact SUV</v>
      </c>
      <c r="N1054" t="str">
        <f>IFERROR(VLOOKUP(L1054,Model_Assumptions!$A:$D,3,0),"Unmapped")</f>
        <v>Petrol</v>
      </c>
      <c r="O1054">
        <f>IFERROR(VLOOKUP(L1054,Model_Assumptions!$A:$D,4,0),0)</f>
        <v>1300000</v>
      </c>
      <c r="P1054">
        <f>IFERROR(VLOOKUP(J1054,Source_Assumptions!$A:$C,3,0),0)</f>
        <v>250</v>
      </c>
    </row>
    <row r="1055" spans="1:16" x14ac:dyDescent="0.3">
      <c r="A1055">
        <f>Raw_Data!A1055</f>
        <v>1054</v>
      </c>
      <c r="B1055" s="2">
        <f>Raw_Data!B1055</f>
        <v>45376.496296296304</v>
      </c>
      <c r="C1055">
        <f>YEAR(Raw_Data!B1055)</f>
        <v>2024</v>
      </c>
      <c r="D1055" t="str">
        <f>IF(MONTH(Raw_Data!B1055)&gt;=4,YEAR(Raw_Data!B1055)&amp;"-"&amp;RIGHT(YEAR(Raw_Data!B1055)+1,2),YEAR(Raw_Data!B1055)-1&amp;"-"&amp;RIGHT(YEAR(Raw_Data!B1055),2))</f>
        <v>2023-24</v>
      </c>
      <c r="E1055" t="str">
        <f>"Q"&amp;ROUNDUP(MONTH(Raw_Data!B1055)/3,0)</f>
        <v>Q1</v>
      </c>
      <c r="F1055" t="str">
        <f>TEXT(Raw_Data!B1055,"mmm")</f>
        <v>Mar</v>
      </c>
      <c r="G1055" t="str">
        <f>TEXT(Raw_Data!B1055,"ddd")</f>
        <v>Mon</v>
      </c>
      <c r="H1055" t="str">
        <f>Raw_Data!D1055</f>
        <v>Invoiced</v>
      </c>
      <c r="I1055" t="str">
        <f>Raw_Data!F1055</f>
        <v>Tele-in</v>
      </c>
      <c r="J1055" t="str">
        <f>Raw_Data!G1055</f>
        <v>Referral-CAM</v>
      </c>
      <c r="K1055" t="str">
        <f>IFERROR(VLOOKUP(J1055,Source_Assumptions!$A:$C,2,0),"Unmapped")</f>
        <v>Referral</v>
      </c>
      <c r="L1055" t="str">
        <f>Raw_Data!H1055</f>
        <v>AMAZE Petrol</v>
      </c>
      <c r="M1055" t="str">
        <f>IFERROR(VLOOKUP(L1055,Model_Assumptions!$A:$D,2,0),"Unmapped")</f>
        <v>Sub-4m Sedan</v>
      </c>
      <c r="N1055" t="str">
        <f>IFERROR(VLOOKUP(L1055,Model_Assumptions!$A:$D,3,0),"Unmapped")</f>
        <v>Petrol</v>
      </c>
      <c r="O1055">
        <f>IFERROR(VLOOKUP(L1055,Model_Assumptions!$A:$D,4,0),0)</f>
        <v>850000</v>
      </c>
      <c r="P1055">
        <f>IFERROR(VLOOKUP(J1055,Source_Assumptions!$A:$C,3,0),0)</f>
        <v>150</v>
      </c>
    </row>
    <row r="1056" spans="1:16" x14ac:dyDescent="0.3">
      <c r="A1056">
        <f>Raw_Data!A1056</f>
        <v>1055</v>
      </c>
      <c r="B1056" s="2">
        <f>Raw_Data!B1056</f>
        <v>45376.621261574102</v>
      </c>
      <c r="C1056">
        <f>YEAR(Raw_Data!B1056)</f>
        <v>2024</v>
      </c>
      <c r="D1056" t="str">
        <f>IF(MONTH(Raw_Data!B1056)&gt;=4,YEAR(Raw_Data!B1056)&amp;"-"&amp;RIGHT(YEAR(Raw_Data!B1056)+1,2),YEAR(Raw_Data!B1056)-1&amp;"-"&amp;RIGHT(YEAR(Raw_Data!B1056),2))</f>
        <v>2023-24</v>
      </c>
      <c r="E1056" t="str">
        <f>"Q"&amp;ROUNDUP(MONTH(Raw_Data!B1056)/3,0)</f>
        <v>Q1</v>
      </c>
      <c r="F1056" t="str">
        <f>TEXT(Raw_Data!B1056,"mmm")</f>
        <v>Mar</v>
      </c>
      <c r="G1056" t="str">
        <f>TEXT(Raw_Data!B1056,"ddd")</f>
        <v>Mon</v>
      </c>
      <c r="H1056" t="str">
        <f>Raw_Data!D1056</f>
        <v>Invoiced</v>
      </c>
      <c r="I1056" t="str">
        <f>Raw_Data!F1056</f>
        <v>Walk-in Showroom</v>
      </c>
      <c r="J1056" t="str">
        <f>Raw_Data!G1056</f>
        <v>Adver. (TVC/Print/Hoarding/FM)</v>
      </c>
      <c r="K1056" t="str">
        <f>IFERROR(VLOOKUP(J1056,Source_Assumptions!$A:$C,2,0),"Unmapped")</f>
        <v>Traditional Advertising</v>
      </c>
      <c r="L1056" t="str">
        <f>Raw_Data!H1056</f>
        <v>AMAZE Petrol</v>
      </c>
      <c r="M1056" t="str">
        <f>IFERROR(VLOOKUP(L1056,Model_Assumptions!$A:$D,2,0),"Unmapped")</f>
        <v>Sub-4m Sedan</v>
      </c>
      <c r="N1056" t="str">
        <f>IFERROR(VLOOKUP(L1056,Model_Assumptions!$A:$D,3,0),"Unmapped")</f>
        <v>Petrol</v>
      </c>
      <c r="O1056">
        <f>IFERROR(VLOOKUP(L1056,Model_Assumptions!$A:$D,4,0),0)</f>
        <v>850000</v>
      </c>
      <c r="P1056">
        <f>IFERROR(VLOOKUP(J1056,Source_Assumptions!$A:$C,3,0),0)</f>
        <v>1200</v>
      </c>
    </row>
    <row r="1057" spans="1:16" x14ac:dyDescent="0.3">
      <c r="A1057">
        <f>Raw_Data!A1057</f>
        <v>1056</v>
      </c>
      <c r="B1057" s="2">
        <f>Raw_Data!B1057</f>
        <v>45377.597962963002</v>
      </c>
      <c r="C1057">
        <f>YEAR(Raw_Data!B1057)</f>
        <v>2024</v>
      </c>
      <c r="D1057" t="str">
        <f>IF(MONTH(Raw_Data!B1057)&gt;=4,YEAR(Raw_Data!B1057)&amp;"-"&amp;RIGHT(YEAR(Raw_Data!B1057)+1,2),YEAR(Raw_Data!B1057)-1&amp;"-"&amp;RIGHT(YEAR(Raw_Data!B1057),2))</f>
        <v>2023-24</v>
      </c>
      <c r="E1057" t="str">
        <f>"Q"&amp;ROUNDUP(MONTH(Raw_Data!B1057)/3,0)</f>
        <v>Q1</v>
      </c>
      <c r="F1057" t="str">
        <f>TEXT(Raw_Data!B1057,"mmm")</f>
        <v>Mar</v>
      </c>
      <c r="G1057" t="str">
        <f>TEXT(Raw_Data!B1057,"ddd")</f>
        <v>Tue</v>
      </c>
      <c r="H1057" t="str">
        <f>Raw_Data!D1057</f>
        <v>Invoiced</v>
      </c>
      <c r="I1057" t="str">
        <f>Raw_Data!F1057</f>
        <v>SMS/ Tele-Out</v>
      </c>
      <c r="J1057" t="str">
        <f>Raw_Data!G1057</f>
        <v>Database Activity(Teleout/SMS)</v>
      </c>
      <c r="K1057" t="str">
        <f>IFERROR(VLOOKUP(J1057,Source_Assumptions!$A:$C,2,0),"Unmapped")</f>
        <v>Outbound/Database</v>
      </c>
      <c r="L1057" t="str">
        <f>Raw_Data!H1057</f>
        <v>AMAZE Petrol</v>
      </c>
      <c r="M1057" t="str">
        <f>IFERROR(VLOOKUP(L1057,Model_Assumptions!$A:$D,2,0),"Unmapped")</f>
        <v>Sub-4m Sedan</v>
      </c>
      <c r="N1057" t="str">
        <f>IFERROR(VLOOKUP(L1057,Model_Assumptions!$A:$D,3,0),"Unmapped")</f>
        <v>Petrol</v>
      </c>
      <c r="O1057">
        <f>IFERROR(VLOOKUP(L1057,Model_Assumptions!$A:$D,4,0),0)</f>
        <v>850000</v>
      </c>
      <c r="P1057">
        <f>IFERROR(VLOOKUP(J1057,Source_Assumptions!$A:$C,3,0),0)</f>
        <v>250</v>
      </c>
    </row>
    <row r="1058" spans="1:16" x14ac:dyDescent="0.3">
      <c r="A1058">
        <f>Raw_Data!A1058</f>
        <v>1057</v>
      </c>
      <c r="B1058" s="2">
        <f>Raw_Data!B1058</f>
        <v>45377.638460648202</v>
      </c>
      <c r="C1058">
        <f>YEAR(Raw_Data!B1058)</f>
        <v>2024</v>
      </c>
      <c r="D1058" t="str">
        <f>IF(MONTH(Raw_Data!B1058)&gt;=4,YEAR(Raw_Data!B1058)&amp;"-"&amp;RIGHT(YEAR(Raw_Data!B1058)+1,2),YEAR(Raw_Data!B1058)-1&amp;"-"&amp;RIGHT(YEAR(Raw_Data!B1058),2))</f>
        <v>2023-24</v>
      </c>
      <c r="E1058" t="str">
        <f>"Q"&amp;ROUNDUP(MONTH(Raw_Data!B1058)/3,0)</f>
        <v>Q1</v>
      </c>
      <c r="F1058" t="str">
        <f>TEXT(Raw_Data!B1058,"mmm")</f>
        <v>Mar</v>
      </c>
      <c r="G1058" t="str">
        <f>TEXT(Raw_Data!B1058,"ddd")</f>
        <v>Tue</v>
      </c>
      <c r="H1058" t="str">
        <f>Raw_Data!D1058</f>
        <v>Invoiced</v>
      </c>
      <c r="I1058" t="str">
        <f>Raw_Data!F1058</f>
        <v>SMS/ Tele-Out</v>
      </c>
      <c r="J1058" t="str">
        <f>Raw_Data!G1058</f>
        <v>Database Activity(Teleout/SMS)</v>
      </c>
      <c r="K1058" t="str">
        <f>IFERROR(VLOOKUP(J1058,Source_Assumptions!$A:$C,2,0),"Unmapped")</f>
        <v>Outbound/Database</v>
      </c>
      <c r="L1058" t="str">
        <f>Raw_Data!H1058</f>
        <v>5TH GEN CITY e:HEV</v>
      </c>
      <c r="M1058" t="str">
        <f>IFERROR(VLOOKUP(L1058,Model_Assumptions!$A:$D,2,0),"Unmapped")</f>
        <v>Mid-size Sedan</v>
      </c>
      <c r="N1058" t="str">
        <f>IFERROR(VLOOKUP(L1058,Model_Assumptions!$A:$D,3,0),"Unmapped")</f>
        <v>Hybrid</v>
      </c>
      <c r="O1058">
        <f>IFERROR(VLOOKUP(L1058,Model_Assumptions!$A:$D,4,0),0)</f>
        <v>1950000</v>
      </c>
      <c r="P1058">
        <f>IFERROR(VLOOKUP(J1058,Source_Assumptions!$A:$C,3,0),0)</f>
        <v>250</v>
      </c>
    </row>
    <row r="1059" spans="1:16" x14ac:dyDescent="0.3">
      <c r="A1059">
        <f>Raw_Data!A1059</f>
        <v>1058</v>
      </c>
      <c r="B1059" s="2">
        <f>Raw_Data!B1059</f>
        <v>45377.644004629597</v>
      </c>
      <c r="C1059">
        <f>YEAR(Raw_Data!B1059)</f>
        <v>2024</v>
      </c>
      <c r="D1059" t="str">
        <f>IF(MONTH(Raw_Data!B1059)&gt;=4,YEAR(Raw_Data!B1059)&amp;"-"&amp;RIGHT(YEAR(Raw_Data!B1059)+1,2),YEAR(Raw_Data!B1059)-1&amp;"-"&amp;RIGHT(YEAR(Raw_Data!B1059),2))</f>
        <v>2023-24</v>
      </c>
      <c r="E1059" t="str">
        <f>"Q"&amp;ROUNDUP(MONTH(Raw_Data!B1059)/3,0)</f>
        <v>Q1</v>
      </c>
      <c r="F1059" t="str">
        <f>TEXT(Raw_Data!B1059,"mmm")</f>
        <v>Mar</v>
      </c>
      <c r="G1059" t="str">
        <f>TEXT(Raw_Data!B1059,"ddd")</f>
        <v>Tue</v>
      </c>
      <c r="H1059" t="str">
        <f>Raw_Data!D1059</f>
        <v>Invoiced</v>
      </c>
      <c r="I1059" t="str">
        <f>Raw_Data!F1059</f>
        <v>Tele-in</v>
      </c>
      <c r="J1059" t="str">
        <f>Raw_Data!G1059</f>
        <v>Referral-CAM</v>
      </c>
      <c r="K1059" t="str">
        <f>IFERROR(VLOOKUP(J1059,Source_Assumptions!$A:$C,2,0),"Unmapped")</f>
        <v>Referral</v>
      </c>
      <c r="L1059" t="str">
        <f>Raw_Data!H1059</f>
        <v>AMAZE Petrol</v>
      </c>
      <c r="M1059" t="str">
        <f>IFERROR(VLOOKUP(L1059,Model_Assumptions!$A:$D,2,0),"Unmapped")</f>
        <v>Sub-4m Sedan</v>
      </c>
      <c r="N1059" t="str">
        <f>IFERROR(VLOOKUP(L1059,Model_Assumptions!$A:$D,3,0),"Unmapped")</f>
        <v>Petrol</v>
      </c>
      <c r="O1059">
        <f>IFERROR(VLOOKUP(L1059,Model_Assumptions!$A:$D,4,0),0)</f>
        <v>850000</v>
      </c>
      <c r="P1059">
        <f>IFERROR(VLOOKUP(J1059,Source_Assumptions!$A:$C,3,0),0)</f>
        <v>150</v>
      </c>
    </row>
    <row r="1060" spans="1:16" x14ac:dyDescent="0.3">
      <c r="A1060">
        <f>Raw_Data!A1060</f>
        <v>1059</v>
      </c>
      <c r="B1060" s="2">
        <f>Raw_Data!B1060</f>
        <v>45378.484907407401</v>
      </c>
      <c r="C1060">
        <f>YEAR(Raw_Data!B1060)</f>
        <v>2024</v>
      </c>
      <c r="D1060" t="str">
        <f>IF(MONTH(Raw_Data!B1060)&gt;=4,YEAR(Raw_Data!B1060)&amp;"-"&amp;RIGHT(YEAR(Raw_Data!B1060)+1,2),YEAR(Raw_Data!B1060)-1&amp;"-"&amp;RIGHT(YEAR(Raw_Data!B1060),2))</f>
        <v>2023-24</v>
      </c>
      <c r="E1060" t="str">
        <f>"Q"&amp;ROUNDUP(MONTH(Raw_Data!B1060)/3,0)</f>
        <v>Q1</v>
      </c>
      <c r="F1060" t="str">
        <f>TEXT(Raw_Data!B1060,"mmm")</f>
        <v>Mar</v>
      </c>
      <c r="G1060" t="str">
        <f>TEXT(Raw_Data!B1060,"ddd")</f>
        <v>Wed</v>
      </c>
      <c r="H1060" t="str">
        <f>Raw_Data!D1060</f>
        <v>Invoiced</v>
      </c>
      <c r="I1060" t="str">
        <f>Raw_Data!F1060</f>
        <v>Walk-in Showroom</v>
      </c>
      <c r="J1060" t="str">
        <f>Raw_Data!G1060</f>
        <v>Adver. (TVC/Print/Hoarding/FM)</v>
      </c>
      <c r="K1060" t="str">
        <f>IFERROR(VLOOKUP(J1060,Source_Assumptions!$A:$C,2,0),"Unmapped")</f>
        <v>Traditional Advertising</v>
      </c>
      <c r="L1060" t="str">
        <f>Raw_Data!H1060</f>
        <v>5TH GEN CITY PE</v>
      </c>
      <c r="M1060" t="str">
        <f>IFERROR(VLOOKUP(L1060,Model_Assumptions!$A:$D,2,0),"Unmapped")</f>
        <v>Mid-size Sedan</v>
      </c>
      <c r="N1060" t="str">
        <f>IFERROR(VLOOKUP(L1060,Model_Assumptions!$A:$D,3,0),"Unmapped")</f>
        <v>Petrol</v>
      </c>
      <c r="O1060">
        <f>IFERROR(VLOOKUP(L1060,Model_Assumptions!$A:$D,4,0),0)</f>
        <v>1250000</v>
      </c>
      <c r="P1060">
        <f>IFERROR(VLOOKUP(J1060,Source_Assumptions!$A:$C,3,0),0)</f>
        <v>1200</v>
      </c>
    </row>
    <row r="1061" spans="1:16" x14ac:dyDescent="0.3">
      <c r="A1061">
        <f>Raw_Data!A1061</f>
        <v>1060</v>
      </c>
      <c r="B1061" s="2">
        <f>Raw_Data!B1061</f>
        <v>45378.543009259301</v>
      </c>
      <c r="C1061">
        <f>YEAR(Raw_Data!B1061)</f>
        <v>2024</v>
      </c>
      <c r="D1061" t="str">
        <f>IF(MONTH(Raw_Data!B1061)&gt;=4,YEAR(Raw_Data!B1061)&amp;"-"&amp;RIGHT(YEAR(Raw_Data!B1061)+1,2),YEAR(Raw_Data!B1061)-1&amp;"-"&amp;RIGHT(YEAR(Raw_Data!B1061),2))</f>
        <v>2023-24</v>
      </c>
      <c r="E1061" t="str">
        <f>"Q"&amp;ROUNDUP(MONTH(Raw_Data!B1061)/3,0)</f>
        <v>Q1</v>
      </c>
      <c r="F1061" t="str">
        <f>TEXT(Raw_Data!B1061,"mmm")</f>
        <v>Mar</v>
      </c>
      <c r="G1061" t="str">
        <f>TEXT(Raw_Data!B1061,"ddd")</f>
        <v>Wed</v>
      </c>
      <c r="H1061" t="str">
        <f>Raw_Data!D1061</f>
        <v>Invoiced</v>
      </c>
      <c r="I1061" t="str">
        <f>Raw_Data!F1061</f>
        <v>Walk-in Showroom</v>
      </c>
      <c r="J1061" t="str">
        <f>Raw_Data!G1061</f>
        <v>Adver. (TVC/Print/Hoarding/FM)</v>
      </c>
      <c r="K1061" t="str">
        <f>IFERROR(VLOOKUP(J1061,Source_Assumptions!$A:$C,2,0),"Unmapped")</f>
        <v>Traditional Advertising</v>
      </c>
      <c r="L1061" t="str">
        <f>Raw_Data!H1061</f>
        <v>5TH GEN CITY PE</v>
      </c>
      <c r="M1061" t="str">
        <f>IFERROR(VLOOKUP(L1061,Model_Assumptions!$A:$D,2,0),"Unmapped")</f>
        <v>Mid-size Sedan</v>
      </c>
      <c r="N1061" t="str">
        <f>IFERROR(VLOOKUP(L1061,Model_Assumptions!$A:$D,3,0),"Unmapped")</f>
        <v>Petrol</v>
      </c>
      <c r="O1061">
        <f>IFERROR(VLOOKUP(L1061,Model_Assumptions!$A:$D,4,0),0)</f>
        <v>1250000</v>
      </c>
      <c r="P1061">
        <f>IFERROR(VLOOKUP(J1061,Source_Assumptions!$A:$C,3,0),0)</f>
        <v>1200</v>
      </c>
    </row>
    <row r="1062" spans="1:16" x14ac:dyDescent="0.3">
      <c r="A1062">
        <f>Raw_Data!A1062</f>
        <v>1061</v>
      </c>
      <c r="B1062" s="2">
        <f>Raw_Data!B1062</f>
        <v>45378.5479976852</v>
      </c>
      <c r="C1062">
        <f>YEAR(Raw_Data!B1062)</f>
        <v>2024</v>
      </c>
      <c r="D1062" t="str">
        <f>IF(MONTH(Raw_Data!B1062)&gt;=4,YEAR(Raw_Data!B1062)&amp;"-"&amp;RIGHT(YEAR(Raw_Data!B1062)+1,2),YEAR(Raw_Data!B1062)-1&amp;"-"&amp;RIGHT(YEAR(Raw_Data!B1062),2))</f>
        <v>2023-24</v>
      </c>
      <c r="E1062" t="str">
        <f>"Q"&amp;ROUNDUP(MONTH(Raw_Data!B1062)/3,0)</f>
        <v>Q1</v>
      </c>
      <c r="F1062" t="str">
        <f>TEXT(Raw_Data!B1062,"mmm")</f>
        <v>Mar</v>
      </c>
      <c r="G1062" t="str">
        <f>TEXT(Raw_Data!B1062,"ddd")</f>
        <v>Wed</v>
      </c>
      <c r="H1062" t="str">
        <f>Raw_Data!D1062</f>
        <v>Invoiced</v>
      </c>
      <c r="I1062" t="str">
        <f>Raw_Data!F1062</f>
        <v>Web Lead</v>
      </c>
      <c r="J1062" t="str">
        <f>Raw_Data!G1062</f>
        <v>Web</v>
      </c>
      <c r="K1062" t="str">
        <f>IFERROR(VLOOKUP(J1062,Source_Assumptions!$A:$C,2,0),"Unmapped")</f>
        <v>Digital - Owned</v>
      </c>
      <c r="L1062" t="str">
        <f>Raw_Data!H1062</f>
        <v>ELEVATE</v>
      </c>
      <c r="M1062" t="str">
        <f>IFERROR(VLOOKUP(L1062,Model_Assumptions!$A:$D,2,0),"Unmapped")</f>
        <v>Compact SUV</v>
      </c>
      <c r="N1062" t="str">
        <f>IFERROR(VLOOKUP(L1062,Model_Assumptions!$A:$D,3,0),"Unmapped")</f>
        <v>Petrol</v>
      </c>
      <c r="O1062">
        <f>IFERROR(VLOOKUP(L1062,Model_Assumptions!$A:$D,4,0),0)</f>
        <v>1300000</v>
      </c>
      <c r="P1062">
        <f>IFERROR(VLOOKUP(J1062,Source_Assumptions!$A:$C,3,0),0)</f>
        <v>300</v>
      </c>
    </row>
    <row r="1063" spans="1:16" x14ac:dyDescent="0.3">
      <c r="A1063">
        <f>Raw_Data!A1063</f>
        <v>1062</v>
      </c>
      <c r="B1063" s="2">
        <f>Raw_Data!B1063</f>
        <v>45378.624837962998</v>
      </c>
      <c r="C1063">
        <f>YEAR(Raw_Data!B1063)</f>
        <v>2024</v>
      </c>
      <c r="D1063" t="str">
        <f>IF(MONTH(Raw_Data!B1063)&gt;=4,YEAR(Raw_Data!B1063)&amp;"-"&amp;RIGHT(YEAR(Raw_Data!B1063)+1,2),YEAR(Raw_Data!B1063)-1&amp;"-"&amp;RIGHT(YEAR(Raw_Data!B1063),2))</f>
        <v>2023-24</v>
      </c>
      <c r="E1063" t="str">
        <f>"Q"&amp;ROUNDUP(MONTH(Raw_Data!B1063)/3,0)</f>
        <v>Q1</v>
      </c>
      <c r="F1063" t="str">
        <f>TEXT(Raw_Data!B1063,"mmm")</f>
        <v>Mar</v>
      </c>
      <c r="G1063" t="str">
        <f>TEXT(Raw_Data!B1063,"ddd")</f>
        <v>Wed</v>
      </c>
      <c r="H1063" t="str">
        <f>Raw_Data!D1063</f>
        <v>Invoiced</v>
      </c>
      <c r="I1063" t="str">
        <f>Raw_Data!F1063</f>
        <v>SMS/ Tele-Out</v>
      </c>
      <c r="J1063" t="str">
        <f>Raw_Data!G1063</f>
        <v>Database Activity(Teleout/SMS)</v>
      </c>
      <c r="K1063" t="str">
        <f>IFERROR(VLOOKUP(J1063,Source_Assumptions!$A:$C,2,0),"Unmapped")</f>
        <v>Outbound/Database</v>
      </c>
      <c r="L1063" t="str">
        <f>Raw_Data!H1063</f>
        <v>AMAZE Petrol</v>
      </c>
      <c r="M1063" t="str">
        <f>IFERROR(VLOOKUP(L1063,Model_Assumptions!$A:$D,2,0),"Unmapped")</f>
        <v>Sub-4m Sedan</v>
      </c>
      <c r="N1063" t="str">
        <f>IFERROR(VLOOKUP(L1063,Model_Assumptions!$A:$D,3,0),"Unmapped")</f>
        <v>Petrol</v>
      </c>
      <c r="O1063">
        <f>IFERROR(VLOOKUP(L1063,Model_Assumptions!$A:$D,4,0),0)</f>
        <v>850000</v>
      </c>
      <c r="P1063">
        <f>IFERROR(VLOOKUP(J1063,Source_Assumptions!$A:$C,3,0),0)</f>
        <v>250</v>
      </c>
    </row>
    <row r="1064" spans="1:16" x14ac:dyDescent="0.3">
      <c r="A1064">
        <f>Raw_Data!A1064</f>
        <v>1063</v>
      </c>
      <c r="B1064" s="2">
        <f>Raw_Data!B1064</f>
        <v>45378.680787037003</v>
      </c>
      <c r="C1064">
        <f>YEAR(Raw_Data!B1064)</f>
        <v>2024</v>
      </c>
      <c r="D1064" t="str">
        <f>IF(MONTH(Raw_Data!B1064)&gt;=4,YEAR(Raw_Data!B1064)&amp;"-"&amp;RIGHT(YEAR(Raw_Data!B1064)+1,2),YEAR(Raw_Data!B1064)-1&amp;"-"&amp;RIGHT(YEAR(Raw_Data!B1064),2))</f>
        <v>2023-24</v>
      </c>
      <c r="E1064" t="str">
        <f>"Q"&amp;ROUNDUP(MONTH(Raw_Data!B1064)/3,0)</f>
        <v>Q1</v>
      </c>
      <c r="F1064" t="str">
        <f>TEXT(Raw_Data!B1064,"mmm")</f>
        <v>Mar</v>
      </c>
      <c r="G1064" t="str">
        <f>TEXT(Raw_Data!B1064,"ddd")</f>
        <v>Wed</v>
      </c>
      <c r="H1064" t="str">
        <f>Raw_Data!D1064</f>
        <v>Invoiced</v>
      </c>
      <c r="I1064" t="str">
        <f>Raw_Data!F1064</f>
        <v>Web Lead</v>
      </c>
      <c r="J1064" t="str">
        <f>Raw_Data!G1064</f>
        <v>Web_Organic</v>
      </c>
      <c r="K1064" t="str">
        <f>IFERROR(VLOOKUP(J1064,Source_Assumptions!$A:$C,2,0),"Unmapped")</f>
        <v>Digital - Organic</v>
      </c>
      <c r="L1064" t="str">
        <f>Raw_Data!H1064</f>
        <v>ELEVATE</v>
      </c>
      <c r="M1064" t="str">
        <f>IFERROR(VLOOKUP(L1064,Model_Assumptions!$A:$D,2,0),"Unmapped")</f>
        <v>Compact SUV</v>
      </c>
      <c r="N1064" t="str">
        <f>IFERROR(VLOOKUP(L1064,Model_Assumptions!$A:$D,3,0),"Unmapped")</f>
        <v>Petrol</v>
      </c>
      <c r="O1064">
        <f>IFERROR(VLOOKUP(L1064,Model_Assumptions!$A:$D,4,0),0)</f>
        <v>1300000</v>
      </c>
      <c r="P1064">
        <f>IFERROR(VLOOKUP(J1064,Source_Assumptions!$A:$C,3,0),0)</f>
        <v>100</v>
      </c>
    </row>
    <row r="1065" spans="1:16" x14ac:dyDescent="0.3">
      <c r="A1065">
        <f>Raw_Data!A1065</f>
        <v>1064</v>
      </c>
      <c r="B1065" s="2">
        <f>Raw_Data!B1065</f>
        <v>45378.701180555603</v>
      </c>
      <c r="C1065">
        <f>YEAR(Raw_Data!B1065)</f>
        <v>2024</v>
      </c>
      <c r="D1065" t="str">
        <f>IF(MONTH(Raw_Data!B1065)&gt;=4,YEAR(Raw_Data!B1065)&amp;"-"&amp;RIGHT(YEAR(Raw_Data!B1065)+1,2),YEAR(Raw_Data!B1065)-1&amp;"-"&amp;RIGHT(YEAR(Raw_Data!B1065),2))</f>
        <v>2023-24</v>
      </c>
      <c r="E1065" t="str">
        <f>"Q"&amp;ROUNDUP(MONTH(Raw_Data!B1065)/3,0)</f>
        <v>Q1</v>
      </c>
      <c r="F1065" t="str">
        <f>TEXT(Raw_Data!B1065,"mmm")</f>
        <v>Mar</v>
      </c>
      <c r="G1065" t="str">
        <f>TEXT(Raw_Data!B1065,"ddd")</f>
        <v>Wed</v>
      </c>
      <c r="H1065" t="str">
        <f>Raw_Data!D1065</f>
        <v>Invoiced</v>
      </c>
      <c r="I1065" t="str">
        <f>Raw_Data!F1065</f>
        <v>SMS/ Tele-Out</v>
      </c>
      <c r="J1065" t="str">
        <f>Raw_Data!G1065</f>
        <v>Database Activity(Teleout/SMS)</v>
      </c>
      <c r="K1065" t="str">
        <f>IFERROR(VLOOKUP(J1065,Source_Assumptions!$A:$C,2,0),"Unmapped")</f>
        <v>Outbound/Database</v>
      </c>
      <c r="L1065" t="str">
        <f>Raw_Data!H1065</f>
        <v>ELEVATE</v>
      </c>
      <c r="M1065" t="str">
        <f>IFERROR(VLOOKUP(L1065,Model_Assumptions!$A:$D,2,0),"Unmapped")</f>
        <v>Compact SUV</v>
      </c>
      <c r="N1065" t="str">
        <f>IFERROR(VLOOKUP(L1065,Model_Assumptions!$A:$D,3,0),"Unmapped")</f>
        <v>Petrol</v>
      </c>
      <c r="O1065">
        <f>IFERROR(VLOOKUP(L1065,Model_Assumptions!$A:$D,4,0),0)</f>
        <v>1300000</v>
      </c>
      <c r="P1065">
        <f>IFERROR(VLOOKUP(J1065,Source_Assumptions!$A:$C,3,0),0)</f>
        <v>250</v>
      </c>
    </row>
    <row r="1066" spans="1:16" x14ac:dyDescent="0.3">
      <c r="A1066">
        <f>Raw_Data!A1066</f>
        <v>1065</v>
      </c>
      <c r="B1066" s="2">
        <f>Raw_Data!B1066</f>
        <v>45378.749421296299</v>
      </c>
      <c r="C1066">
        <f>YEAR(Raw_Data!B1066)</f>
        <v>2024</v>
      </c>
      <c r="D1066" t="str">
        <f>IF(MONTH(Raw_Data!B1066)&gt;=4,YEAR(Raw_Data!B1066)&amp;"-"&amp;RIGHT(YEAR(Raw_Data!B1066)+1,2),YEAR(Raw_Data!B1066)-1&amp;"-"&amp;RIGHT(YEAR(Raw_Data!B1066),2))</f>
        <v>2023-24</v>
      </c>
      <c r="E1066" t="str">
        <f>"Q"&amp;ROUNDUP(MONTH(Raw_Data!B1066)/3,0)</f>
        <v>Q1</v>
      </c>
      <c r="F1066" t="str">
        <f>TEXT(Raw_Data!B1066,"mmm")</f>
        <v>Mar</v>
      </c>
      <c r="G1066" t="str">
        <f>TEXT(Raw_Data!B1066,"ddd")</f>
        <v>Wed</v>
      </c>
      <c r="H1066" t="str">
        <f>Raw_Data!D1066</f>
        <v>Invoiced</v>
      </c>
      <c r="I1066" t="str">
        <f>Raw_Data!F1066</f>
        <v>Walk-in Showroom</v>
      </c>
      <c r="J1066" t="str">
        <f>Raw_Data!G1066</f>
        <v>Adver. (TVC/Print/Hoarding/FM)</v>
      </c>
      <c r="K1066" t="str">
        <f>IFERROR(VLOOKUP(J1066,Source_Assumptions!$A:$C,2,0),"Unmapped")</f>
        <v>Traditional Advertising</v>
      </c>
      <c r="L1066" t="str">
        <f>Raw_Data!H1066</f>
        <v>ELEVATE</v>
      </c>
      <c r="M1066" t="str">
        <f>IFERROR(VLOOKUP(L1066,Model_Assumptions!$A:$D,2,0),"Unmapped")</f>
        <v>Compact SUV</v>
      </c>
      <c r="N1066" t="str">
        <f>IFERROR(VLOOKUP(L1066,Model_Assumptions!$A:$D,3,0),"Unmapped")</f>
        <v>Petrol</v>
      </c>
      <c r="O1066">
        <f>IFERROR(VLOOKUP(L1066,Model_Assumptions!$A:$D,4,0),0)</f>
        <v>1300000</v>
      </c>
      <c r="P1066">
        <f>IFERROR(VLOOKUP(J1066,Source_Assumptions!$A:$C,3,0),0)</f>
        <v>1200</v>
      </c>
    </row>
    <row r="1067" spans="1:16" x14ac:dyDescent="0.3">
      <c r="A1067">
        <f>Raw_Data!A1067</f>
        <v>1066</v>
      </c>
      <c r="B1067" s="2">
        <f>Raw_Data!B1067</f>
        <v>45379.578599537002</v>
      </c>
      <c r="C1067">
        <f>YEAR(Raw_Data!B1067)</f>
        <v>2024</v>
      </c>
      <c r="D1067" t="str">
        <f>IF(MONTH(Raw_Data!B1067)&gt;=4,YEAR(Raw_Data!B1067)&amp;"-"&amp;RIGHT(YEAR(Raw_Data!B1067)+1,2),YEAR(Raw_Data!B1067)-1&amp;"-"&amp;RIGHT(YEAR(Raw_Data!B1067),2))</f>
        <v>2023-24</v>
      </c>
      <c r="E1067" t="str">
        <f>"Q"&amp;ROUNDUP(MONTH(Raw_Data!B1067)/3,0)</f>
        <v>Q1</v>
      </c>
      <c r="F1067" t="str">
        <f>TEXT(Raw_Data!B1067,"mmm")</f>
        <v>Mar</v>
      </c>
      <c r="G1067" t="str">
        <f>TEXT(Raw_Data!B1067,"ddd")</f>
        <v>Thu</v>
      </c>
      <c r="H1067" t="str">
        <f>Raw_Data!D1067</f>
        <v>Invoiced</v>
      </c>
      <c r="I1067" t="str">
        <f>Raw_Data!F1067</f>
        <v>Web Lead</v>
      </c>
      <c r="J1067" t="str">
        <f>Raw_Data!G1067</f>
        <v>Web</v>
      </c>
      <c r="K1067" t="str">
        <f>IFERROR(VLOOKUP(J1067,Source_Assumptions!$A:$C,2,0),"Unmapped")</f>
        <v>Digital - Owned</v>
      </c>
      <c r="L1067" t="str">
        <f>Raw_Data!H1067</f>
        <v>ELEVATE</v>
      </c>
      <c r="M1067" t="str">
        <f>IFERROR(VLOOKUP(L1067,Model_Assumptions!$A:$D,2,0),"Unmapped")</f>
        <v>Compact SUV</v>
      </c>
      <c r="N1067" t="str">
        <f>IFERROR(VLOOKUP(L1067,Model_Assumptions!$A:$D,3,0),"Unmapped")</f>
        <v>Petrol</v>
      </c>
      <c r="O1067">
        <f>IFERROR(VLOOKUP(L1067,Model_Assumptions!$A:$D,4,0),0)</f>
        <v>1300000</v>
      </c>
      <c r="P1067">
        <f>IFERROR(VLOOKUP(J1067,Source_Assumptions!$A:$C,3,0),0)</f>
        <v>300</v>
      </c>
    </row>
    <row r="1068" spans="1:16" x14ac:dyDescent="0.3">
      <c r="A1068">
        <f>Raw_Data!A1068</f>
        <v>1067</v>
      </c>
      <c r="B1068" s="2">
        <f>Raw_Data!B1068</f>
        <v>45379.654861111099</v>
      </c>
      <c r="C1068">
        <f>YEAR(Raw_Data!B1068)</f>
        <v>2024</v>
      </c>
      <c r="D1068" t="str">
        <f>IF(MONTH(Raw_Data!B1068)&gt;=4,YEAR(Raw_Data!B1068)&amp;"-"&amp;RIGHT(YEAR(Raw_Data!B1068)+1,2),YEAR(Raw_Data!B1068)-1&amp;"-"&amp;RIGHT(YEAR(Raw_Data!B1068),2))</f>
        <v>2023-24</v>
      </c>
      <c r="E1068" t="str">
        <f>"Q"&amp;ROUNDUP(MONTH(Raw_Data!B1068)/3,0)</f>
        <v>Q1</v>
      </c>
      <c r="F1068" t="str">
        <f>TEXT(Raw_Data!B1068,"mmm")</f>
        <v>Mar</v>
      </c>
      <c r="G1068" t="str">
        <f>TEXT(Raw_Data!B1068,"ddd")</f>
        <v>Thu</v>
      </c>
      <c r="H1068" t="str">
        <f>Raw_Data!D1068</f>
        <v>Invoiced</v>
      </c>
      <c r="I1068" t="str">
        <f>Raw_Data!F1068</f>
        <v>SMS/ Tele-Out</v>
      </c>
      <c r="J1068" t="str">
        <f>Raw_Data!G1068</f>
        <v>Database Activity(Teleout/SMS)</v>
      </c>
      <c r="K1068" t="str">
        <f>IFERROR(VLOOKUP(J1068,Source_Assumptions!$A:$C,2,0),"Unmapped")</f>
        <v>Outbound/Database</v>
      </c>
      <c r="L1068" t="str">
        <f>Raw_Data!H1068</f>
        <v>ELEVATE</v>
      </c>
      <c r="M1068" t="str">
        <f>IFERROR(VLOOKUP(L1068,Model_Assumptions!$A:$D,2,0),"Unmapped")</f>
        <v>Compact SUV</v>
      </c>
      <c r="N1068" t="str">
        <f>IFERROR(VLOOKUP(L1068,Model_Assumptions!$A:$D,3,0),"Unmapped")</f>
        <v>Petrol</v>
      </c>
      <c r="O1068">
        <f>IFERROR(VLOOKUP(L1068,Model_Assumptions!$A:$D,4,0),0)</f>
        <v>1300000</v>
      </c>
      <c r="P1068">
        <f>IFERROR(VLOOKUP(J1068,Source_Assumptions!$A:$C,3,0),0)</f>
        <v>250</v>
      </c>
    </row>
    <row r="1069" spans="1:16" x14ac:dyDescent="0.3">
      <c r="A1069">
        <f>Raw_Data!A1069</f>
        <v>1068</v>
      </c>
      <c r="B1069" s="2">
        <f>Raw_Data!B1069</f>
        <v>45379.692280092597</v>
      </c>
      <c r="C1069">
        <f>YEAR(Raw_Data!B1069)</f>
        <v>2024</v>
      </c>
      <c r="D1069" t="str">
        <f>IF(MONTH(Raw_Data!B1069)&gt;=4,YEAR(Raw_Data!B1069)&amp;"-"&amp;RIGHT(YEAR(Raw_Data!B1069)+1,2),YEAR(Raw_Data!B1069)-1&amp;"-"&amp;RIGHT(YEAR(Raw_Data!B1069),2))</f>
        <v>2023-24</v>
      </c>
      <c r="E1069" t="str">
        <f>"Q"&amp;ROUNDUP(MONTH(Raw_Data!B1069)/3,0)</f>
        <v>Q1</v>
      </c>
      <c r="F1069" t="str">
        <f>TEXT(Raw_Data!B1069,"mmm")</f>
        <v>Mar</v>
      </c>
      <c r="G1069" t="str">
        <f>TEXT(Raw_Data!B1069,"ddd")</f>
        <v>Thu</v>
      </c>
      <c r="H1069" t="str">
        <f>Raw_Data!D1069</f>
        <v>Invoiced</v>
      </c>
      <c r="I1069" t="str">
        <f>Raw_Data!F1069</f>
        <v>SMS/ Tele-Out</v>
      </c>
      <c r="J1069" t="str">
        <f>Raw_Data!G1069</f>
        <v>Database Activity(Teleout/SMS)</v>
      </c>
      <c r="K1069" t="str">
        <f>IFERROR(VLOOKUP(J1069,Source_Assumptions!$A:$C,2,0),"Unmapped")</f>
        <v>Outbound/Database</v>
      </c>
      <c r="L1069" t="str">
        <f>Raw_Data!H1069</f>
        <v>ELEVATE</v>
      </c>
      <c r="M1069" t="str">
        <f>IFERROR(VLOOKUP(L1069,Model_Assumptions!$A:$D,2,0),"Unmapped")</f>
        <v>Compact SUV</v>
      </c>
      <c r="N1069" t="str">
        <f>IFERROR(VLOOKUP(L1069,Model_Assumptions!$A:$D,3,0),"Unmapped")</f>
        <v>Petrol</v>
      </c>
      <c r="O1069">
        <f>IFERROR(VLOOKUP(L1069,Model_Assumptions!$A:$D,4,0),0)</f>
        <v>1300000</v>
      </c>
      <c r="P1069">
        <f>IFERROR(VLOOKUP(J1069,Source_Assumptions!$A:$C,3,0),0)</f>
        <v>250</v>
      </c>
    </row>
    <row r="1070" spans="1:16" x14ac:dyDescent="0.3">
      <c r="A1070">
        <f>Raw_Data!A1070</f>
        <v>1069</v>
      </c>
      <c r="B1070" s="2">
        <f>Raw_Data!B1070</f>
        <v>45379.707962963003</v>
      </c>
      <c r="C1070">
        <f>YEAR(Raw_Data!B1070)</f>
        <v>2024</v>
      </c>
      <c r="D1070" t="str">
        <f>IF(MONTH(Raw_Data!B1070)&gt;=4,YEAR(Raw_Data!B1070)&amp;"-"&amp;RIGHT(YEAR(Raw_Data!B1070)+1,2),YEAR(Raw_Data!B1070)-1&amp;"-"&amp;RIGHT(YEAR(Raw_Data!B1070),2))</f>
        <v>2023-24</v>
      </c>
      <c r="E1070" t="str">
        <f>"Q"&amp;ROUNDUP(MONTH(Raw_Data!B1070)/3,0)</f>
        <v>Q1</v>
      </c>
      <c r="F1070" t="str">
        <f>TEXT(Raw_Data!B1070,"mmm")</f>
        <v>Mar</v>
      </c>
      <c r="G1070" t="str">
        <f>TEXT(Raw_Data!B1070,"ddd")</f>
        <v>Thu</v>
      </c>
      <c r="H1070" t="str">
        <f>Raw_Data!D1070</f>
        <v>Invoiced</v>
      </c>
      <c r="I1070" t="str">
        <f>Raw_Data!F1070</f>
        <v>SMS/ Tele-Out</v>
      </c>
      <c r="J1070" t="str">
        <f>Raw_Data!G1070</f>
        <v>Database Activity(Teleout/SMS)</v>
      </c>
      <c r="K1070" t="str">
        <f>IFERROR(VLOOKUP(J1070,Source_Assumptions!$A:$C,2,0),"Unmapped")</f>
        <v>Outbound/Database</v>
      </c>
      <c r="L1070" t="str">
        <f>Raw_Data!H1070</f>
        <v>ELEVATE</v>
      </c>
      <c r="M1070" t="str">
        <f>IFERROR(VLOOKUP(L1070,Model_Assumptions!$A:$D,2,0),"Unmapped")</f>
        <v>Compact SUV</v>
      </c>
      <c r="N1070" t="str">
        <f>IFERROR(VLOOKUP(L1070,Model_Assumptions!$A:$D,3,0),"Unmapped")</f>
        <v>Petrol</v>
      </c>
      <c r="O1070">
        <f>IFERROR(VLOOKUP(L1070,Model_Assumptions!$A:$D,4,0),0)</f>
        <v>1300000</v>
      </c>
      <c r="P1070">
        <f>IFERROR(VLOOKUP(J1070,Source_Assumptions!$A:$C,3,0),0)</f>
        <v>250</v>
      </c>
    </row>
    <row r="1071" spans="1:16" x14ac:dyDescent="0.3">
      <c r="A1071">
        <f>Raw_Data!A1071</f>
        <v>1070</v>
      </c>
      <c r="B1071" s="2">
        <f>Raw_Data!B1071</f>
        <v>45379.722442129598</v>
      </c>
      <c r="C1071">
        <f>YEAR(Raw_Data!B1071)</f>
        <v>2024</v>
      </c>
      <c r="D1071" t="str">
        <f>IF(MONTH(Raw_Data!B1071)&gt;=4,YEAR(Raw_Data!B1071)&amp;"-"&amp;RIGHT(YEAR(Raw_Data!B1071)+1,2),YEAR(Raw_Data!B1071)-1&amp;"-"&amp;RIGHT(YEAR(Raw_Data!B1071),2))</f>
        <v>2023-24</v>
      </c>
      <c r="E1071" t="str">
        <f>"Q"&amp;ROUNDUP(MONTH(Raw_Data!B1071)/3,0)</f>
        <v>Q1</v>
      </c>
      <c r="F1071" t="str">
        <f>TEXT(Raw_Data!B1071,"mmm")</f>
        <v>Mar</v>
      </c>
      <c r="G1071" t="str">
        <f>TEXT(Raw_Data!B1071,"ddd")</f>
        <v>Thu</v>
      </c>
      <c r="H1071" t="str">
        <f>Raw_Data!D1071</f>
        <v>Invoiced</v>
      </c>
      <c r="I1071" t="str">
        <f>Raw_Data!F1071</f>
        <v>Web Lead</v>
      </c>
      <c r="J1071" t="str">
        <f>Raw_Data!G1071</f>
        <v>Web_SEM</v>
      </c>
      <c r="K1071" t="str">
        <f>IFERROR(VLOOKUP(J1071,Source_Assumptions!$A:$C,2,0),"Unmapped")</f>
        <v>Digital - Paid Search</v>
      </c>
      <c r="L1071" t="str">
        <f>Raw_Data!H1071</f>
        <v>ELEVATE</v>
      </c>
      <c r="M1071" t="str">
        <f>IFERROR(VLOOKUP(L1071,Model_Assumptions!$A:$D,2,0),"Unmapped")</f>
        <v>Compact SUV</v>
      </c>
      <c r="N1071" t="str">
        <f>IFERROR(VLOOKUP(L1071,Model_Assumptions!$A:$D,3,0),"Unmapped")</f>
        <v>Petrol</v>
      </c>
      <c r="O1071">
        <f>IFERROR(VLOOKUP(L1071,Model_Assumptions!$A:$D,4,0),0)</f>
        <v>1300000</v>
      </c>
      <c r="P1071">
        <f>IFERROR(VLOOKUP(J1071,Source_Assumptions!$A:$C,3,0),0)</f>
        <v>700</v>
      </c>
    </row>
    <row r="1072" spans="1:16" x14ac:dyDescent="0.3">
      <c r="A1072">
        <f>Raw_Data!A1072</f>
        <v>1071</v>
      </c>
      <c r="B1072" s="2">
        <f>Raw_Data!B1072</f>
        <v>45379.7269675926</v>
      </c>
      <c r="C1072">
        <f>YEAR(Raw_Data!B1072)</f>
        <v>2024</v>
      </c>
      <c r="D1072" t="str">
        <f>IF(MONTH(Raw_Data!B1072)&gt;=4,YEAR(Raw_Data!B1072)&amp;"-"&amp;RIGHT(YEAR(Raw_Data!B1072)+1,2),YEAR(Raw_Data!B1072)-1&amp;"-"&amp;RIGHT(YEAR(Raw_Data!B1072),2))</f>
        <v>2023-24</v>
      </c>
      <c r="E1072" t="str">
        <f>"Q"&amp;ROUNDUP(MONTH(Raw_Data!B1072)/3,0)</f>
        <v>Q1</v>
      </c>
      <c r="F1072" t="str">
        <f>TEXT(Raw_Data!B1072,"mmm")</f>
        <v>Mar</v>
      </c>
      <c r="G1072" t="str">
        <f>TEXT(Raw_Data!B1072,"ddd")</f>
        <v>Thu</v>
      </c>
      <c r="H1072" t="str">
        <f>Raw_Data!D1072</f>
        <v>Invoiced</v>
      </c>
      <c r="I1072" t="str">
        <f>Raw_Data!F1072</f>
        <v>Tele-in</v>
      </c>
      <c r="J1072" t="str">
        <f>Raw_Data!G1072</f>
        <v>Referral-CAM</v>
      </c>
      <c r="K1072" t="str">
        <f>IFERROR(VLOOKUP(J1072,Source_Assumptions!$A:$C,2,0),"Unmapped")</f>
        <v>Referral</v>
      </c>
      <c r="L1072" t="str">
        <f>Raw_Data!H1072</f>
        <v>AMAZE Petrol</v>
      </c>
      <c r="M1072" t="str">
        <f>IFERROR(VLOOKUP(L1072,Model_Assumptions!$A:$D,2,0),"Unmapped")</f>
        <v>Sub-4m Sedan</v>
      </c>
      <c r="N1072" t="str">
        <f>IFERROR(VLOOKUP(L1072,Model_Assumptions!$A:$D,3,0),"Unmapped")</f>
        <v>Petrol</v>
      </c>
      <c r="O1072">
        <f>IFERROR(VLOOKUP(L1072,Model_Assumptions!$A:$D,4,0),0)</f>
        <v>850000</v>
      </c>
      <c r="P1072">
        <f>IFERROR(VLOOKUP(J1072,Source_Assumptions!$A:$C,3,0),0)</f>
        <v>150</v>
      </c>
    </row>
    <row r="1073" spans="1:16" x14ac:dyDescent="0.3">
      <c r="A1073">
        <f>Raw_Data!A1073</f>
        <v>1072</v>
      </c>
      <c r="B1073" s="2">
        <f>Raw_Data!B1073</f>
        <v>45381.520173611098</v>
      </c>
      <c r="C1073">
        <f>YEAR(Raw_Data!B1073)</f>
        <v>2024</v>
      </c>
      <c r="D1073" t="str">
        <f>IF(MONTH(Raw_Data!B1073)&gt;=4,YEAR(Raw_Data!B1073)&amp;"-"&amp;RIGHT(YEAR(Raw_Data!B1073)+1,2),YEAR(Raw_Data!B1073)-1&amp;"-"&amp;RIGHT(YEAR(Raw_Data!B1073),2))</f>
        <v>2023-24</v>
      </c>
      <c r="E1073" t="str">
        <f>"Q"&amp;ROUNDUP(MONTH(Raw_Data!B1073)/3,0)</f>
        <v>Q1</v>
      </c>
      <c r="F1073" t="str">
        <f>TEXT(Raw_Data!B1073,"mmm")</f>
        <v>Mar</v>
      </c>
      <c r="G1073" t="str">
        <f>TEXT(Raw_Data!B1073,"ddd")</f>
        <v>Sat</v>
      </c>
      <c r="H1073" t="str">
        <f>Raw_Data!D1073</f>
        <v>Invoiced</v>
      </c>
      <c r="I1073" t="str">
        <f>Raw_Data!F1073</f>
        <v>Tele-in</v>
      </c>
      <c r="J1073" t="str">
        <f>Raw_Data!G1073</f>
        <v>Referral-CAM</v>
      </c>
      <c r="K1073" t="str">
        <f>IFERROR(VLOOKUP(J1073,Source_Assumptions!$A:$C,2,0),"Unmapped")</f>
        <v>Referral</v>
      </c>
      <c r="L1073" t="str">
        <f>Raw_Data!H1073</f>
        <v>AMAZE Petrol</v>
      </c>
      <c r="M1073" t="str">
        <f>IFERROR(VLOOKUP(L1073,Model_Assumptions!$A:$D,2,0),"Unmapped")</f>
        <v>Sub-4m Sedan</v>
      </c>
      <c r="N1073" t="str">
        <f>IFERROR(VLOOKUP(L1073,Model_Assumptions!$A:$D,3,0),"Unmapped")</f>
        <v>Petrol</v>
      </c>
      <c r="O1073">
        <f>IFERROR(VLOOKUP(L1073,Model_Assumptions!$A:$D,4,0),0)</f>
        <v>850000</v>
      </c>
      <c r="P1073">
        <f>IFERROR(VLOOKUP(J1073,Source_Assumptions!$A:$C,3,0),0)</f>
        <v>150</v>
      </c>
    </row>
    <row r="1074" spans="1:16" x14ac:dyDescent="0.3">
      <c r="A1074">
        <f>Raw_Data!A1074</f>
        <v>1073</v>
      </c>
      <c r="B1074" s="2">
        <f>Raw_Data!B1074</f>
        <v>45381.542442129597</v>
      </c>
      <c r="C1074">
        <f>YEAR(Raw_Data!B1074)</f>
        <v>2024</v>
      </c>
      <c r="D1074" t="str">
        <f>IF(MONTH(Raw_Data!B1074)&gt;=4,YEAR(Raw_Data!B1074)&amp;"-"&amp;RIGHT(YEAR(Raw_Data!B1074)+1,2),YEAR(Raw_Data!B1074)-1&amp;"-"&amp;RIGHT(YEAR(Raw_Data!B1074),2))</f>
        <v>2023-24</v>
      </c>
      <c r="E1074" t="str">
        <f>"Q"&amp;ROUNDUP(MONTH(Raw_Data!B1074)/3,0)</f>
        <v>Q1</v>
      </c>
      <c r="F1074" t="str">
        <f>TEXT(Raw_Data!B1074,"mmm")</f>
        <v>Mar</v>
      </c>
      <c r="G1074" t="str">
        <f>TEXT(Raw_Data!B1074,"ddd")</f>
        <v>Sat</v>
      </c>
      <c r="H1074" t="str">
        <f>Raw_Data!D1074</f>
        <v>Invoiced</v>
      </c>
      <c r="I1074" t="str">
        <f>Raw_Data!F1074</f>
        <v>SMS/ Tele-Out</v>
      </c>
      <c r="J1074" t="str">
        <f>Raw_Data!G1074</f>
        <v>Referral-CAM</v>
      </c>
      <c r="K1074" t="str">
        <f>IFERROR(VLOOKUP(J1074,Source_Assumptions!$A:$C,2,0),"Unmapped")</f>
        <v>Referral</v>
      </c>
      <c r="L1074" t="str">
        <f>Raw_Data!H1074</f>
        <v>AMAZE Petrol</v>
      </c>
      <c r="M1074" t="str">
        <f>IFERROR(VLOOKUP(L1074,Model_Assumptions!$A:$D,2,0),"Unmapped")</f>
        <v>Sub-4m Sedan</v>
      </c>
      <c r="N1074" t="str">
        <f>IFERROR(VLOOKUP(L1074,Model_Assumptions!$A:$D,3,0),"Unmapped")</f>
        <v>Petrol</v>
      </c>
      <c r="O1074">
        <f>IFERROR(VLOOKUP(L1074,Model_Assumptions!$A:$D,4,0),0)</f>
        <v>850000</v>
      </c>
      <c r="P1074">
        <f>IFERROR(VLOOKUP(J1074,Source_Assumptions!$A:$C,3,0),0)</f>
        <v>150</v>
      </c>
    </row>
    <row r="1075" spans="1:16" x14ac:dyDescent="0.3">
      <c r="A1075">
        <f>Raw_Data!A1075</f>
        <v>1074</v>
      </c>
      <c r="B1075" s="2">
        <f>Raw_Data!B1075</f>
        <v>45381.559409722198</v>
      </c>
      <c r="C1075">
        <f>YEAR(Raw_Data!B1075)</f>
        <v>2024</v>
      </c>
      <c r="D1075" t="str">
        <f>IF(MONTH(Raw_Data!B1075)&gt;=4,YEAR(Raw_Data!B1075)&amp;"-"&amp;RIGHT(YEAR(Raw_Data!B1075)+1,2),YEAR(Raw_Data!B1075)-1&amp;"-"&amp;RIGHT(YEAR(Raw_Data!B1075),2))</f>
        <v>2023-24</v>
      </c>
      <c r="E1075" t="str">
        <f>"Q"&amp;ROUNDUP(MONTH(Raw_Data!B1075)/3,0)</f>
        <v>Q1</v>
      </c>
      <c r="F1075" t="str">
        <f>TEXT(Raw_Data!B1075,"mmm")</f>
        <v>Mar</v>
      </c>
      <c r="G1075" t="str">
        <f>TEXT(Raw_Data!B1075,"ddd")</f>
        <v>Sat</v>
      </c>
      <c r="H1075" t="str">
        <f>Raw_Data!D1075</f>
        <v>Invoiced</v>
      </c>
      <c r="I1075" t="str">
        <f>Raw_Data!F1075</f>
        <v>Tele-in</v>
      </c>
      <c r="J1075" t="str">
        <f>Raw_Data!G1075</f>
        <v>Referral-CAM</v>
      </c>
      <c r="K1075" t="str">
        <f>IFERROR(VLOOKUP(J1075,Source_Assumptions!$A:$C,2,0),"Unmapped")</f>
        <v>Referral</v>
      </c>
      <c r="L1075" t="str">
        <f>Raw_Data!H1075</f>
        <v>AMAZE Petrol</v>
      </c>
      <c r="M1075" t="str">
        <f>IFERROR(VLOOKUP(L1075,Model_Assumptions!$A:$D,2,0),"Unmapped")</f>
        <v>Sub-4m Sedan</v>
      </c>
      <c r="N1075" t="str">
        <f>IFERROR(VLOOKUP(L1075,Model_Assumptions!$A:$D,3,0),"Unmapped")</f>
        <v>Petrol</v>
      </c>
      <c r="O1075">
        <f>IFERROR(VLOOKUP(L1075,Model_Assumptions!$A:$D,4,0),0)</f>
        <v>850000</v>
      </c>
      <c r="P1075">
        <f>IFERROR(VLOOKUP(J1075,Source_Assumptions!$A:$C,3,0),0)</f>
        <v>150</v>
      </c>
    </row>
    <row r="1076" spans="1:16" x14ac:dyDescent="0.3">
      <c r="A1076">
        <f>Raw_Data!A1076</f>
        <v>1075</v>
      </c>
      <c r="B1076" s="2">
        <f>Raw_Data!B1076</f>
        <v>45381.620069444398</v>
      </c>
      <c r="C1076">
        <f>YEAR(Raw_Data!B1076)</f>
        <v>2024</v>
      </c>
      <c r="D1076" t="str">
        <f>IF(MONTH(Raw_Data!B1076)&gt;=4,YEAR(Raw_Data!B1076)&amp;"-"&amp;RIGHT(YEAR(Raw_Data!B1076)+1,2),YEAR(Raw_Data!B1076)-1&amp;"-"&amp;RIGHT(YEAR(Raw_Data!B1076),2))</f>
        <v>2023-24</v>
      </c>
      <c r="E1076" t="str">
        <f>"Q"&amp;ROUNDUP(MONTH(Raw_Data!B1076)/3,0)</f>
        <v>Q1</v>
      </c>
      <c r="F1076" t="str">
        <f>TEXT(Raw_Data!B1076,"mmm")</f>
        <v>Mar</v>
      </c>
      <c r="G1076" t="str">
        <f>TEXT(Raw_Data!B1076,"ddd")</f>
        <v>Sat</v>
      </c>
      <c r="H1076" t="str">
        <f>Raw_Data!D1076</f>
        <v>Invoiced</v>
      </c>
      <c r="I1076" t="str">
        <f>Raw_Data!F1076</f>
        <v>Tele-in</v>
      </c>
      <c r="J1076" t="str">
        <f>Raw_Data!G1076</f>
        <v>Dealer Webpage Tele-In</v>
      </c>
      <c r="K1076" t="str">
        <f>IFERROR(VLOOKUP(J1076,Source_Assumptions!$A:$C,2,0),"Unmapped")</f>
        <v>Digital - Owned</v>
      </c>
      <c r="L1076" t="str">
        <f>Raw_Data!H1076</f>
        <v>AMAZE Petrol</v>
      </c>
      <c r="M1076" t="str">
        <f>IFERROR(VLOOKUP(L1076,Model_Assumptions!$A:$D,2,0),"Unmapped")</f>
        <v>Sub-4m Sedan</v>
      </c>
      <c r="N1076" t="str">
        <f>IFERROR(VLOOKUP(L1076,Model_Assumptions!$A:$D,3,0),"Unmapped")</f>
        <v>Petrol</v>
      </c>
      <c r="O1076">
        <f>IFERROR(VLOOKUP(L1076,Model_Assumptions!$A:$D,4,0),0)</f>
        <v>850000</v>
      </c>
      <c r="P1076">
        <f>IFERROR(VLOOKUP(J1076,Source_Assumptions!$A:$C,3,0),0)</f>
        <v>300</v>
      </c>
    </row>
    <row r="1077" spans="1:16" x14ac:dyDescent="0.3">
      <c r="A1077">
        <f>Raw_Data!A1077</f>
        <v>1076</v>
      </c>
      <c r="B1077" s="2">
        <f>Raw_Data!B1077</f>
        <v>45381.7366666667</v>
      </c>
      <c r="C1077">
        <f>YEAR(Raw_Data!B1077)</f>
        <v>2024</v>
      </c>
      <c r="D1077" t="str">
        <f>IF(MONTH(Raw_Data!B1077)&gt;=4,YEAR(Raw_Data!B1077)&amp;"-"&amp;RIGHT(YEAR(Raw_Data!B1077)+1,2),YEAR(Raw_Data!B1077)-1&amp;"-"&amp;RIGHT(YEAR(Raw_Data!B1077),2))</f>
        <v>2023-24</v>
      </c>
      <c r="E1077" t="str">
        <f>"Q"&amp;ROUNDUP(MONTH(Raw_Data!B1077)/3,0)</f>
        <v>Q1</v>
      </c>
      <c r="F1077" t="str">
        <f>TEXT(Raw_Data!B1077,"mmm")</f>
        <v>Mar</v>
      </c>
      <c r="G1077" t="str">
        <f>TEXT(Raw_Data!B1077,"ddd")</f>
        <v>Sat</v>
      </c>
      <c r="H1077" t="str">
        <f>Raw_Data!D1077</f>
        <v>Invoiced</v>
      </c>
      <c r="I1077" t="str">
        <f>Raw_Data!F1077</f>
        <v>Walk-in Showroom</v>
      </c>
      <c r="J1077" t="str">
        <f>Raw_Data!G1077</f>
        <v>Adver. (TVC/Print/Hoarding/FM)</v>
      </c>
      <c r="K1077" t="str">
        <f>IFERROR(VLOOKUP(J1077,Source_Assumptions!$A:$C,2,0),"Unmapped")</f>
        <v>Traditional Advertising</v>
      </c>
      <c r="L1077" t="str">
        <f>Raw_Data!H1077</f>
        <v>ELEVATE</v>
      </c>
      <c r="M1077" t="str">
        <f>IFERROR(VLOOKUP(L1077,Model_Assumptions!$A:$D,2,0),"Unmapped")</f>
        <v>Compact SUV</v>
      </c>
      <c r="N1077" t="str">
        <f>IFERROR(VLOOKUP(L1077,Model_Assumptions!$A:$D,3,0),"Unmapped")</f>
        <v>Petrol</v>
      </c>
      <c r="O1077">
        <f>IFERROR(VLOOKUP(L1077,Model_Assumptions!$A:$D,4,0),0)</f>
        <v>1300000</v>
      </c>
      <c r="P1077">
        <f>IFERROR(VLOOKUP(J1077,Source_Assumptions!$A:$C,3,0),0)</f>
        <v>1200</v>
      </c>
    </row>
    <row r="1078" spans="1:16" x14ac:dyDescent="0.3">
      <c r="A1078">
        <f>Raw_Data!A1078</f>
        <v>1077</v>
      </c>
      <c r="B1078" s="2">
        <f>Raw_Data!B1078</f>
        <v>45381.783298611103</v>
      </c>
      <c r="C1078">
        <f>YEAR(Raw_Data!B1078)</f>
        <v>2024</v>
      </c>
      <c r="D1078" t="str">
        <f>IF(MONTH(Raw_Data!B1078)&gt;=4,YEAR(Raw_Data!B1078)&amp;"-"&amp;RIGHT(YEAR(Raw_Data!B1078)+1,2),YEAR(Raw_Data!B1078)-1&amp;"-"&amp;RIGHT(YEAR(Raw_Data!B1078),2))</f>
        <v>2023-24</v>
      </c>
      <c r="E1078" t="str">
        <f>"Q"&amp;ROUNDUP(MONTH(Raw_Data!B1078)/3,0)</f>
        <v>Q1</v>
      </c>
      <c r="F1078" t="str">
        <f>TEXT(Raw_Data!B1078,"mmm")</f>
        <v>Mar</v>
      </c>
      <c r="G1078" t="str">
        <f>TEXT(Raw_Data!B1078,"ddd")</f>
        <v>Sat</v>
      </c>
      <c r="H1078" t="str">
        <f>Raw_Data!D1078</f>
        <v>Invoiced</v>
      </c>
      <c r="I1078" t="str">
        <f>Raw_Data!F1078</f>
        <v>Web Lead</v>
      </c>
      <c r="J1078" t="str">
        <f>Raw_Data!G1078</f>
        <v>Web</v>
      </c>
      <c r="K1078" t="str">
        <f>IFERROR(VLOOKUP(J1078,Source_Assumptions!$A:$C,2,0),"Unmapped")</f>
        <v>Digital - Owned</v>
      </c>
      <c r="L1078" t="str">
        <f>Raw_Data!H1078</f>
        <v>ELEVATE</v>
      </c>
      <c r="M1078" t="str">
        <f>IFERROR(VLOOKUP(L1078,Model_Assumptions!$A:$D,2,0),"Unmapped")</f>
        <v>Compact SUV</v>
      </c>
      <c r="N1078" t="str">
        <f>IFERROR(VLOOKUP(L1078,Model_Assumptions!$A:$D,3,0),"Unmapped")</f>
        <v>Petrol</v>
      </c>
      <c r="O1078">
        <f>IFERROR(VLOOKUP(L1078,Model_Assumptions!$A:$D,4,0),0)</f>
        <v>1300000</v>
      </c>
      <c r="P1078">
        <f>IFERROR(VLOOKUP(J1078,Source_Assumptions!$A:$C,3,0),0)</f>
        <v>300</v>
      </c>
    </row>
    <row r="1079" spans="1:16" x14ac:dyDescent="0.3">
      <c r="A1079">
        <f>Raw_Data!A1079</f>
        <v>1078</v>
      </c>
      <c r="B1079" s="2">
        <f>Raw_Data!B1079</f>
        <v>45387.715046296304</v>
      </c>
      <c r="C1079">
        <f>YEAR(Raw_Data!B1079)</f>
        <v>2024</v>
      </c>
      <c r="D1079" t="str">
        <f>IF(MONTH(Raw_Data!B1079)&gt;=4,YEAR(Raw_Data!B1079)&amp;"-"&amp;RIGHT(YEAR(Raw_Data!B1079)+1,2),YEAR(Raw_Data!B1079)-1&amp;"-"&amp;RIGHT(YEAR(Raw_Data!B1079),2))</f>
        <v>2024-25</v>
      </c>
      <c r="E1079" t="str">
        <f>"Q"&amp;ROUNDUP(MONTH(Raw_Data!B1079)/3,0)</f>
        <v>Q2</v>
      </c>
      <c r="F1079" t="str">
        <f>TEXT(Raw_Data!B1079,"mmm")</f>
        <v>Apr</v>
      </c>
      <c r="G1079" t="str">
        <f>TEXT(Raw_Data!B1079,"ddd")</f>
        <v>Fri</v>
      </c>
      <c r="H1079" t="str">
        <f>Raw_Data!D1079</f>
        <v>Invoiced</v>
      </c>
      <c r="I1079" t="str">
        <f>Raw_Data!F1079</f>
        <v>Walk-in Showroom</v>
      </c>
      <c r="J1079" t="str">
        <f>Raw_Data!G1079</f>
        <v>Adver. (TVC/Print/Hoarding/FM)</v>
      </c>
      <c r="K1079" t="str">
        <f>IFERROR(VLOOKUP(J1079,Source_Assumptions!$A:$C,2,0),"Unmapped")</f>
        <v>Traditional Advertising</v>
      </c>
      <c r="L1079" t="str">
        <f>Raw_Data!H1079</f>
        <v>5TH GEN CITY PE</v>
      </c>
      <c r="M1079" t="str">
        <f>IFERROR(VLOOKUP(L1079,Model_Assumptions!$A:$D,2,0),"Unmapped")</f>
        <v>Mid-size Sedan</v>
      </c>
      <c r="N1079" t="str">
        <f>IFERROR(VLOOKUP(L1079,Model_Assumptions!$A:$D,3,0),"Unmapped")</f>
        <v>Petrol</v>
      </c>
      <c r="O1079">
        <f>IFERROR(VLOOKUP(L1079,Model_Assumptions!$A:$D,4,0),0)</f>
        <v>1250000</v>
      </c>
      <c r="P1079">
        <f>IFERROR(VLOOKUP(J1079,Source_Assumptions!$A:$C,3,0),0)</f>
        <v>1200</v>
      </c>
    </row>
    <row r="1080" spans="1:16" x14ac:dyDescent="0.3">
      <c r="A1080">
        <f>Raw_Data!A1080</f>
        <v>1079</v>
      </c>
      <c r="B1080" s="2">
        <f>Raw_Data!B1080</f>
        <v>45394.725856481498</v>
      </c>
      <c r="C1080">
        <f>YEAR(Raw_Data!B1080)</f>
        <v>2024</v>
      </c>
      <c r="D1080" t="str">
        <f>IF(MONTH(Raw_Data!B1080)&gt;=4,YEAR(Raw_Data!B1080)&amp;"-"&amp;RIGHT(YEAR(Raw_Data!B1080)+1,2),YEAR(Raw_Data!B1080)-1&amp;"-"&amp;RIGHT(YEAR(Raw_Data!B1080),2))</f>
        <v>2024-25</v>
      </c>
      <c r="E1080" t="str">
        <f>"Q"&amp;ROUNDUP(MONTH(Raw_Data!B1080)/3,0)</f>
        <v>Q2</v>
      </c>
      <c r="F1080" t="str">
        <f>TEXT(Raw_Data!B1080,"mmm")</f>
        <v>Apr</v>
      </c>
      <c r="G1080" t="str">
        <f>TEXT(Raw_Data!B1080,"ddd")</f>
        <v>Fri</v>
      </c>
      <c r="H1080" t="str">
        <f>Raw_Data!D1080</f>
        <v>Invoiced</v>
      </c>
      <c r="I1080" t="str">
        <f>Raw_Data!F1080</f>
        <v>Web Lead</v>
      </c>
      <c r="J1080" t="str">
        <f>Raw_Data!G1080</f>
        <v>Web_Organic</v>
      </c>
      <c r="K1080" t="str">
        <f>IFERROR(VLOOKUP(J1080,Source_Assumptions!$A:$C,2,0),"Unmapped")</f>
        <v>Digital - Organic</v>
      </c>
      <c r="L1080" t="str">
        <f>Raw_Data!H1080</f>
        <v>ELEVATE</v>
      </c>
      <c r="M1080" t="str">
        <f>IFERROR(VLOOKUP(L1080,Model_Assumptions!$A:$D,2,0),"Unmapped")</f>
        <v>Compact SUV</v>
      </c>
      <c r="N1080" t="str">
        <f>IFERROR(VLOOKUP(L1080,Model_Assumptions!$A:$D,3,0),"Unmapped")</f>
        <v>Petrol</v>
      </c>
      <c r="O1080">
        <f>IFERROR(VLOOKUP(L1080,Model_Assumptions!$A:$D,4,0),0)</f>
        <v>1300000</v>
      </c>
      <c r="P1080">
        <f>IFERROR(VLOOKUP(J1080,Source_Assumptions!$A:$C,3,0),0)</f>
        <v>100</v>
      </c>
    </row>
    <row r="1081" spans="1:16" x14ac:dyDescent="0.3">
      <c r="A1081">
        <f>Raw_Data!A1081</f>
        <v>1080</v>
      </c>
      <c r="B1081" s="2">
        <f>Raw_Data!B1081</f>
        <v>45395.502511574101</v>
      </c>
      <c r="C1081">
        <f>YEAR(Raw_Data!B1081)</f>
        <v>2024</v>
      </c>
      <c r="D1081" t="str">
        <f>IF(MONTH(Raw_Data!B1081)&gt;=4,YEAR(Raw_Data!B1081)&amp;"-"&amp;RIGHT(YEAR(Raw_Data!B1081)+1,2),YEAR(Raw_Data!B1081)-1&amp;"-"&amp;RIGHT(YEAR(Raw_Data!B1081),2))</f>
        <v>2024-25</v>
      </c>
      <c r="E1081" t="str">
        <f>"Q"&amp;ROUNDUP(MONTH(Raw_Data!B1081)/3,0)</f>
        <v>Q2</v>
      </c>
      <c r="F1081" t="str">
        <f>TEXT(Raw_Data!B1081,"mmm")</f>
        <v>Apr</v>
      </c>
      <c r="G1081" t="str">
        <f>TEXT(Raw_Data!B1081,"ddd")</f>
        <v>Sat</v>
      </c>
      <c r="H1081" t="str">
        <f>Raw_Data!D1081</f>
        <v>Invoiced</v>
      </c>
      <c r="I1081" t="str">
        <f>Raw_Data!F1081</f>
        <v>Web Lead</v>
      </c>
      <c r="J1081" t="str">
        <f>Raw_Data!G1081</f>
        <v>Web_Facebook</v>
      </c>
      <c r="K1081" t="str">
        <f>IFERROR(VLOOKUP(J1081,Source_Assumptions!$A:$C,2,0),"Unmapped")</f>
        <v>Digital - Paid Social</v>
      </c>
      <c r="L1081" t="str">
        <f>Raw_Data!H1081</f>
        <v>ELEVATE</v>
      </c>
      <c r="M1081" t="str">
        <f>IFERROR(VLOOKUP(L1081,Model_Assumptions!$A:$D,2,0),"Unmapped")</f>
        <v>Compact SUV</v>
      </c>
      <c r="N1081" t="str">
        <f>IFERROR(VLOOKUP(L1081,Model_Assumptions!$A:$D,3,0),"Unmapped")</f>
        <v>Petrol</v>
      </c>
      <c r="O1081">
        <f>IFERROR(VLOOKUP(L1081,Model_Assumptions!$A:$D,4,0),0)</f>
        <v>1300000</v>
      </c>
      <c r="P1081">
        <f>IFERROR(VLOOKUP(J1081,Source_Assumptions!$A:$C,3,0),0)</f>
        <v>600</v>
      </c>
    </row>
    <row r="1082" spans="1:16" x14ac:dyDescent="0.3">
      <c r="A1082">
        <f>Raw_Data!A1082</f>
        <v>1081</v>
      </c>
      <c r="B1082" s="2">
        <f>Raw_Data!B1082</f>
        <v>45397.537349537</v>
      </c>
      <c r="C1082">
        <f>YEAR(Raw_Data!B1082)</f>
        <v>2024</v>
      </c>
      <c r="D1082" t="str">
        <f>IF(MONTH(Raw_Data!B1082)&gt;=4,YEAR(Raw_Data!B1082)&amp;"-"&amp;RIGHT(YEAR(Raw_Data!B1082)+1,2),YEAR(Raw_Data!B1082)-1&amp;"-"&amp;RIGHT(YEAR(Raw_Data!B1082),2))</f>
        <v>2024-25</v>
      </c>
      <c r="E1082" t="str">
        <f>"Q"&amp;ROUNDUP(MONTH(Raw_Data!B1082)/3,0)</f>
        <v>Q2</v>
      </c>
      <c r="F1082" t="str">
        <f>TEXT(Raw_Data!B1082,"mmm")</f>
        <v>Apr</v>
      </c>
      <c r="G1082" t="str">
        <f>TEXT(Raw_Data!B1082,"ddd")</f>
        <v>Mon</v>
      </c>
      <c r="H1082" t="str">
        <f>Raw_Data!D1082</f>
        <v>Invoiced</v>
      </c>
      <c r="I1082" t="str">
        <f>Raw_Data!F1082</f>
        <v>SMS/ Tele-Out</v>
      </c>
      <c r="J1082" t="str">
        <f>Raw_Data!G1082</f>
        <v>Database Activity(Teleout/SMS)</v>
      </c>
      <c r="K1082" t="str">
        <f>IFERROR(VLOOKUP(J1082,Source_Assumptions!$A:$C,2,0),"Unmapped")</f>
        <v>Outbound/Database</v>
      </c>
      <c r="L1082" t="str">
        <f>Raw_Data!H1082</f>
        <v>ELEVATE</v>
      </c>
      <c r="M1082" t="str">
        <f>IFERROR(VLOOKUP(L1082,Model_Assumptions!$A:$D,2,0),"Unmapped")</f>
        <v>Compact SUV</v>
      </c>
      <c r="N1082" t="str">
        <f>IFERROR(VLOOKUP(L1082,Model_Assumptions!$A:$D,3,0),"Unmapped")</f>
        <v>Petrol</v>
      </c>
      <c r="O1082">
        <f>IFERROR(VLOOKUP(L1082,Model_Assumptions!$A:$D,4,0),0)</f>
        <v>1300000</v>
      </c>
      <c r="P1082">
        <f>IFERROR(VLOOKUP(J1082,Source_Assumptions!$A:$C,3,0),0)</f>
        <v>250</v>
      </c>
    </row>
    <row r="1083" spans="1:16" x14ac:dyDescent="0.3">
      <c r="A1083">
        <f>Raw_Data!A1083</f>
        <v>1082</v>
      </c>
      <c r="B1083" s="2">
        <f>Raw_Data!B1083</f>
        <v>45399.455277777801</v>
      </c>
      <c r="C1083">
        <f>YEAR(Raw_Data!B1083)</f>
        <v>2024</v>
      </c>
      <c r="D1083" t="str">
        <f>IF(MONTH(Raw_Data!B1083)&gt;=4,YEAR(Raw_Data!B1083)&amp;"-"&amp;RIGHT(YEAR(Raw_Data!B1083)+1,2),YEAR(Raw_Data!B1083)-1&amp;"-"&amp;RIGHT(YEAR(Raw_Data!B1083),2))</f>
        <v>2024-25</v>
      </c>
      <c r="E1083" t="str">
        <f>"Q"&amp;ROUNDUP(MONTH(Raw_Data!B1083)/3,0)</f>
        <v>Q2</v>
      </c>
      <c r="F1083" t="str">
        <f>TEXT(Raw_Data!B1083,"mmm")</f>
        <v>Apr</v>
      </c>
      <c r="G1083" t="str">
        <f>TEXT(Raw_Data!B1083,"ddd")</f>
        <v>Wed</v>
      </c>
      <c r="H1083" t="str">
        <f>Raw_Data!D1083</f>
        <v>Invoiced</v>
      </c>
      <c r="I1083" t="str">
        <f>Raw_Data!F1083</f>
        <v>SMS/ Tele-Out</v>
      </c>
      <c r="J1083" t="str">
        <f>Raw_Data!G1083</f>
        <v>Database Activity(Teleout/SMS)</v>
      </c>
      <c r="K1083" t="str">
        <f>IFERROR(VLOOKUP(J1083,Source_Assumptions!$A:$C,2,0),"Unmapped")</f>
        <v>Outbound/Database</v>
      </c>
      <c r="L1083" t="str">
        <f>Raw_Data!H1083</f>
        <v>ELEVATE</v>
      </c>
      <c r="M1083" t="str">
        <f>IFERROR(VLOOKUP(L1083,Model_Assumptions!$A:$D,2,0),"Unmapped")</f>
        <v>Compact SUV</v>
      </c>
      <c r="N1083" t="str">
        <f>IFERROR(VLOOKUP(L1083,Model_Assumptions!$A:$D,3,0),"Unmapped")</f>
        <v>Petrol</v>
      </c>
      <c r="O1083">
        <f>IFERROR(VLOOKUP(L1083,Model_Assumptions!$A:$D,4,0),0)</f>
        <v>1300000</v>
      </c>
      <c r="P1083">
        <f>IFERROR(VLOOKUP(J1083,Source_Assumptions!$A:$C,3,0),0)</f>
        <v>250</v>
      </c>
    </row>
    <row r="1084" spans="1:16" x14ac:dyDescent="0.3">
      <c r="A1084">
        <f>Raw_Data!A1084</f>
        <v>1083</v>
      </c>
      <c r="B1084" s="2">
        <f>Raw_Data!B1084</f>
        <v>45400.565983796303</v>
      </c>
      <c r="C1084">
        <f>YEAR(Raw_Data!B1084)</f>
        <v>2024</v>
      </c>
      <c r="D1084" t="str">
        <f>IF(MONTH(Raw_Data!B1084)&gt;=4,YEAR(Raw_Data!B1084)&amp;"-"&amp;RIGHT(YEAR(Raw_Data!B1084)+1,2),YEAR(Raw_Data!B1084)-1&amp;"-"&amp;RIGHT(YEAR(Raw_Data!B1084),2))</f>
        <v>2024-25</v>
      </c>
      <c r="E1084" t="str">
        <f>"Q"&amp;ROUNDUP(MONTH(Raw_Data!B1084)/3,0)</f>
        <v>Q2</v>
      </c>
      <c r="F1084" t="str">
        <f>TEXT(Raw_Data!B1084,"mmm")</f>
        <v>Apr</v>
      </c>
      <c r="G1084" t="str">
        <f>TEXT(Raw_Data!B1084,"ddd")</f>
        <v>Thu</v>
      </c>
      <c r="H1084" t="str">
        <f>Raw_Data!D1084</f>
        <v>Invoiced</v>
      </c>
      <c r="I1084" t="str">
        <f>Raw_Data!F1084</f>
        <v>Tele-in</v>
      </c>
      <c r="J1084" t="str">
        <f>Raw_Data!G1084</f>
        <v>Dealer Webpage Tele-In</v>
      </c>
      <c r="K1084" t="str">
        <f>IFERROR(VLOOKUP(J1084,Source_Assumptions!$A:$C,2,0),"Unmapped")</f>
        <v>Digital - Owned</v>
      </c>
      <c r="L1084" t="str">
        <f>Raw_Data!H1084</f>
        <v>AMAZE Petrol</v>
      </c>
      <c r="M1084" t="str">
        <f>IFERROR(VLOOKUP(L1084,Model_Assumptions!$A:$D,2,0),"Unmapped")</f>
        <v>Sub-4m Sedan</v>
      </c>
      <c r="N1084" t="str">
        <f>IFERROR(VLOOKUP(L1084,Model_Assumptions!$A:$D,3,0),"Unmapped")</f>
        <v>Petrol</v>
      </c>
      <c r="O1084">
        <f>IFERROR(VLOOKUP(L1084,Model_Assumptions!$A:$D,4,0),0)</f>
        <v>850000</v>
      </c>
      <c r="P1084">
        <f>IFERROR(VLOOKUP(J1084,Source_Assumptions!$A:$C,3,0),0)</f>
        <v>300</v>
      </c>
    </row>
    <row r="1085" spans="1:16" x14ac:dyDescent="0.3">
      <c r="A1085">
        <f>Raw_Data!A1085</f>
        <v>1084</v>
      </c>
      <c r="B1085" s="2">
        <f>Raw_Data!B1085</f>
        <v>45402.658819444398</v>
      </c>
      <c r="C1085">
        <f>YEAR(Raw_Data!B1085)</f>
        <v>2024</v>
      </c>
      <c r="D1085" t="str">
        <f>IF(MONTH(Raw_Data!B1085)&gt;=4,YEAR(Raw_Data!B1085)&amp;"-"&amp;RIGHT(YEAR(Raw_Data!B1085)+1,2),YEAR(Raw_Data!B1085)-1&amp;"-"&amp;RIGHT(YEAR(Raw_Data!B1085),2))</f>
        <v>2024-25</v>
      </c>
      <c r="E1085" t="str">
        <f>"Q"&amp;ROUNDUP(MONTH(Raw_Data!B1085)/3,0)</f>
        <v>Q2</v>
      </c>
      <c r="F1085" t="str">
        <f>TEXT(Raw_Data!B1085,"mmm")</f>
        <v>Apr</v>
      </c>
      <c r="G1085" t="str">
        <f>TEXT(Raw_Data!B1085,"ddd")</f>
        <v>Sat</v>
      </c>
      <c r="H1085" t="str">
        <f>Raw_Data!D1085</f>
        <v>Invoiced</v>
      </c>
      <c r="I1085" t="str">
        <f>Raw_Data!F1085</f>
        <v>SMS/ Tele-Out</v>
      </c>
      <c r="J1085" t="str">
        <f>Raw_Data!G1085</f>
        <v>Database Activity(Teleout/SMS)</v>
      </c>
      <c r="K1085" t="str">
        <f>IFERROR(VLOOKUP(J1085,Source_Assumptions!$A:$C,2,0),"Unmapped")</f>
        <v>Outbound/Database</v>
      </c>
      <c r="L1085" t="str">
        <f>Raw_Data!H1085</f>
        <v>5TH GEN CITY PE</v>
      </c>
      <c r="M1085" t="str">
        <f>IFERROR(VLOOKUP(L1085,Model_Assumptions!$A:$D,2,0),"Unmapped")</f>
        <v>Mid-size Sedan</v>
      </c>
      <c r="N1085" t="str">
        <f>IFERROR(VLOOKUP(L1085,Model_Assumptions!$A:$D,3,0),"Unmapped")</f>
        <v>Petrol</v>
      </c>
      <c r="O1085">
        <f>IFERROR(VLOOKUP(L1085,Model_Assumptions!$A:$D,4,0),0)</f>
        <v>1250000</v>
      </c>
      <c r="P1085">
        <f>IFERROR(VLOOKUP(J1085,Source_Assumptions!$A:$C,3,0),0)</f>
        <v>250</v>
      </c>
    </row>
    <row r="1086" spans="1:16" x14ac:dyDescent="0.3">
      <c r="A1086">
        <f>Raw_Data!A1086</f>
        <v>1085</v>
      </c>
      <c r="B1086" s="2">
        <f>Raw_Data!B1086</f>
        <v>45405.684479166703</v>
      </c>
      <c r="C1086">
        <f>YEAR(Raw_Data!B1086)</f>
        <v>2024</v>
      </c>
      <c r="D1086" t="str">
        <f>IF(MONTH(Raw_Data!B1086)&gt;=4,YEAR(Raw_Data!B1086)&amp;"-"&amp;RIGHT(YEAR(Raw_Data!B1086)+1,2),YEAR(Raw_Data!B1086)-1&amp;"-"&amp;RIGHT(YEAR(Raw_Data!B1086),2))</f>
        <v>2024-25</v>
      </c>
      <c r="E1086" t="str">
        <f>"Q"&amp;ROUNDUP(MONTH(Raw_Data!B1086)/3,0)</f>
        <v>Q2</v>
      </c>
      <c r="F1086" t="str">
        <f>TEXT(Raw_Data!B1086,"mmm")</f>
        <v>Apr</v>
      </c>
      <c r="G1086" t="str">
        <f>TEXT(Raw_Data!B1086,"ddd")</f>
        <v>Tue</v>
      </c>
      <c r="H1086" t="str">
        <f>Raw_Data!D1086</f>
        <v>Invoiced</v>
      </c>
      <c r="I1086" t="str">
        <f>Raw_Data!F1086</f>
        <v>Web Lead</v>
      </c>
      <c r="J1086" t="str">
        <f>Raw_Data!G1086</f>
        <v>Web_CarDekho</v>
      </c>
      <c r="K1086" t="str">
        <f>IFERROR(VLOOKUP(J1086,Source_Assumptions!$A:$C,2,0),"Unmapped")</f>
        <v>Digital - Aggregator (Paid)</v>
      </c>
      <c r="L1086" t="str">
        <f>Raw_Data!H1086</f>
        <v>AMAZE Petrol</v>
      </c>
      <c r="M1086" t="str">
        <f>IFERROR(VLOOKUP(L1086,Model_Assumptions!$A:$D,2,0),"Unmapped")</f>
        <v>Sub-4m Sedan</v>
      </c>
      <c r="N1086" t="str">
        <f>IFERROR(VLOOKUP(L1086,Model_Assumptions!$A:$D,3,0),"Unmapped")</f>
        <v>Petrol</v>
      </c>
      <c r="O1086">
        <f>IFERROR(VLOOKUP(L1086,Model_Assumptions!$A:$D,4,0),0)</f>
        <v>850000</v>
      </c>
      <c r="P1086">
        <f>IFERROR(VLOOKUP(J1086,Source_Assumptions!$A:$C,3,0),0)</f>
        <v>900</v>
      </c>
    </row>
    <row r="1087" spans="1:16" x14ac:dyDescent="0.3">
      <c r="A1087">
        <f>Raw_Data!A1087</f>
        <v>1086</v>
      </c>
      <c r="B1087" s="2">
        <f>Raw_Data!B1087</f>
        <v>45407.650474536997</v>
      </c>
      <c r="C1087">
        <f>YEAR(Raw_Data!B1087)</f>
        <v>2024</v>
      </c>
      <c r="D1087" t="str">
        <f>IF(MONTH(Raw_Data!B1087)&gt;=4,YEAR(Raw_Data!B1087)&amp;"-"&amp;RIGHT(YEAR(Raw_Data!B1087)+1,2),YEAR(Raw_Data!B1087)-1&amp;"-"&amp;RIGHT(YEAR(Raw_Data!B1087),2))</f>
        <v>2024-25</v>
      </c>
      <c r="E1087" t="str">
        <f>"Q"&amp;ROUNDUP(MONTH(Raw_Data!B1087)/3,0)</f>
        <v>Q2</v>
      </c>
      <c r="F1087" t="str">
        <f>TEXT(Raw_Data!B1087,"mmm")</f>
        <v>Apr</v>
      </c>
      <c r="G1087" t="str">
        <f>TEXT(Raw_Data!B1087,"ddd")</f>
        <v>Thu</v>
      </c>
      <c r="H1087" t="str">
        <f>Raw_Data!D1087</f>
        <v>Invoiced</v>
      </c>
      <c r="I1087" t="str">
        <f>Raw_Data!F1087</f>
        <v>Tele-in</v>
      </c>
      <c r="J1087" t="str">
        <f>Raw_Data!G1087</f>
        <v>Referral-CAM</v>
      </c>
      <c r="K1087" t="str">
        <f>IFERROR(VLOOKUP(J1087,Source_Assumptions!$A:$C,2,0),"Unmapped")</f>
        <v>Referral</v>
      </c>
      <c r="L1087" t="str">
        <f>Raw_Data!H1087</f>
        <v>ELEVATE</v>
      </c>
      <c r="M1087" t="str">
        <f>IFERROR(VLOOKUP(L1087,Model_Assumptions!$A:$D,2,0),"Unmapped")</f>
        <v>Compact SUV</v>
      </c>
      <c r="N1087" t="str">
        <f>IFERROR(VLOOKUP(L1087,Model_Assumptions!$A:$D,3,0),"Unmapped")</f>
        <v>Petrol</v>
      </c>
      <c r="O1087">
        <f>IFERROR(VLOOKUP(L1087,Model_Assumptions!$A:$D,4,0),0)</f>
        <v>1300000</v>
      </c>
      <c r="P1087">
        <f>IFERROR(VLOOKUP(J1087,Source_Assumptions!$A:$C,3,0),0)</f>
        <v>150</v>
      </c>
    </row>
    <row r="1088" spans="1:16" x14ac:dyDescent="0.3">
      <c r="A1088">
        <f>Raw_Data!A1088</f>
        <v>1087</v>
      </c>
      <c r="B1088" s="2">
        <f>Raw_Data!B1088</f>
        <v>45407.6652777778</v>
      </c>
      <c r="C1088">
        <f>YEAR(Raw_Data!B1088)</f>
        <v>2024</v>
      </c>
      <c r="D1088" t="str">
        <f>IF(MONTH(Raw_Data!B1088)&gt;=4,YEAR(Raw_Data!B1088)&amp;"-"&amp;RIGHT(YEAR(Raw_Data!B1088)+1,2),YEAR(Raw_Data!B1088)-1&amp;"-"&amp;RIGHT(YEAR(Raw_Data!B1088),2))</f>
        <v>2024-25</v>
      </c>
      <c r="E1088" t="str">
        <f>"Q"&amp;ROUNDUP(MONTH(Raw_Data!B1088)/3,0)</f>
        <v>Q2</v>
      </c>
      <c r="F1088" t="str">
        <f>TEXT(Raw_Data!B1088,"mmm")</f>
        <v>Apr</v>
      </c>
      <c r="G1088" t="str">
        <f>TEXT(Raw_Data!B1088,"ddd")</f>
        <v>Thu</v>
      </c>
      <c r="H1088" t="str">
        <f>Raw_Data!D1088</f>
        <v>Invoiced</v>
      </c>
      <c r="I1088" t="str">
        <f>Raw_Data!F1088</f>
        <v>SMS/ Tele-Out</v>
      </c>
      <c r="J1088" t="str">
        <f>Raw_Data!G1088</f>
        <v>Database Activity(Teleout/SMS)</v>
      </c>
      <c r="K1088" t="str">
        <f>IFERROR(VLOOKUP(J1088,Source_Assumptions!$A:$C,2,0),"Unmapped")</f>
        <v>Outbound/Database</v>
      </c>
      <c r="L1088" t="str">
        <f>Raw_Data!H1088</f>
        <v>ELEVATE</v>
      </c>
      <c r="M1088" t="str">
        <f>IFERROR(VLOOKUP(L1088,Model_Assumptions!$A:$D,2,0),"Unmapped")</f>
        <v>Compact SUV</v>
      </c>
      <c r="N1088" t="str">
        <f>IFERROR(VLOOKUP(L1088,Model_Assumptions!$A:$D,3,0),"Unmapped")</f>
        <v>Petrol</v>
      </c>
      <c r="O1088">
        <f>IFERROR(VLOOKUP(L1088,Model_Assumptions!$A:$D,4,0),0)</f>
        <v>1300000</v>
      </c>
      <c r="P1088">
        <f>IFERROR(VLOOKUP(J1088,Source_Assumptions!$A:$C,3,0),0)</f>
        <v>250</v>
      </c>
    </row>
    <row r="1089" spans="1:16" x14ac:dyDescent="0.3">
      <c r="A1089">
        <f>Raw_Data!A1089</f>
        <v>1088</v>
      </c>
      <c r="B1089" s="2">
        <f>Raw_Data!B1089</f>
        <v>45412.625428240703</v>
      </c>
      <c r="C1089">
        <f>YEAR(Raw_Data!B1089)</f>
        <v>2024</v>
      </c>
      <c r="D1089" t="str">
        <f>IF(MONTH(Raw_Data!B1089)&gt;=4,YEAR(Raw_Data!B1089)&amp;"-"&amp;RIGHT(YEAR(Raw_Data!B1089)+1,2),YEAR(Raw_Data!B1089)-1&amp;"-"&amp;RIGHT(YEAR(Raw_Data!B1089),2))</f>
        <v>2024-25</v>
      </c>
      <c r="E1089" t="str">
        <f>"Q"&amp;ROUNDUP(MONTH(Raw_Data!B1089)/3,0)</f>
        <v>Q2</v>
      </c>
      <c r="F1089" t="str">
        <f>TEXT(Raw_Data!B1089,"mmm")</f>
        <v>Apr</v>
      </c>
      <c r="G1089" t="str">
        <f>TEXT(Raw_Data!B1089,"ddd")</f>
        <v>Tue</v>
      </c>
      <c r="H1089" t="str">
        <f>Raw_Data!D1089</f>
        <v>Invoiced</v>
      </c>
      <c r="I1089" t="str">
        <f>Raw_Data!F1089</f>
        <v>Web Lead</v>
      </c>
      <c r="J1089" t="str">
        <f>Raw_Data!G1089</f>
        <v>Web</v>
      </c>
      <c r="K1089" t="str">
        <f>IFERROR(VLOOKUP(J1089,Source_Assumptions!$A:$C,2,0),"Unmapped")</f>
        <v>Digital - Owned</v>
      </c>
      <c r="L1089" t="str">
        <f>Raw_Data!H1089</f>
        <v>ELEVATE</v>
      </c>
      <c r="M1089" t="str">
        <f>IFERROR(VLOOKUP(L1089,Model_Assumptions!$A:$D,2,0),"Unmapped")</f>
        <v>Compact SUV</v>
      </c>
      <c r="N1089" t="str">
        <f>IFERROR(VLOOKUP(L1089,Model_Assumptions!$A:$D,3,0),"Unmapped")</f>
        <v>Petrol</v>
      </c>
      <c r="O1089">
        <f>IFERROR(VLOOKUP(L1089,Model_Assumptions!$A:$D,4,0),0)</f>
        <v>1300000</v>
      </c>
      <c r="P1089">
        <f>IFERROR(VLOOKUP(J1089,Source_Assumptions!$A:$C,3,0),0)</f>
        <v>300</v>
      </c>
    </row>
    <row r="1090" spans="1:16" x14ac:dyDescent="0.3">
      <c r="A1090">
        <f>Raw_Data!A1090</f>
        <v>1089</v>
      </c>
      <c r="B1090" s="2">
        <f>Raw_Data!B1090</f>
        <v>45412.658888888902</v>
      </c>
      <c r="C1090">
        <f>YEAR(Raw_Data!B1090)</f>
        <v>2024</v>
      </c>
      <c r="D1090" t="str">
        <f>IF(MONTH(Raw_Data!B1090)&gt;=4,YEAR(Raw_Data!B1090)&amp;"-"&amp;RIGHT(YEAR(Raw_Data!B1090)+1,2),YEAR(Raw_Data!B1090)-1&amp;"-"&amp;RIGHT(YEAR(Raw_Data!B1090),2))</f>
        <v>2024-25</v>
      </c>
      <c r="E1090" t="str">
        <f>"Q"&amp;ROUNDUP(MONTH(Raw_Data!B1090)/3,0)</f>
        <v>Q2</v>
      </c>
      <c r="F1090" t="str">
        <f>TEXT(Raw_Data!B1090,"mmm")</f>
        <v>Apr</v>
      </c>
      <c r="G1090" t="str">
        <f>TEXT(Raw_Data!B1090,"ddd")</f>
        <v>Tue</v>
      </c>
      <c r="H1090" t="str">
        <f>Raw_Data!D1090</f>
        <v>Invoiced</v>
      </c>
      <c r="I1090" t="str">
        <f>Raw_Data!F1090</f>
        <v>Walk-in Showroom</v>
      </c>
      <c r="J1090" t="str">
        <f>Raw_Data!G1090</f>
        <v>Adver. (TVC/Print/Hoarding/FM)</v>
      </c>
      <c r="K1090" t="str">
        <f>IFERROR(VLOOKUP(J1090,Source_Assumptions!$A:$C,2,0),"Unmapped")</f>
        <v>Traditional Advertising</v>
      </c>
      <c r="L1090" t="str">
        <f>Raw_Data!H1090</f>
        <v>5TH GEN CITY PE</v>
      </c>
      <c r="M1090" t="str">
        <f>IFERROR(VLOOKUP(L1090,Model_Assumptions!$A:$D,2,0),"Unmapped")</f>
        <v>Mid-size Sedan</v>
      </c>
      <c r="N1090" t="str">
        <f>IFERROR(VLOOKUP(L1090,Model_Assumptions!$A:$D,3,0),"Unmapped")</f>
        <v>Petrol</v>
      </c>
      <c r="O1090">
        <f>IFERROR(VLOOKUP(L1090,Model_Assumptions!$A:$D,4,0),0)</f>
        <v>1250000</v>
      </c>
      <c r="P1090">
        <f>IFERROR(VLOOKUP(J1090,Source_Assumptions!$A:$C,3,0),0)</f>
        <v>1200</v>
      </c>
    </row>
    <row r="1091" spans="1:16" x14ac:dyDescent="0.3">
      <c r="A1091">
        <f>Raw_Data!A1091</f>
        <v>1090</v>
      </c>
      <c r="B1091" s="2">
        <f>Raw_Data!B1091</f>
        <v>45412.820972222202</v>
      </c>
      <c r="C1091">
        <f>YEAR(Raw_Data!B1091)</f>
        <v>2024</v>
      </c>
      <c r="D1091" t="str">
        <f>IF(MONTH(Raw_Data!B1091)&gt;=4,YEAR(Raw_Data!B1091)&amp;"-"&amp;RIGHT(YEAR(Raw_Data!B1091)+1,2),YEAR(Raw_Data!B1091)-1&amp;"-"&amp;RIGHT(YEAR(Raw_Data!B1091),2))</f>
        <v>2024-25</v>
      </c>
      <c r="E1091" t="str">
        <f>"Q"&amp;ROUNDUP(MONTH(Raw_Data!B1091)/3,0)</f>
        <v>Q2</v>
      </c>
      <c r="F1091" t="str">
        <f>TEXT(Raw_Data!B1091,"mmm")</f>
        <v>Apr</v>
      </c>
      <c r="G1091" t="str">
        <f>TEXT(Raw_Data!B1091,"ddd")</f>
        <v>Tue</v>
      </c>
      <c r="H1091" t="str">
        <f>Raw_Data!D1091</f>
        <v>Invoiced</v>
      </c>
      <c r="I1091" t="str">
        <f>Raw_Data!F1091</f>
        <v>Tele-in</v>
      </c>
      <c r="J1091" t="str">
        <f>Raw_Data!G1091</f>
        <v>Referral-CAM</v>
      </c>
      <c r="K1091" t="str">
        <f>IFERROR(VLOOKUP(J1091,Source_Assumptions!$A:$C,2,0),"Unmapped")</f>
        <v>Referral</v>
      </c>
      <c r="L1091" t="str">
        <f>Raw_Data!H1091</f>
        <v>AMAZE Petrol</v>
      </c>
      <c r="M1091" t="str">
        <f>IFERROR(VLOOKUP(L1091,Model_Assumptions!$A:$D,2,0),"Unmapped")</f>
        <v>Sub-4m Sedan</v>
      </c>
      <c r="N1091" t="str">
        <f>IFERROR(VLOOKUP(L1091,Model_Assumptions!$A:$D,3,0),"Unmapped")</f>
        <v>Petrol</v>
      </c>
      <c r="O1091">
        <f>IFERROR(VLOOKUP(L1091,Model_Assumptions!$A:$D,4,0),0)</f>
        <v>850000</v>
      </c>
      <c r="P1091">
        <f>IFERROR(VLOOKUP(J1091,Source_Assumptions!$A:$C,3,0),0)</f>
        <v>150</v>
      </c>
    </row>
    <row r="1092" spans="1:16" x14ac:dyDescent="0.3">
      <c r="A1092">
        <f>Raw_Data!A1092</f>
        <v>1091</v>
      </c>
      <c r="B1092" s="2">
        <f>Raw_Data!B1092</f>
        <v>45412.837476851899</v>
      </c>
      <c r="C1092">
        <f>YEAR(Raw_Data!B1092)</f>
        <v>2024</v>
      </c>
      <c r="D1092" t="str">
        <f>IF(MONTH(Raw_Data!B1092)&gt;=4,YEAR(Raw_Data!B1092)&amp;"-"&amp;RIGHT(YEAR(Raw_Data!B1092)+1,2),YEAR(Raw_Data!B1092)-1&amp;"-"&amp;RIGHT(YEAR(Raw_Data!B1092),2))</f>
        <v>2024-25</v>
      </c>
      <c r="E1092" t="str">
        <f>"Q"&amp;ROUNDUP(MONTH(Raw_Data!B1092)/3,0)</f>
        <v>Q2</v>
      </c>
      <c r="F1092" t="str">
        <f>TEXT(Raw_Data!B1092,"mmm")</f>
        <v>Apr</v>
      </c>
      <c r="G1092" t="str">
        <f>TEXT(Raw_Data!B1092,"ddd")</f>
        <v>Tue</v>
      </c>
      <c r="H1092" t="str">
        <f>Raw_Data!D1092</f>
        <v>Invoiced</v>
      </c>
      <c r="I1092" t="str">
        <f>Raw_Data!F1092</f>
        <v>Web Lead</v>
      </c>
      <c r="J1092" t="str">
        <f>Raw_Data!G1092</f>
        <v>Web_Organic</v>
      </c>
      <c r="K1092" t="str">
        <f>IFERROR(VLOOKUP(J1092,Source_Assumptions!$A:$C,2,0),"Unmapped")</f>
        <v>Digital - Organic</v>
      </c>
      <c r="L1092" t="str">
        <f>Raw_Data!H1092</f>
        <v>AMAZE Petrol</v>
      </c>
      <c r="M1092" t="str">
        <f>IFERROR(VLOOKUP(L1092,Model_Assumptions!$A:$D,2,0),"Unmapped")</f>
        <v>Sub-4m Sedan</v>
      </c>
      <c r="N1092" t="str">
        <f>IFERROR(VLOOKUP(L1092,Model_Assumptions!$A:$D,3,0),"Unmapped")</f>
        <v>Petrol</v>
      </c>
      <c r="O1092">
        <f>IFERROR(VLOOKUP(L1092,Model_Assumptions!$A:$D,4,0),0)</f>
        <v>850000</v>
      </c>
      <c r="P1092">
        <f>IFERROR(VLOOKUP(J1092,Source_Assumptions!$A:$C,3,0),0)</f>
        <v>100</v>
      </c>
    </row>
    <row r="1093" spans="1:16" x14ac:dyDescent="0.3">
      <c r="A1093">
        <f>Raw_Data!A1093</f>
        <v>1092</v>
      </c>
      <c r="B1093" s="2">
        <f>Raw_Data!B1093</f>
        <v>45412.838888888902</v>
      </c>
      <c r="C1093">
        <f>YEAR(Raw_Data!B1093)</f>
        <v>2024</v>
      </c>
      <c r="D1093" t="str">
        <f>IF(MONTH(Raw_Data!B1093)&gt;=4,YEAR(Raw_Data!B1093)&amp;"-"&amp;RIGHT(YEAR(Raw_Data!B1093)+1,2),YEAR(Raw_Data!B1093)-1&amp;"-"&amp;RIGHT(YEAR(Raw_Data!B1093),2))</f>
        <v>2024-25</v>
      </c>
      <c r="E1093" t="str">
        <f>"Q"&amp;ROUNDUP(MONTH(Raw_Data!B1093)/3,0)</f>
        <v>Q2</v>
      </c>
      <c r="F1093" t="str">
        <f>TEXT(Raw_Data!B1093,"mmm")</f>
        <v>Apr</v>
      </c>
      <c r="G1093" t="str">
        <f>TEXT(Raw_Data!B1093,"ddd")</f>
        <v>Tue</v>
      </c>
      <c r="H1093" t="str">
        <f>Raw_Data!D1093</f>
        <v>Invoiced</v>
      </c>
      <c r="I1093" t="str">
        <f>Raw_Data!F1093</f>
        <v>SMS/ Tele-Out</v>
      </c>
      <c r="J1093" t="str">
        <f>Raw_Data!G1093</f>
        <v>Database Activity(Teleout/SMS)</v>
      </c>
      <c r="K1093" t="str">
        <f>IFERROR(VLOOKUP(J1093,Source_Assumptions!$A:$C,2,0),"Unmapped")</f>
        <v>Outbound/Database</v>
      </c>
      <c r="L1093" t="str">
        <f>Raw_Data!H1093</f>
        <v>ELEVATE</v>
      </c>
      <c r="M1093" t="str">
        <f>IFERROR(VLOOKUP(L1093,Model_Assumptions!$A:$D,2,0),"Unmapped")</f>
        <v>Compact SUV</v>
      </c>
      <c r="N1093" t="str">
        <f>IFERROR(VLOOKUP(L1093,Model_Assumptions!$A:$D,3,0),"Unmapped")</f>
        <v>Petrol</v>
      </c>
      <c r="O1093">
        <f>IFERROR(VLOOKUP(L1093,Model_Assumptions!$A:$D,4,0),0)</f>
        <v>1300000</v>
      </c>
      <c r="P1093">
        <f>IFERROR(VLOOKUP(J1093,Source_Assumptions!$A:$C,3,0),0)</f>
        <v>250</v>
      </c>
    </row>
    <row r="1094" spans="1:16" x14ac:dyDescent="0.3">
      <c r="A1094">
        <f>Raw_Data!A1094</f>
        <v>1093</v>
      </c>
      <c r="B1094" s="2">
        <f>Raw_Data!B1094</f>
        <v>45412.8415046296</v>
      </c>
      <c r="C1094">
        <f>YEAR(Raw_Data!B1094)</f>
        <v>2024</v>
      </c>
      <c r="D1094" t="str">
        <f>IF(MONTH(Raw_Data!B1094)&gt;=4,YEAR(Raw_Data!B1094)&amp;"-"&amp;RIGHT(YEAR(Raw_Data!B1094)+1,2),YEAR(Raw_Data!B1094)-1&amp;"-"&amp;RIGHT(YEAR(Raw_Data!B1094),2))</f>
        <v>2024-25</v>
      </c>
      <c r="E1094" t="str">
        <f>"Q"&amp;ROUNDUP(MONTH(Raw_Data!B1094)/3,0)</f>
        <v>Q2</v>
      </c>
      <c r="F1094" t="str">
        <f>TEXT(Raw_Data!B1094,"mmm")</f>
        <v>Apr</v>
      </c>
      <c r="G1094" t="str">
        <f>TEXT(Raw_Data!B1094,"ddd")</f>
        <v>Tue</v>
      </c>
      <c r="H1094" t="str">
        <f>Raw_Data!D1094</f>
        <v>Invoiced</v>
      </c>
      <c r="I1094" t="str">
        <f>Raw_Data!F1094</f>
        <v>Tele-in</v>
      </c>
      <c r="J1094" t="str">
        <f>Raw_Data!G1094</f>
        <v>Dealer Webpage Tele-In</v>
      </c>
      <c r="K1094" t="str">
        <f>IFERROR(VLOOKUP(J1094,Source_Assumptions!$A:$C,2,0),"Unmapped")</f>
        <v>Digital - Owned</v>
      </c>
      <c r="L1094" t="str">
        <f>Raw_Data!H1094</f>
        <v>ELEVATE</v>
      </c>
      <c r="M1094" t="str">
        <f>IFERROR(VLOOKUP(L1094,Model_Assumptions!$A:$D,2,0),"Unmapped")</f>
        <v>Compact SUV</v>
      </c>
      <c r="N1094" t="str">
        <f>IFERROR(VLOOKUP(L1094,Model_Assumptions!$A:$D,3,0),"Unmapped")</f>
        <v>Petrol</v>
      </c>
      <c r="O1094">
        <f>IFERROR(VLOOKUP(L1094,Model_Assumptions!$A:$D,4,0),0)</f>
        <v>1300000</v>
      </c>
      <c r="P1094">
        <f>IFERROR(VLOOKUP(J1094,Source_Assumptions!$A:$C,3,0),0)</f>
        <v>300</v>
      </c>
    </row>
    <row r="1095" spans="1:16" x14ac:dyDescent="0.3">
      <c r="A1095">
        <f>Raw_Data!A1095</f>
        <v>1094</v>
      </c>
      <c r="B1095" s="2">
        <f>Raw_Data!B1095</f>
        <v>45420.418495370403</v>
      </c>
      <c r="C1095">
        <f>YEAR(Raw_Data!B1095)</f>
        <v>2024</v>
      </c>
      <c r="D1095" t="str">
        <f>IF(MONTH(Raw_Data!B1095)&gt;=4,YEAR(Raw_Data!B1095)&amp;"-"&amp;RIGHT(YEAR(Raw_Data!B1095)+1,2),YEAR(Raw_Data!B1095)-1&amp;"-"&amp;RIGHT(YEAR(Raw_Data!B1095),2))</f>
        <v>2024-25</v>
      </c>
      <c r="E1095" t="str">
        <f>"Q"&amp;ROUNDUP(MONTH(Raw_Data!B1095)/3,0)</f>
        <v>Q2</v>
      </c>
      <c r="F1095" t="str">
        <f>TEXT(Raw_Data!B1095,"mmm")</f>
        <v>May</v>
      </c>
      <c r="G1095" t="str">
        <f>TEXT(Raw_Data!B1095,"ddd")</f>
        <v>Wed</v>
      </c>
      <c r="H1095" t="str">
        <f>Raw_Data!D1095</f>
        <v>Invoiced</v>
      </c>
      <c r="I1095" t="str">
        <f>Raw_Data!F1095</f>
        <v>Web Lead</v>
      </c>
      <c r="J1095" t="str">
        <f>Raw_Data!G1095</f>
        <v>Web_Facebook</v>
      </c>
      <c r="K1095" t="str">
        <f>IFERROR(VLOOKUP(J1095,Source_Assumptions!$A:$C,2,0),"Unmapped")</f>
        <v>Digital - Paid Social</v>
      </c>
      <c r="L1095" t="str">
        <f>Raw_Data!H1095</f>
        <v>ELEVATE</v>
      </c>
      <c r="M1095" t="str">
        <f>IFERROR(VLOOKUP(L1095,Model_Assumptions!$A:$D,2,0),"Unmapped")</f>
        <v>Compact SUV</v>
      </c>
      <c r="N1095" t="str">
        <f>IFERROR(VLOOKUP(L1095,Model_Assumptions!$A:$D,3,0),"Unmapped")</f>
        <v>Petrol</v>
      </c>
      <c r="O1095">
        <f>IFERROR(VLOOKUP(L1095,Model_Assumptions!$A:$D,4,0),0)</f>
        <v>1300000</v>
      </c>
      <c r="P1095">
        <f>IFERROR(VLOOKUP(J1095,Source_Assumptions!$A:$C,3,0),0)</f>
        <v>600</v>
      </c>
    </row>
    <row r="1096" spans="1:16" x14ac:dyDescent="0.3">
      <c r="A1096">
        <f>Raw_Data!A1096</f>
        <v>1095</v>
      </c>
      <c r="B1096" s="2">
        <f>Raw_Data!B1096</f>
        <v>45422.762349536999</v>
      </c>
      <c r="C1096">
        <f>YEAR(Raw_Data!B1096)</f>
        <v>2024</v>
      </c>
      <c r="D1096" t="str">
        <f>IF(MONTH(Raw_Data!B1096)&gt;=4,YEAR(Raw_Data!B1096)&amp;"-"&amp;RIGHT(YEAR(Raw_Data!B1096)+1,2),YEAR(Raw_Data!B1096)-1&amp;"-"&amp;RIGHT(YEAR(Raw_Data!B1096),2))</f>
        <v>2024-25</v>
      </c>
      <c r="E1096" t="str">
        <f>"Q"&amp;ROUNDUP(MONTH(Raw_Data!B1096)/3,0)</f>
        <v>Q2</v>
      </c>
      <c r="F1096" t="str">
        <f>TEXT(Raw_Data!B1096,"mmm")</f>
        <v>May</v>
      </c>
      <c r="G1096" t="str">
        <f>TEXT(Raw_Data!B1096,"ddd")</f>
        <v>Fri</v>
      </c>
      <c r="H1096" t="str">
        <f>Raw_Data!D1096</f>
        <v>Invoiced</v>
      </c>
      <c r="I1096" t="str">
        <f>Raw_Data!F1096</f>
        <v>Web Lead</v>
      </c>
      <c r="J1096" t="str">
        <f>Raw_Data!G1096</f>
        <v>Web</v>
      </c>
      <c r="K1096" t="str">
        <f>IFERROR(VLOOKUP(J1096,Source_Assumptions!$A:$C,2,0),"Unmapped")</f>
        <v>Digital - Owned</v>
      </c>
      <c r="L1096" t="str">
        <f>Raw_Data!H1096</f>
        <v>ELEVATE</v>
      </c>
      <c r="M1096" t="str">
        <f>IFERROR(VLOOKUP(L1096,Model_Assumptions!$A:$D,2,0),"Unmapped")</f>
        <v>Compact SUV</v>
      </c>
      <c r="N1096" t="str">
        <f>IFERROR(VLOOKUP(L1096,Model_Assumptions!$A:$D,3,0),"Unmapped")</f>
        <v>Petrol</v>
      </c>
      <c r="O1096">
        <f>IFERROR(VLOOKUP(L1096,Model_Assumptions!$A:$D,4,0),0)</f>
        <v>1300000</v>
      </c>
      <c r="P1096">
        <f>IFERROR(VLOOKUP(J1096,Source_Assumptions!$A:$C,3,0),0)</f>
        <v>300</v>
      </c>
    </row>
    <row r="1097" spans="1:16" x14ac:dyDescent="0.3">
      <c r="A1097">
        <f>Raw_Data!A1097</f>
        <v>1096</v>
      </c>
      <c r="B1097" s="2">
        <f>Raw_Data!B1097</f>
        <v>45423.517662036997</v>
      </c>
      <c r="C1097">
        <f>YEAR(Raw_Data!B1097)</f>
        <v>2024</v>
      </c>
      <c r="D1097" t="str">
        <f>IF(MONTH(Raw_Data!B1097)&gt;=4,YEAR(Raw_Data!B1097)&amp;"-"&amp;RIGHT(YEAR(Raw_Data!B1097)+1,2),YEAR(Raw_Data!B1097)-1&amp;"-"&amp;RIGHT(YEAR(Raw_Data!B1097),2))</f>
        <v>2024-25</v>
      </c>
      <c r="E1097" t="str">
        <f>"Q"&amp;ROUNDUP(MONTH(Raw_Data!B1097)/3,0)</f>
        <v>Q2</v>
      </c>
      <c r="F1097" t="str">
        <f>TEXT(Raw_Data!B1097,"mmm")</f>
        <v>May</v>
      </c>
      <c r="G1097" t="str">
        <f>TEXT(Raw_Data!B1097,"ddd")</f>
        <v>Sat</v>
      </c>
      <c r="H1097" t="str">
        <f>Raw_Data!D1097</f>
        <v>Invoiced</v>
      </c>
      <c r="I1097" t="str">
        <f>Raw_Data!F1097</f>
        <v>Tele-in</v>
      </c>
      <c r="J1097" t="str">
        <f>Raw_Data!G1097</f>
        <v>Referral-CAM</v>
      </c>
      <c r="K1097" t="str">
        <f>IFERROR(VLOOKUP(J1097,Source_Assumptions!$A:$C,2,0),"Unmapped")</f>
        <v>Referral</v>
      </c>
      <c r="L1097" t="str">
        <f>Raw_Data!H1097</f>
        <v>ELEVATE</v>
      </c>
      <c r="M1097" t="str">
        <f>IFERROR(VLOOKUP(L1097,Model_Assumptions!$A:$D,2,0),"Unmapped")</f>
        <v>Compact SUV</v>
      </c>
      <c r="N1097" t="str">
        <f>IFERROR(VLOOKUP(L1097,Model_Assumptions!$A:$D,3,0),"Unmapped")</f>
        <v>Petrol</v>
      </c>
      <c r="O1097">
        <f>IFERROR(VLOOKUP(L1097,Model_Assumptions!$A:$D,4,0),0)</f>
        <v>1300000</v>
      </c>
      <c r="P1097">
        <f>IFERROR(VLOOKUP(J1097,Source_Assumptions!$A:$C,3,0),0)</f>
        <v>150</v>
      </c>
    </row>
    <row r="1098" spans="1:16" x14ac:dyDescent="0.3">
      <c r="A1098">
        <f>Raw_Data!A1098</f>
        <v>1097</v>
      </c>
      <c r="B1098" s="2">
        <f>Raw_Data!B1098</f>
        <v>45433.500057870398</v>
      </c>
      <c r="C1098">
        <f>YEAR(Raw_Data!B1098)</f>
        <v>2024</v>
      </c>
      <c r="D1098" t="str">
        <f>IF(MONTH(Raw_Data!B1098)&gt;=4,YEAR(Raw_Data!B1098)&amp;"-"&amp;RIGHT(YEAR(Raw_Data!B1098)+1,2),YEAR(Raw_Data!B1098)-1&amp;"-"&amp;RIGHT(YEAR(Raw_Data!B1098),2))</f>
        <v>2024-25</v>
      </c>
      <c r="E1098" t="str">
        <f>"Q"&amp;ROUNDUP(MONTH(Raw_Data!B1098)/3,0)</f>
        <v>Q2</v>
      </c>
      <c r="F1098" t="str">
        <f>TEXT(Raw_Data!B1098,"mmm")</f>
        <v>May</v>
      </c>
      <c r="G1098" t="str">
        <f>TEXT(Raw_Data!B1098,"ddd")</f>
        <v>Tue</v>
      </c>
      <c r="H1098" t="str">
        <f>Raw_Data!D1098</f>
        <v>Invoiced</v>
      </c>
      <c r="I1098" t="str">
        <f>Raw_Data!F1098</f>
        <v>SMS/ Tele-Out</v>
      </c>
      <c r="J1098" t="str">
        <f>Raw_Data!G1098</f>
        <v>Database Activity(Teleout/SMS)</v>
      </c>
      <c r="K1098" t="str">
        <f>IFERROR(VLOOKUP(J1098,Source_Assumptions!$A:$C,2,0),"Unmapped")</f>
        <v>Outbound/Database</v>
      </c>
      <c r="L1098" t="str">
        <f>Raw_Data!H1098</f>
        <v>AMAZE Petrol</v>
      </c>
      <c r="M1098" t="str">
        <f>IFERROR(VLOOKUP(L1098,Model_Assumptions!$A:$D,2,0),"Unmapped")</f>
        <v>Sub-4m Sedan</v>
      </c>
      <c r="N1098" t="str">
        <f>IFERROR(VLOOKUP(L1098,Model_Assumptions!$A:$D,3,0),"Unmapped")</f>
        <v>Petrol</v>
      </c>
      <c r="O1098">
        <f>IFERROR(VLOOKUP(L1098,Model_Assumptions!$A:$D,4,0),0)</f>
        <v>850000</v>
      </c>
      <c r="P1098">
        <f>IFERROR(VLOOKUP(J1098,Source_Assumptions!$A:$C,3,0),0)</f>
        <v>250</v>
      </c>
    </row>
    <row r="1099" spans="1:16" x14ac:dyDescent="0.3">
      <c r="A1099">
        <f>Raw_Data!A1099</f>
        <v>1098</v>
      </c>
      <c r="B1099" s="2">
        <f>Raw_Data!B1099</f>
        <v>45433.625231481499</v>
      </c>
      <c r="C1099">
        <f>YEAR(Raw_Data!B1099)</f>
        <v>2024</v>
      </c>
      <c r="D1099" t="str">
        <f>IF(MONTH(Raw_Data!B1099)&gt;=4,YEAR(Raw_Data!B1099)&amp;"-"&amp;RIGHT(YEAR(Raw_Data!B1099)+1,2),YEAR(Raw_Data!B1099)-1&amp;"-"&amp;RIGHT(YEAR(Raw_Data!B1099),2))</f>
        <v>2024-25</v>
      </c>
      <c r="E1099" t="str">
        <f>"Q"&amp;ROUNDUP(MONTH(Raw_Data!B1099)/3,0)</f>
        <v>Q2</v>
      </c>
      <c r="F1099" t="str">
        <f>TEXT(Raw_Data!B1099,"mmm")</f>
        <v>May</v>
      </c>
      <c r="G1099" t="str">
        <f>TEXT(Raw_Data!B1099,"ddd")</f>
        <v>Tue</v>
      </c>
      <c r="H1099" t="str">
        <f>Raw_Data!D1099</f>
        <v>Invoiced</v>
      </c>
      <c r="I1099" t="str">
        <f>Raw_Data!F1099</f>
        <v>Walk-in Showroom</v>
      </c>
      <c r="J1099" t="str">
        <f>Raw_Data!G1099</f>
        <v>Adver. (TVC/Print/Hoarding/FM)</v>
      </c>
      <c r="K1099" t="str">
        <f>IFERROR(VLOOKUP(J1099,Source_Assumptions!$A:$C,2,0),"Unmapped")</f>
        <v>Traditional Advertising</v>
      </c>
      <c r="L1099" t="str">
        <f>Raw_Data!H1099</f>
        <v>ELEVATE</v>
      </c>
      <c r="M1099" t="str">
        <f>IFERROR(VLOOKUP(L1099,Model_Assumptions!$A:$D,2,0),"Unmapped")</f>
        <v>Compact SUV</v>
      </c>
      <c r="N1099" t="str">
        <f>IFERROR(VLOOKUP(L1099,Model_Assumptions!$A:$D,3,0),"Unmapped")</f>
        <v>Petrol</v>
      </c>
      <c r="O1099">
        <f>IFERROR(VLOOKUP(L1099,Model_Assumptions!$A:$D,4,0),0)</f>
        <v>1300000</v>
      </c>
      <c r="P1099">
        <f>IFERROR(VLOOKUP(J1099,Source_Assumptions!$A:$C,3,0),0)</f>
        <v>1200</v>
      </c>
    </row>
    <row r="1100" spans="1:16" x14ac:dyDescent="0.3">
      <c r="A1100">
        <f>Raw_Data!A1100</f>
        <v>1099</v>
      </c>
      <c r="B1100" s="2">
        <f>Raw_Data!B1100</f>
        <v>45433.731122685203</v>
      </c>
      <c r="C1100">
        <f>YEAR(Raw_Data!B1100)</f>
        <v>2024</v>
      </c>
      <c r="D1100" t="str">
        <f>IF(MONTH(Raw_Data!B1100)&gt;=4,YEAR(Raw_Data!B1100)&amp;"-"&amp;RIGHT(YEAR(Raw_Data!B1100)+1,2),YEAR(Raw_Data!B1100)-1&amp;"-"&amp;RIGHT(YEAR(Raw_Data!B1100),2))</f>
        <v>2024-25</v>
      </c>
      <c r="E1100" t="str">
        <f>"Q"&amp;ROUNDUP(MONTH(Raw_Data!B1100)/3,0)</f>
        <v>Q2</v>
      </c>
      <c r="F1100" t="str">
        <f>TEXT(Raw_Data!B1100,"mmm")</f>
        <v>May</v>
      </c>
      <c r="G1100" t="str">
        <f>TEXT(Raw_Data!B1100,"ddd")</f>
        <v>Tue</v>
      </c>
      <c r="H1100" t="str">
        <f>Raw_Data!D1100</f>
        <v>Invoiced</v>
      </c>
      <c r="I1100" t="str">
        <f>Raw_Data!F1100</f>
        <v>SMS/ Tele-Out</v>
      </c>
      <c r="J1100" t="str">
        <f>Raw_Data!G1100</f>
        <v>I-BAP Referral</v>
      </c>
      <c r="K1100" t="str">
        <f>IFERROR(VLOOKUP(J1100,Source_Assumptions!$A:$C,2,0),"Unmapped")</f>
        <v>Referral (Insurance/Banking Partner)</v>
      </c>
      <c r="L1100" t="str">
        <f>Raw_Data!H1100</f>
        <v>ELEVATE</v>
      </c>
      <c r="M1100" t="str">
        <f>IFERROR(VLOOKUP(L1100,Model_Assumptions!$A:$D,2,0),"Unmapped")</f>
        <v>Compact SUV</v>
      </c>
      <c r="N1100" t="str">
        <f>IFERROR(VLOOKUP(L1100,Model_Assumptions!$A:$D,3,0),"Unmapped")</f>
        <v>Petrol</v>
      </c>
      <c r="O1100">
        <f>IFERROR(VLOOKUP(L1100,Model_Assumptions!$A:$D,4,0),0)</f>
        <v>1300000</v>
      </c>
      <c r="P1100">
        <f>IFERROR(VLOOKUP(J1100,Source_Assumptions!$A:$C,3,0),0)</f>
        <v>150</v>
      </c>
    </row>
    <row r="1101" spans="1:16" x14ac:dyDescent="0.3">
      <c r="A1101">
        <f>Raw_Data!A1101</f>
        <v>1100</v>
      </c>
      <c r="B1101" s="2">
        <f>Raw_Data!B1101</f>
        <v>45433.7398032407</v>
      </c>
      <c r="C1101">
        <f>YEAR(Raw_Data!B1101)</f>
        <v>2024</v>
      </c>
      <c r="D1101" t="str">
        <f>IF(MONTH(Raw_Data!B1101)&gt;=4,YEAR(Raw_Data!B1101)&amp;"-"&amp;RIGHT(YEAR(Raw_Data!B1101)+1,2),YEAR(Raw_Data!B1101)-1&amp;"-"&amp;RIGHT(YEAR(Raw_Data!B1101),2))</f>
        <v>2024-25</v>
      </c>
      <c r="E1101" t="str">
        <f>"Q"&amp;ROUNDUP(MONTH(Raw_Data!B1101)/3,0)</f>
        <v>Q2</v>
      </c>
      <c r="F1101" t="str">
        <f>TEXT(Raw_Data!B1101,"mmm")</f>
        <v>May</v>
      </c>
      <c r="G1101" t="str">
        <f>TEXT(Raw_Data!B1101,"ddd")</f>
        <v>Tue</v>
      </c>
      <c r="H1101" t="str">
        <f>Raw_Data!D1101</f>
        <v>Invoiced</v>
      </c>
      <c r="I1101" t="str">
        <f>Raw_Data!F1101</f>
        <v>SMS/ Tele-Out</v>
      </c>
      <c r="J1101" t="str">
        <f>Raw_Data!G1101</f>
        <v>Database Activity(Teleout/SMS)</v>
      </c>
      <c r="K1101" t="str">
        <f>IFERROR(VLOOKUP(J1101,Source_Assumptions!$A:$C,2,0),"Unmapped")</f>
        <v>Outbound/Database</v>
      </c>
      <c r="L1101" t="str">
        <f>Raw_Data!H1101</f>
        <v>ELEVATE</v>
      </c>
      <c r="M1101" t="str">
        <f>IFERROR(VLOOKUP(L1101,Model_Assumptions!$A:$D,2,0),"Unmapped")</f>
        <v>Compact SUV</v>
      </c>
      <c r="N1101" t="str">
        <f>IFERROR(VLOOKUP(L1101,Model_Assumptions!$A:$D,3,0),"Unmapped")</f>
        <v>Petrol</v>
      </c>
      <c r="O1101">
        <f>IFERROR(VLOOKUP(L1101,Model_Assumptions!$A:$D,4,0),0)</f>
        <v>1300000</v>
      </c>
      <c r="P1101">
        <f>IFERROR(VLOOKUP(J1101,Source_Assumptions!$A:$C,3,0),0)</f>
        <v>250</v>
      </c>
    </row>
    <row r="1102" spans="1:16" x14ac:dyDescent="0.3">
      <c r="A1102">
        <f>Raw_Data!A1102</f>
        <v>1101</v>
      </c>
      <c r="B1102" s="2">
        <f>Raw_Data!B1102</f>
        <v>45434.678356481498</v>
      </c>
      <c r="C1102">
        <f>YEAR(Raw_Data!B1102)</f>
        <v>2024</v>
      </c>
      <c r="D1102" t="str">
        <f>IF(MONTH(Raw_Data!B1102)&gt;=4,YEAR(Raw_Data!B1102)&amp;"-"&amp;RIGHT(YEAR(Raw_Data!B1102)+1,2),YEAR(Raw_Data!B1102)-1&amp;"-"&amp;RIGHT(YEAR(Raw_Data!B1102),2))</f>
        <v>2024-25</v>
      </c>
      <c r="E1102" t="str">
        <f>"Q"&amp;ROUNDUP(MONTH(Raw_Data!B1102)/3,0)</f>
        <v>Q2</v>
      </c>
      <c r="F1102" t="str">
        <f>TEXT(Raw_Data!B1102,"mmm")</f>
        <v>May</v>
      </c>
      <c r="G1102" t="str">
        <f>TEXT(Raw_Data!B1102,"ddd")</f>
        <v>Wed</v>
      </c>
      <c r="H1102" t="str">
        <f>Raw_Data!D1102</f>
        <v>Invoiced</v>
      </c>
      <c r="I1102" t="str">
        <f>Raw_Data!F1102</f>
        <v>SMS/ Tele-Out</v>
      </c>
      <c r="J1102" t="str">
        <f>Raw_Data!G1102</f>
        <v>I-BAP Referral</v>
      </c>
      <c r="K1102" t="str">
        <f>IFERROR(VLOOKUP(J1102,Source_Assumptions!$A:$C,2,0),"Unmapped")</f>
        <v>Referral (Insurance/Banking Partner)</v>
      </c>
      <c r="L1102" t="str">
        <f>Raw_Data!H1102</f>
        <v>AMAZE Petrol</v>
      </c>
      <c r="M1102" t="str">
        <f>IFERROR(VLOOKUP(L1102,Model_Assumptions!$A:$D,2,0),"Unmapped")</f>
        <v>Sub-4m Sedan</v>
      </c>
      <c r="N1102" t="str">
        <f>IFERROR(VLOOKUP(L1102,Model_Assumptions!$A:$D,3,0),"Unmapped")</f>
        <v>Petrol</v>
      </c>
      <c r="O1102">
        <f>IFERROR(VLOOKUP(L1102,Model_Assumptions!$A:$D,4,0),0)</f>
        <v>850000</v>
      </c>
      <c r="P1102">
        <f>IFERROR(VLOOKUP(J1102,Source_Assumptions!$A:$C,3,0),0)</f>
        <v>150</v>
      </c>
    </row>
    <row r="1103" spans="1:16" x14ac:dyDescent="0.3">
      <c r="A1103">
        <f>Raw_Data!A1103</f>
        <v>1102</v>
      </c>
      <c r="B1103" s="2">
        <f>Raw_Data!B1103</f>
        <v>45434.717002314799</v>
      </c>
      <c r="C1103">
        <f>YEAR(Raw_Data!B1103)</f>
        <v>2024</v>
      </c>
      <c r="D1103" t="str">
        <f>IF(MONTH(Raw_Data!B1103)&gt;=4,YEAR(Raw_Data!B1103)&amp;"-"&amp;RIGHT(YEAR(Raw_Data!B1103)+1,2),YEAR(Raw_Data!B1103)-1&amp;"-"&amp;RIGHT(YEAR(Raw_Data!B1103),2))</f>
        <v>2024-25</v>
      </c>
      <c r="E1103" t="str">
        <f>"Q"&amp;ROUNDUP(MONTH(Raw_Data!B1103)/3,0)</f>
        <v>Q2</v>
      </c>
      <c r="F1103" t="str">
        <f>TEXT(Raw_Data!B1103,"mmm")</f>
        <v>May</v>
      </c>
      <c r="G1103" t="str">
        <f>TEXT(Raw_Data!B1103,"ddd")</f>
        <v>Wed</v>
      </c>
      <c r="H1103" t="str">
        <f>Raw_Data!D1103</f>
        <v>Invoiced</v>
      </c>
      <c r="I1103" t="str">
        <f>Raw_Data!F1103</f>
        <v>SMS/ Tele-Out</v>
      </c>
      <c r="J1103" t="str">
        <f>Raw_Data!G1103</f>
        <v>I-BAP Self</v>
      </c>
      <c r="K1103" t="str">
        <f>IFERROR(VLOOKUP(J1103,Source_Assumptions!$A:$C,2,0),"Unmapped")</f>
        <v>Referral (Insurance/Banking Partner)</v>
      </c>
      <c r="L1103" t="str">
        <f>Raw_Data!H1103</f>
        <v>AMAZE Petrol</v>
      </c>
      <c r="M1103" t="str">
        <f>IFERROR(VLOOKUP(L1103,Model_Assumptions!$A:$D,2,0),"Unmapped")</f>
        <v>Sub-4m Sedan</v>
      </c>
      <c r="N1103" t="str">
        <f>IFERROR(VLOOKUP(L1103,Model_Assumptions!$A:$D,3,0),"Unmapped")</f>
        <v>Petrol</v>
      </c>
      <c r="O1103">
        <f>IFERROR(VLOOKUP(L1103,Model_Assumptions!$A:$D,4,0),0)</f>
        <v>850000</v>
      </c>
      <c r="P1103">
        <f>IFERROR(VLOOKUP(J1103,Source_Assumptions!$A:$C,3,0),0)</f>
        <v>100</v>
      </c>
    </row>
    <row r="1104" spans="1:16" x14ac:dyDescent="0.3">
      <c r="A1104">
        <f>Raw_Data!A1104</f>
        <v>1103</v>
      </c>
      <c r="B1104" s="2">
        <f>Raw_Data!B1104</f>
        <v>45435.650335648199</v>
      </c>
      <c r="C1104">
        <f>YEAR(Raw_Data!B1104)</f>
        <v>2024</v>
      </c>
      <c r="D1104" t="str">
        <f>IF(MONTH(Raw_Data!B1104)&gt;=4,YEAR(Raw_Data!B1104)&amp;"-"&amp;RIGHT(YEAR(Raw_Data!B1104)+1,2),YEAR(Raw_Data!B1104)-1&amp;"-"&amp;RIGHT(YEAR(Raw_Data!B1104),2))</f>
        <v>2024-25</v>
      </c>
      <c r="E1104" t="str">
        <f>"Q"&amp;ROUNDUP(MONTH(Raw_Data!B1104)/3,0)</f>
        <v>Q2</v>
      </c>
      <c r="F1104" t="str">
        <f>TEXT(Raw_Data!B1104,"mmm")</f>
        <v>May</v>
      </c>
      <c r="G1104" t="str">
        <f>TEXT(Raw_Data!B1104,"ddd")</f>
        <v>Thu</v>
      </c>
      <c r="H1104" t="str">
        <f>Raw_Data!D1104</f>
        <v>Invoiced</v>
      </c>
      <c r="I1104" t="str">
        <f>Raw_Data!F1104</f>
        <v>Walk-in Showroom</v>
      </c>
      <c r="J1104" t="str">
        <f>Raw_Data!G1104</f>
        <v>Adver. (TVC/Print/Hoarding/FM)</v>
      </c>
      <c r="K1104" t="str">
        <f>IFERROR(VLOOKUP(J1104,Source_Assumptions!$A:$C,2,0),"Unmapped")</f>
        <v>Traditional Advertising</v>
      </c>
      <c r="L1104" t="str">
        <f>Raw_Data!H1104</f>
        <v>ELEVATE</v>
      </c>
      <c r="M1104" t="str">
        <f>IFERROR(VLOOKUP(L1104,Model_Assumptions!$A:$D,2,0),"Unmapped")</f>
        <v>Compact SUV</v>
      </c>
      <c r="N1104" t="str">
        <f>IFERROR(VLOOKUP(L1104,Model_Assumptions!$A:$D,3,0),"Unmapped")</f>
        <v>Petrol</v>
      </c>
      <c r="O1104">
        <f>IFERROR(VLOOKUP(L1104,Model_Assumptions!$A:$D,4,0),0)</f>
        <v>1300000</v>
      </c>
      <c r="P1104">
        <f>IFERROR(VLOOKUP(J1104,Source_Assumptions!$A:$C,3,0),0)</f>
        <v>1200</v>
      </c>
    </row>
    <row r="1105" spans="1:16" x14ac:dyDescent="0.3">
      <c r="A1105">
        <f>Raw_Data!A1105</f>
        <v>1104</v>
      </c>
      <c r="B1105" s="2">
        <f>Raw_Data!B1105</f>
        <v>45436.6731828704</v>
      </c>
      <c r="C1105">
        <f>YEAR(Raw_Data!B1105)</f>
        <v>2024</v>
      </c>
      <c r="D1105" t="str">
        <f>IF(MONTH(Raw_Data!B1105)&gt;=4,YEAR(Raw_Data!B1105)&amp;"-"&amp;RIGHT(YEAR(Raw_Data!B1105)+1,2),YEAR(Raw_Data!B1105)-1&amp;"-"&amp;RIGHT(YEAR(Raw_Data!B1105),2))</f>
        <v>2024-25</v>
      </c>
      <c r="E1105" t="str">
        <f>"Q"&amp;ROUNDUP(MONTH(Raw_Data!B1105)/3,0)</f>
        <v>Q2</v>
      </c>
      <c r="F1105" t="str">
        <f>TEXT(Raw_Data!B1105,"mmm")</f>
        <v>May</v>
      </c>
      <c r="G1105" t="str">
        <f>TEXT(Raw_Data!B1105,"ddd")</f>
        <v>Fri</v>
      </c>
      <c r="H1105" t="str">
        <f>Raw_Data!D1105</f>
        <v>Invoiced</v>
      </c>
      <c r="I1105" t="str">
        <f>Raw_Data!F1105</f>
        <v>Tele-in</v>
      </c>
      <c r="J1105" t="str">
        <f>Raw_Data!G1105</f>
        <v>Referral-CAM</v>
      </c>
      <c r="K1105" t="str">
        <f>IFERROR(VLOOKUP(J1105,Source_Assumptions!$A:$C,2,0),"Unmapped")</f>
        <v>Referral</v>
      </c>
      <c r="L1105" t="str">
        <f>Raw_Data!H1105</f>
        <v>ELEVATE</v>
      </c>
      <c r="M1105" t="str">
        <f>IFERROR(VLOOKUP(L1105,Model_Assumptions!$A:$D,2,0),"Unmapped")</f>
        <v>Compact SUV</v>
      </c>
      <c r="N1105" t="str">
        <f>IFERROR(VLOOKUP(L1105,Model_Assumptions!$A:$D,3,0),"Unmapped")</f>
        <v>Petrol</v>
      </c>
      <c r="O1105">
        <f>IFERROR(VLOOKUP(L1105,Model_Assumptions!$A:$D,4,0),0)</f>
        <v>1300000</v>
      </c>
      <c r="P1105">
        <f>IFERROR(VLOOKUP(J1105,Source_Assumptions!$A:$C,3,0),0)</f>
        <v>150</v>
      </c>
    </row>
    <row r="1106" spans="1:16" x14ac:dyDescent="0.3">
      <c r="A1106">
        <f>Raw_Data!A1106</f>
        <v>1105</v>
      </c>
      <c r="B1106" s="2">
        <f>Raw_Data!B1106</f>
        <v>45436.717141203699</v>
      </c>
      <c r="C1106">
        <f>YEAR(Raw_Data!B1106)</f>
        <v>2024</v>
      </c>
      <c r="D1106" t="str">
        <f>IF(MONTH(Raw_Data!B1106)&gt;=4,YEAR(Raw_Data!B1106)&amp;"-"&amp;RIGHT(YEAR(Raw_Data!B1106)+1,2),YEAR(Raw_Data!B1106)-1&amp;"-"&amp;RIGHT(YEAR(Raw_Data!B1106),2))</f>
        <v>2024-25</v>
      </c>
      <c r="E1106" t="str">
        <f>"Q"&amp;ROUNDUP(MONTH(Raw_Data!B1106)/3,0)</f>
        <v>Q2</v>
      </c>
      <c r="F1106" t="str">
        <f>TEXT(Raw_Data!B1106,"mmm")</f>
        <v>May</v>
      </c>
      <c r="G1106" t="str">
        <f>TEXT(Raw_Data!B1106,"ddd")</f>
        <v>Fri</v>
      </c>
      <c r="H1106" t="str">
        <f>Raw_Data!D1106</f>
        <v>Invoiced</v>
      </c>
      <c r="I1106" t="str">
        <f>Raw_Data!F1106</f>
        <v>Web Lead</v>
      </c>
      <c r="J1106" t="str">
        <f>Raw_Data!G1106</f>
        <v>Web_Organic</v>
      </c>
      <c r="K1106" t="str">
        <f>IFERROR(VLOOKUP(J1106,Source_Assumptions!$A:$C,2,0),"Unmapped")</f>
        <v>Digital - Organic</v>
      </c>
      <c r="L1106" t="str">
        <f>Raw_Data!H1106</f>
        <v>ELEVATE</v>
      </c>
      <c r="M1106" t="str">
        <f>IFERROR(VLOOKUP(L1106,Model_Assumptions!$A:$D,2,0),"Unmapped")</f>
        <v>Compact SUV</v>
      </c>
      <c r="N1106" t="str">
        <f>IFERROR(VLOOKUP(L1106,Model_Assumptions!$A:$D,3,0),"Unmapped")</f>
        <v>Petrol</v>
      </c>
      <c r="O1106">
        <f>IFERROR(VLOOKUP(L1106,Model_Assumptions!$A:$D,4,0),0)</f>
        <v>1300000</v>
      </c>
      <c r="P1106">
        <f>IFERROR(VLOOKUP(J1106,Source_Assumptions!$A:$C,3,0),0)</f>
        <v>100</v>
      </c>
    </row>
    <row r="1107" spans="1:16" x14ac:dyDescent="0.3">
      <c r="A1107">
        <f>Raw_Data!A1107</f>
        <v>1106</v>
      </c>
      <c r="B1107" s="2">
        <f>Raw_Data!B1107</f>
        <v>45437.517939814803</v>
      </c>
      <c r="C1107">
        <f>YEAR(Raw_Data!B1107)</f>
        <v>2024</v>
      </c>
      <c r="D1107" t="str">
        <f>IF(MONTH(Raw_Data!B1107)&gt;=4,YEAR(Raw_Data!B1107)&amp;"-"&amp;RIGHT(YEAR(Raw_Data!B1107)+1,2),YEAR(Raw_Data!B1107)-1&amp;"-"&amp;RIGHT(YEAR(Raw_Data!B1107),2))</f>
        <v>2024-25</v>
      </c>
      <c r="E1107" t="str">
        <f>"Q"&amp;ROUNDUP(MONTH(Raw_Data!B1107)/3,0)</f>
        <v>Q2</v>
      </c>
      <c r="F1107" t="str">
        <f>TEXT(Raw_Data!B1107,"mmm")</f>
        <v>May</v>
      </c>
      <c r="G1107" t="str">
        <f>TEXT(Raw_Data!B1107,"ddd")</f>
        <v>Sat</v>
      </c>
      <c r="H1107" t="str">
        <f>Raw_Data!D1107</f>
        <v>Invoiced</v>
      </c>
      <c r="I1107" t="str">
        <f>Raw_Data!F1107</f>
        <v>Web Lead</v>
      </c>
      <c r="J1107" t="str">
        <f>Raw_Data!G1107</f>
        <v>Web_Organic</v>
      </c>
      <c r="K1107" t="str">
        <f>IFERROR(VLOOKUP(J1107,Source_Assumptions!$A:$C,2,0),"Unmapped")</f>
        <v>Digital - Organic</v>
      </c>
      <c r="L1107" t="str">
        <f>Raw_Data!H1107</f>
        <v>AMAZE Petrol</v>
      </c>
      <c r="M1107" t="str">
        <f>IFERROR(VLOOKUP(L1107,Model_Assumptions!$A:$D,2,0),"Unmapped")</f>
        <v>Sub-4m Sedan</v>
      </c>
      <c r="N1107" t="str">
        <f>IFERROR(VLOOKUP(L1107,Model_Assumptions!$A:$D,3,0),"Unmapped")</f>
        <v>Petrol</v>
      </c>
      <c r="O1107">
        <f>IFERROR(VLOOKUP(L1107,Model_Assumptions!$A:$D,4,0),0)</f>
        <v>850000</v>
      </c>
      <c r="P1107">
        <f>IFERROR(VLOOKUP(J1107,Source_Assumptions!$A:$C,3,0),0)</f>
        <v>100</v>
      </c>
    </row>
    <row r="1108" spans="1:16" x14ac:dyDescent="0.3">
      <c r="A1108">
        <f>Raw_Data!A1108</f>
        <v>1107</v>
      </c>
      <c r="B1108" s="2">
        <f>Raw_Data!B1108</f>
        <v>45437.677974537</v>
      </c>
      <c r="C1108">
        <f>YEAR(Raw_Data!B1108)</f>
        <v>2024</v>
      </c>
      <c r="D1108" t="str">
        <f>IF(MONTH(Raw_Data!B1108)&gt;=4,YEAR(Raw_Data!B1108)&amp;"-"&amp;RIGHT(YEAR(Raw_Data!B1108)+1,2),YEAR(Raw_Data!B1108)-1&amp;"-"&amp;RIGHT(YEAR(Raw_Data!B1108),2))</f>
        <v>2024-25</v>
      </c>
      <c r="E1108" t="str">
        <f>"Q"&amp;ROUNDUP(MONTH(Raw_Data!B1108)/3,0)</f>
        <v>Q2</v>
      </c>
      <c r="F1108" t="str">
        <f>TEXT(Raw_Data!B1108,"mmm")</f>
        <v>May</v>
      </c>
      <c r="G1108" t="str">
        <f>TEXT(Raw_Data!B1108,"ddd")</f>
        <v>Sat</v>
      </c>
      <c r="H1108" t="str">
        <f>Raw_Data!D1108</f>
        <v>Invoiced</v>
      </c>
      <c r="I1108" t="str">
        <f>Raw_Data!F1108</f>
        <v>SMS/ Tele-Out</v>
      </c>
      <c r="J1108" t="str">
        <f>Raw_Data!G1108</f>
        <v>I-BAP Self</v>
      </c>
      <c r="K1108" t="str">
        <f>IFERROR(VLOOKUP(J1108,Source_Assumptions!$A:$C,2,0),"Unmapped")</f>
        <v>Referral (Insurance/Banking Partner)</v>
      </c>
      <c r="L1108" t="str">
        <f>Raw_Data!H1108</f>
        <v>5TH GEN CITY e:HEV</v>
      </c>
      <c r="M1108" t="str">
        <f>IFERROR(VLOOKUP(L1108,Model_Assumptions!$A:$D,2,0),"Unmapped")</f>
        <v>Mid-size Sedan</v>
      </c>
      <c r="N1108" t="str">
        <f>IFERROR(VLOOKUP(L1108,Model_Assumptions!$A:$D,3,0),"Unmapped")</f>
        <v>Hybrid</v>
      </c>
      <c r="O1108">
        <f>IFERROR(VLOOKUP(L1108,Model_Assumptions!$A:$D,4,0),0)</f>
        <v>1950000</v>
      </c>
      <c r="P1108">
        <f>IFERROR(VLOOKUP(J1108,Source_Assumptions!$A:$C,3,0),0)</f>
        <v>100</v>
      </c>
    </row>
    <row r="1109" spans="1:16" x14ac:dyDescent="0.3">
      <c r="A1109">
        <f>Raw_Data!A1109</f>
        <v>1108</v>
      </c>
      <c r="B1109" s="2">
        <f>Raw_Data!B1109</f>
        <v>45437.7645023148</v>
      </c>
      <c r="C1109">
        <f>YEAR(Raw_Data!B1109)</f>
        <v>2024</v>
      </c>
      <c r="D1109" t="str">
        <f>IF(MONTH(Raw_Data!B1109)&gt;=4,YEAR(Raw_Data!B1109)&amp;"-"&amp;RIGHT(YEAR(Raw_Data!B1109)+1,2),YEAR(Raw_Data!B1109)-1&amp;"-"&amp;RIGHT(YEAR(Raw_Data!B1109),2))</f>
        <v>2024-25</v>
      </c>
      <c r="E1109" t="str">
        <f>"Q"&amp;ROUNDUP(MONTH(Raw_Data!B1109)/3,0)</f>
        <v>Q2</v>
      </c>
      <c r="F1109" t="str">
        <f>TEXT(Raw_Data!B1109,"mmm")</f>
        <v>May</v>
      </c>
      <c r="G1109" t="str">
        <f>TEXT(Raw_Data!B1109,"ddd")</f>
        <v>Sat</v>
      </c>
      <c r="H1109" t="str">
        <f>Raw_Data!D1109</f>
        <v>Invoiced</v>
      </c>
      <c r="I1109" t="str">
        <f>Raw_Data!F1109</f>
        <v>Tele-in</v>
      </c>
      <c r="J1109" t="str">
        <f>Raw_Data!G1109</f>
        <v>Referral-CAM</v>
      </c>
      <c r="K1109" t="str">
        <f>IFERROR(VLOOKUP(J1109,Source_Assumptions!$A:$C,2,0),"Unmapped")</f>
        <v>Referral</v>
      </c>
      <c r="L1109" t="str">
        <f>Raw_Data!H1109</f>
        <v>5TH GEN CITY e:HEV</v>
      </c>
      <c r="M1109" t="str">
        <f>IFERROR(VLOOKUP(L1109,Model_Assumptions!$A:$D,2,0),"Unmapped")</f>
        <v>Mid-size Sedan</v>
      </c>
      <c r="N1109" t="str">
        <f>IFERROR(VLOOKUP(L1109,Model_Assumptions!$A:$D,3,0),"Unmapped")</f>
        <v>Hybrid</v>
      </c>
      <c r="O1109">
        <f>IFERROR(VLOOKUP(L1109,Model_Assumptions!$A:$D,4,0),0)</f>
        <v>1950000</v>
      </c>
      <c r="P1109">
        <f>IFERROR(VLOOKUP(J1109,Source_Assumptions!$A:$C,3,0),0)</f>
        <v>150</v>
      </c>
    </row>
    <row r="1110" spans="1:16" x14ac:dyDescent="0.3">
      <c r="A1110">
        <f>Raw_Data!A1110</f>
        <v>1109</v>
      </c>
      <c r="B1110" s="2">
        <f>Raw_Data!B1110</f>
        <v>45441.6196180556</v>
      </c>
      <c r="C1110">
        <f>YEAR(Raw_Data!B1110)</f>
        <v>2024</v>
      </c>
      <c r="D1110" t="str">
        <f>IF(MONTH(Raw_Data!B1110)&gt;=4,YEAR(Raw_Data!B1110)&amp;"-"&amp;RIGHT(YEAR(Raw_Data!B1110)+1,2),YEAR(Raw_Data!B1110)-1&amp;"-"&amp;RIGHT(YEAR(Raw_Data!B1110),2))</f>
        <v>2024-25</v>
      </c>
      <c r="E1110" t="str">
        <f>"Q"&amp;ROUNDUP(MONTH(Raw_Data!B1110)/3,0)</f>
        <v>Q2</v>
      </c>
      <c r="F1110" t="str">
        <f>TEXT(Raw_Data!B1110,"mmm")</f>
        <v>May</v>
      </c>
      <c r="G1110" t="str">
        <f>TEXT(Raw_Data!B1110,"ddd")</f>
        <v>Wed</v>
      </c>
      <c r="H1110" t="str">
        <f>Raw_Data!D1110</f>
        <v>Invoiced</v>
      </c>
      <c r="I1110" t="str">
        <f>Raw_Data!F1110</f>
        <v>Walk-in Showroom</v>
      </c>
      <c r="J1110" t="str">
        <f>Raw_Data!G1110</f>
        <v>Adver. (TVC/Print/Hoarding/FM)</v>
      </c>
      <c r="K1110" t="str">
        <f>IFERROR(VLOOKUP(J1110,Source_Assumptions!$A:$C,2,0),"Unmapped")</f>
        <v>Traditional Advertising</v>
      </c>
      <c r="L1110" t="str">
        <f>Raw_Data!H1110</f>
        <v>ELEVATE</v>
      </c>
      <c r="M1110" t="str">
        <f>IFERROR(VLOOKUP(L1110,Model_Assumptions!$A:$D,2,0),"Unmapped")</f>
        <v>Compact SUV</v>
      </c>
      <c r="N1110" t="str">
        <f>IFERROR(VLOOKUP(L1110,Model_Assumptions!$A:$D,3,0),"Unmapped")</f>
        <v>Petrol</v>
      </c>
      <c r="O1110">
        <f>IFERROR(VLOOKUP(L1110,Model_Assumptions!$A:$D,4,0),0)</f>
        <v>1300000</v>
      </c>
      <c r="P1110">
        <f>IFERROR(VLOOKUP(J1110,Source_Assumptions!$A:$C,3,0),0)</f>
        <v>1200</v>
      </c>
    </row>
    <row r="1111" spans="1:16" x14ac:dyDescent="0.3">
      <c r="A1111">
        <f>Raw_Data!A1111</f>
        <v>1110</v>
      </c>
      <c r="B1111" s="2">
        <f>Raw_Data!B1111</f>
        <v>45441.699456018498</v>
      </c>
      <c r="C1111">
        <f>YEAR(Raw_Data!B1111)</f>
        <v>2024</v>
      </c>
      <c r="D1111" t="str">
        <f>IF(MONTH(Raw_Data!B1111)&gt;=4,YEAR(Raw_Data!B1111)&amp;"-"&amp;RIGHT(YEAR(Raw_Data!B1111)+1,2),YEAR(Raw_Data!B1111)-1&amp;"-"&amp;RIGHT(YEAR(Raw_Data!B1111),2))</f>
        <v>2024-25</v>
      </c>
      <c r="E1111" t="str">
        <f>"Q"&amp;ROUNDUP(MONTH(Raw_Data!B1111)/3,0)</f>
        <v>Q2</v>
      </c>
      <c r="F1111" t="str">
        <f>TEXT(Raw_Data!B1111,"mmm")</f>
        <v>May</v>
      </c>
      <c r="G1111" t="str">
        <f>TEXT(Raw_Data!B1111,"ddd")</f>
        <v>Wed</v>
      </c>
      <c r="H1111" t="str">
        <f>Raw_Data!D1111</f>
        <v>Invoiced</v>
      </c>
      <c r="I1111" t="str">
        <f>Raw_Data!F1111</f>
        <v>Web Lead</v>
      </c>
      <c r="J1111" t="str">
        <f>Raw_Data!G1111</f>
        <v>Web</v>
      </c>
      <c r="K1111" t="str">
        <f>IFERROR(VLOOKUP(J1111,Source_Assumptions!$A:$C,2,0),"Unmapped")</f>
        <v>Digital - Owned</v>
      </c>
      <c r="L1111" t="str">
        <f>Raw_Data!H1111</f>
        <v>ELEVATE</v>
      </c>
      <c r="M1111" t="str">
        <f>IFERROR(VLOOKUP(L1111,Model_Assumptions!$A:$D,2,0),"Unmapped")</f>
        <v>Compact SUV</v>
      </c>
      <c r="N1111" t="str">
        <f>IFERROR(VLOOKUP(L1111,Model_Assumptions!$A:$D,3,0),"Unmapped")</f>
        <v>Petrol</v>
      </c>
      <c r="O1111">
        <f>IFERROR(VLOOKUP(L1111,Model_Assumptions!$A:$D,4,0),0)</f>
        <v>1300000</v>
      </c>
      <c r="P1111">
        <f>IFERROR(VLOOKUP(J1111,Source_Assumptions!$A:$C,3,0),0)</f>
        <v>300</v>
      </c>
    </row>
    <row r="1112" spans="1:16" x14ac:dyDescent="0.3">
      <c r="A1112">
        <f>Raw_Data!A1112</f>
        <v>1111</v>
      </c>
      <c r="B1112" s="2">
        <f>Raw_Data!B1112</f>
        <v>45441.725023148101</v>
      </c>
      <c r="C1112">
        <f>YEAR(Raw_Data!B1112)</f>
        <v>2024</v>
      </c>
      <c r="D1112" t="str">
        <f>IF(MONTH(Raw_Data!B1112)&gt;=4,YEAR(Raw_Data!B1112)&amp;"-"&amp;RIGHT(YEAR(Raw_Data!B1112)+1,2),YEAR(Raw_Data!B1112)-1&amp;"-"&amp;RIGHT(YEAR(Raw_Data!B1112),2))</f>
        <v>2024-25</v>
      </c>
      <c r="E1112" t="str">
        <f>"Q"&amp;ROUNDUP(MONTH(Raw_Data!B1112)/3,0)</f>
        <v>Q2</v>
      </c>
      <c r="F1112" t="str">
        <f>TEXT(Raw_Data!B1112,"mmm")</f>
        <v>May</v>
      </c>
      <c r="G1112" t="str">
        <f>TEXT(Raw_Data!B1112,"ddd")</f>
        <v>Wed</v>
      </c>
      <c r="H1112" t="str">
        <f>Raw_Data!D1112</f>
        <v>Invoiced</v>
      </c>
      <c r="I1112" t="str">
        <f>Raw_Data!F1112</f>
        <v>SMS/ Tele-Out</v>
      </c>
      <c r="J1112" t="str">
        <f>Raw_Data!G1112</f>
        <v>I-BAP Self</v>
      </c>
      <c r="K1112" t="str">
        <f>IFERROR(VLOOKUP(J1112,Source_Assumptions!$A:$C,2,0),"Unmapped")</f>
        <v>Referral (Insurance/Banking Partner)</v>
      </c>
      <c r="L1112" t="str">
        <f>Raw_Data!H1112</f>
        <v>AMAZE Petrol</v>
      </c>
      <c r="M1112" t="str">
        <f>IFERROR(VLOOKUP(L1112,Model_Assumptions!$A:$D,2,0),"Unmapped")</f>
        <v>Sub-4m Sedan</v>
      </c>
      <c r="N1112" t="str">
        <f>IFERROR(VLOOKUP(L1112,Model_Assumptions!$A:$D,3,0),"Unmapped")</f>
        <v>Petrol</v>
      </c>
      <c r="O1112">
        <f>IFERROR(VLOOKUP(L1112,Model_Assumptions!$A:$D,4,0),0)</f>
        <v>850000</v>
      </c>
      <c r="P1112">
        <f>IFERROR(VLOOKUP(J1112,Source_Assumptions!$A:$C,3,0),0)</f>
        <v>100</v>
      </c>
    </row>
    <row r="1113" spans="1:16" x14ac:dyDescent="0.3">
      <c r="A1113">
        <f>Raw_Data!A1113</f>
        <v>1112</v>
      </c>
      <c r="B1113" s="2">
        <f>Raw_Data!B1113</f>
        <v>45442.553240740701</v>
      </c>
      <c r="C1113">
        <f>YEAR(Raw_Data!B1113)</f>
        <v>2024</v>
      </c>
      <c r="D1113" t="str">
        <f>IF(MONTH(Raw_Data!B1113)&gt;=4,YEAR(Raw_Data!B1113)&amp;"-"&amp;RIGHT(YEAR(Raw_Data!B1113)+1,2),YEAR(Raw_Data!B1113)-1&amp;"-"&amp;RIGHT(YEAR(Raw_Data!B1113),2))</f>
        <v>2024-25</v>
      </c>
      <c r="E1113" t="str">
        <f>"Q"&amp;ROUNDUP(MONTH(Raw_Data!B1113)/3,0)</f>
        <v>Q2</v>
      </c>
      <c r="F1113" t="str">
        <f>TEXT(Raw_Data!B1113,"mmm")</f>
        <v>May</v>
      </c>
      <c r="G1113" t="str">
        <f>TEXT(Raw_Data!B1113,"ddd")</f>
        <v>Thu</v>
      </c>
      <c r="H1113" t="str">
        <f>Raw_Data!D1113</f>
        <v>Invoiced</v>
      </c>
      <c r="I1113" t="str">
        <f>Raw_Data!F1113</f>
        <v>Tele-in</v>
      </c>
      <c r="J1113" t="str">
        <f>Raw_Data!G1113</f>
        <v>Dealer Webpage Tele-In</v>
      </c>
      <c r="K1113" t="str">
        <f>IFERROR(VLOOKUP(J1113,Source_Assumptions!$A:$C,2,0),"Unmapped")</f>
        <v>Digital - Owned</v>
      </c>
      <c r="L1113" t="str">
        <f>Raw_Data!H1113</f>
        <v>ELEVATE</v>
      </c>
      <c r="M1113" t="str">
        <f>IFERROR(VLOOKUP(L1113,Model_Assumptions!$A:$D,2,0),"Unmapped")</f>
        <v>Compact SUV</v>
      </c>
      <c r="N1113" t="str">
        <f>IFERROR(VLOOKUP(L1113,Model_Assumptions!$A:$D,3,0),"Unmapped")</f>
        <v>Petrol</v>
      </c>
      <c r="O1113">
        <f>IFERROR(VLOOKUP(L1113,Model_Assumptions!$A:$D,4,0),0)</f>
        <v>1300000</v>
      </c>
      <c r="P1113">
        <f>IFERROR(VLOOKUP(J1113,Source_Assumptions!$A:$C,3,0),0)</f>
        <v>300</v>
      </c>
    </row>
    <row r="1114" spans="1:16" x14ac:dyDescent="0.3">
      <c r="A1114">
        <f>Raw_Data!A1114</f>
        <v>1113</v>
      </c>
      <c r="B1114" s="2">
        <f>Raw_Data!B1114</f>
        <v>45442.679918981499</v>
      </c>
      <c r="C1114">
        <f>YEAR(Raw_Data!B1114)</f>
        <v>2024</v>
      </c>
      <c r="D1114" t="str">
        <f>IF(MONTH(Raw_Data!B1114)&gt;=4,YEAR(Raw_Data!B1114)&amp;"-"&amp;RIGHT(YEAR(Raw_Data!B1114)+1,2),YEAR(Raw_Data!B1114)-1&amp;"-"&amp;RIGHT(YEAR(Raw_Data!B1114),2))</f>
        <v>2024-25</v>
      </c>
      <c r="E1114" t="str">
        <f>"Q"&amp;ROUNDUP(MONTH(Raw_Data!B1114)/3,0)</f>
        <v>Q2</v>
      </c>
      <c r="F1114" t="str">
        <f>TEXT(Raw_Data!B1114,"mmm")</f>
        <v>May</v>
      </c>
      <c r="G1114" t="str">
        <f>TEXT(Raw_Data!B1114,"ddd")</f>
        <v>Thu</v>
      </c>
      <c r="H1114" t="str">
        <f>Raw_Data!D1114</f>
        <v>Invoiced</v>
      </c>
      <c r="I1114" t="str">
        <f>Raw_Data!F1114</f>
        <v>Walk-in Showroom</v>
      </c>
      <c r="J1114" t="str">
        <f>Raw_Data!G1114</f>
        <v>Adver. (TVC/Print/Hoarding/FM)</v>
      </c>
      <c r="K1114" t="str">
        <f>IFERROR(VLOOKUP(J1114,Source_Assumptions!$A:$C,2,0),"Unmapped")</f>
        <v>Traditional Advertising</v>
      </c>
      <c r="L1114" t="str">
        <f>Raw_Data!H1114</f>
        <v>AMAZE Petrol</v>
      </c>
      <c r="M1114" t="str">
        <f>IFERROR(VLOOKUP(L1114,Model_Assumptions!$A:$D,2,0),"Unmapped")</f>
        <v>Sub-4m Sedan</v>
      </c>
      <c r="N1114" t="str">
        <f>IFERROR(VLOOKUP(L1114,Model_Assumptions!$A:$D,3,0),"Unmapped")</f>
        <v>Petrol</v>
      </c>
      <c r="O1114">
        <f>IFERROR(VLOOKUP(L1114,Model_Assumptions!$A:$D,4,0),0)</f>
        <v>850000</v>
      </c>
      <c r="P1114">
        <f>IFERROR(VLOOKUP(J1114,Source_Assumptions!$A:$C,3,0),0)</f>
        <v>1200</v>
      </c>
    </row>
    <row r="1115" spans="1:16" x14ac:dyDescent="0.3">
      <c r="A1115">
        <f>Raw_Data!A1115</f>
        <v>1114</v>
      </c>
      <c r="B1115" s="2">
        <f>Raw_Data!B1115</f>
        <v>45442.6948148148</v>
      </c>
      <c r="C1115">
        <f>YEAR(Raw_Data!B1115)</f>
        <v>2024</v>
      </c>
      <c r="D1115" t="str">
        <f>IF(MONTH(Raw_Data!B1115)&gt;=4,YEAR(Raw_Data!B1115)&amp;"-"&amp;RIGHT(YEAR(Raw_Data!B1115)+1,2),YEAR(Raw_Data!B1115)-1&amp;"-"&amp;RIGHT(YEAR(Raw_Data!B1115),2))</f>
        <v>2024-25</v>
      </c>
      <c r="E1115" t="str">
        <f>"Q"&amp;ROUNDUP(MONTH(Raw_Data!B1115)/3,0)</f>
        <v>Q2</v>
      </c>
      <c r="F1115" t="str">
        <f>TEXT(Raw_Data!B1115,"mmm")</f>
        <v>May</v>
      </c>
      <c r="G1115" t="str">
        <f>TEXT(Raw_Data!B1115,"ddd")</f>
        <v>Thu</v>
      </c>
      <c r="H1115" t="str">
        <f>Raw_Data!D1115</f>
        <v>Invoiced</v>
      </c>
      <c r="I1115" t="str">
        <f>Raw_Data!F1115</f>
        <v>Walk-in Showroom</v>
      </c>
      <c r="J1115" t="str">
        <f>Raw_Data!G1115</f>
        <v>Adver. (TVC/Print/Hoarding/FM)</v>
      </c>
      <c r="K1115" t="str">
        <f>IFERROR(VLOOKUP(J1115,Source_Assumptions!$A:$C,2,0),"Unmapped")</f>
        <v>Traditional Advertising</v>
      </c>
      <c r="L1115" t="str">
        <f>Raw_Data!H1115</f>
        <v>AMAZE Petrol</v>
      </c>
      <c r="M1115" t="str">
        <f>IFERROR(VLOOKUP(L1115,Model_Assumptions!$A:$D,2,0),"Unmapped")</f>
        <v>Sub-4m Sedan</v>
      </c>
      <c r="N1115" t="str">
        <f>IFERROR(VLOOKUP(L1115,Model_Assumptions!$A:$D,3,0),"Unmapped")</f>
        <v>Petrol</v>
      </c>
      <c r="O1115">
        <f>IFERROR(VLOOKUP(L1115,Model_Assumptions!$A:$D,4,0),0)</f>
        <v>850000</v>
      </c>
      <c r="P1115">
        <f>IFERROR(VLOOKUP(J1115,Source_Assumptions!$A:$C,3,0),0)</f>
        <v>1200</v>
      </c>
    </row>
    <row r="1116" spans="1:16" x14ac:dyDescent="0.3">
      <c r="A1116">
        <f>Raw_Data!A1116</f>
        <v>1115</v>
      </c>
      <c r="B1116" s="2">
        <f>Raw_Data!B1116</f>
        <v>45443.759895833296</v>
      </c>
      <c r="C1116">
        <f>YEAR(Raw_Data!B1116)</f>
        <v>2024</v>
      </c>
      <c r="D1116" t="str">
        <f>IF(MONTH(Raw_Data!B1116)&gt;=4,YEAR(Raw_Data!B1116)&amp;"-"&amp;RIGHT(YEAR(Raw_Data!B1116)+1,2),YEAR(Raw_Data!B1116)-1&amp;"-"&amp;RIGHT(YEAR(Raw_Data!B1116),2))</f>
        <v>2024-25</v>
      </c>
      <c r="E1116" t="str">
        <f>"Q"&amp;ROUNDUP(MONTH(Raw_Data!B1116)/3,0)</f>
        <v>Q2</v>
      </c>
      <c r="F1116" t="str">
        <f>TEXT(Raw_Data!B1116,"mmm")</f>
        <v>May</v>
      </c>
      <c r="G1116" t="str">
        <f>TEXT(Raw_Data!B1116,"ddd")</f>
        <v>Fri</v>
      </c>
      <c r="H1116" t="str">
        <f>Raw_Data!D1116</f>
        <v>Invoiced</v>
      </c>
      <c r="I1116" t="str">
        <f>Raw_Data!F1116</f>
        <v>Web Lead</v>
      </c>
      <c r="J1116" t="str">
        <f>Raw_Data!G1116</f>
        <v>Web</v>
      </c>
      <c r="K1116" t="str">
        <f>IFERROR(VLOOKUP(J1116,Source_Assumptions!$A:$C,2,0),"Unmapped")</f>
        <v>Digital - Owned</v>
      </c>
      <c r="L1116" t="str">
        <f>Raw_Data!H1116</f>
        <v>ELEVATE</v>
      </c>
      <c r="M1116" t="str">
        <f>IFERROR(VLOOKUP(L1116,Model_Assumptions!$A:$D,2,0),"Unmapped")</f>
        <v>Compact SUV</v>
      </c>
      <c r="N1116" t="str">
        <f>IFERROR(VLOOKUP(L1116,Model_Assumptions!$A:$D,3,0),"Unmapped")</f>
        <v>Petrol</v>
      </c>
      <c r="O1116">
        <f>IFERROR(VLOOKUP(L1116,Model_Assumptions!$A:$D,4,0),0)</f>
        <v>1300000</v>
      </c>
      <c r="P1116">
        <f>IFERROR(VLOOKUP(J1116,Source_Assumptions!$A:$C,3,0),0)</f>
        <v>300</v>
      </c>
    </row>
    <row r="1117" spans="1:16" x14ac:dyDescent="0.3">
      <c r="A1117">
        <f>Raw_Data!A1117</f>
        <v>1116</v>
      </c>
      <c r="B1117" s="2">
        <f>Raw_Data!B1117</f>
        <v>45443.776307870401</v>
      </c>
      <c r="C1117">
        <f>YEAR(Raw_Data!B1117)</f>
        <v>2024</v>
      </c>
      <c r="D1117" t="str">
        <f>IF(MONTH(Raw_Data!B1117)&gt;=4,YEAR(Raw_Data!B1117)&amp;"-"&amp;RIGHT(YEAR(Raw_Data!B1117)+1,2),YEAR(Raw_Data!B1117)-1&amp;"-"&amp;RIGHT(YEAR(Raw_Data!B1117),2))</f>
        <v>2024-25</v>
      </c>
      <c r="E1117" t="str">
        <f>"Q"&amp;ROUNDUP(MONTH(Raw_Data!B1117)/3,0)</f>
        <v>Q2</v>
      </c>
      <c r="F1117" t="str">
        <f>TEXT(Raw_Data!B1117,"mmm")</f>
        <v>May</v>
      </c>
      <c r="G1117" t="str">
        <f>TEXT(Raw_Data!B1117,"ddd")</f>
        <v>Fri</v>
      </c>
      <c r="H1117" t="str">
        <f>Raw_Data!D1117</f>
        <v>Invoiced</v>
      </c>
      <c r="I1117" t="str">
        <f>Raw_Data!F1117</f>
        <v>SMS/ Tele-Out</v>
      </c>
      <c r="J1117" t="str">
        <f>Raw_Data!G1117</f>
        <v>I-BAP Self</v>
      </c>
      <c r="K1117" t="str">
        <f>IFERROR(VLOOKUP(J1117,Source_Assumptions!$A:$C,2,0),"Unmapped")</f>
        <v>Referral (Insurance/Banking Partner)</v>
      </c>
      <c r="L1117" t="str">
        <f>Raw_Data!H1117</f>
        <v>5TH GEN CITY PE</v>
      </c>
      <c r="M1117" t="str">
        <f>IFERROR(VLOOKUP(L1117,Model_Assumptions!$A:$D,2,0),"Unmapped")</f>
        <v>Mid-size Sedan</v>
      </c>
      <c r="N1117" t="str">
        <f>IFERROR(VLOOKUP(L1117,Model_Assumptions!$A:$D,3,0),"Unmapped")</f>
        <v>Petrol</v>
      </c>
      <c r="O1117">
        <f>IFERROR(VLOOKUP(L1117,Model_Assumptions!$A:$D,4,0),0)</f>
        <v>1250000</v>
      </c>
      <c r="P1117">
        <f>IFERROR(VLOOKUP(J1117,Source_Assumptions!$A:$C,3,0),0)</f>
        <v>100</v>
      </c>
    </row>
    <row r="1118" spans="1:16" x14ac:dyDescent="0.3">
      <c r="A1118">
        <f>Raw_Data!A1118</f>
        <v>1117</v>
      </c>
      <c r="B1118" s="2">
        <f>Raw_Data!B1118</f>
        <v>45443.8124537037</v>
      </c>
      <c r="C1118">
        <f>YEAR(Raw_Data!B1118)</f>
        <v>2024</v>
      </c>
      <c r="D1118" t="str">
        <f>IF(MONTH(Raw_Data!B1118)&gt;=4,YEAR(Raw_Data!B1118)&amp;"-"&amp;RIGHT(YEAR(Raw_Data!B1118)+1,2),YEAR(Raw_Data!B1118)-1&amp;"-"&amp;RIGHT(YEAR(Raw_Data!B1118),2))</f>
        <v>2024-25</v>
      </c>
      <c r="E1118" t="str">
        <f>"Q"&amp;ROUNDUP(MONTH(Raw_Data!B1118)/3,0)</f>
        <v>Q2</v>
      </c>
      <c r="F1118" t="str">
        <f>TEXT(Raw_Data!B1118,"mmm")</f>
        <v>May</v>
      </c>
      <c r="G1118" t="str">
        <f>TEXT(Raw_Data!B1118,"ddd")</f>
        <v>Fri</v>
      </c>
      <c r="H1118" t="str">
        <f>Raw_Data!D1118</f>
        <v>Invoiced</v>
      </c>
      <c r="I1118" t="str">
        <f>Raw_Data!F1118</f>
        <v>Web Lead</v>
      </c>
      <c r="J1118" t="str">
        <f>Raw_Data!G1118</f>
        <v>Web_Organic</v>
      </c>
      <c r="K1118" t="str">
        <f>IFERROR(VLOOKUP(J1118,Source_Assumptions!$A:$C,2,0),"Unmapped")</f>
        <v>Digital - Organic</v>
      </c>
      <c r="L1118" t="str">
        <f>Raw_Data!H1118</f>
        <v>AMAZE Petrol</v>
      </c>
      <c r="M1118" t="str">
        <f>IFERROR(VLOOKUP(L1118,Model_Assumptions!$A:$D,2,0),"Unmapped")</f>
        <v>Sub-4m Sedan</v>
      </c>
      <c r="N1118" t="str">
        <f>IFERROR(VLOOKUP(L1118,Model_Assumptions!$A:$D,3,0),"Unmapped")</f>
        <v>Petrol</v>
      </c>
      <c r="O1118">
        <f>IFERROR(VLOOKUP(L1118,Model_Assumptions!$A:$D,4,0),0)</f>
        <v>850000</v>
      </c>
      <c r="P1118">
        <f>IFERROR(VLOOKUP(J1118,Source_Assumptions!$A:$C,3,0),0)</f>
        <v>100</v>
      </c>
    </row>
    <row r="1119" spans="1:16" x14ac:dyDescent="0.3">
      <c r="A1119">
        <f>Raw_Data!A1119</f>
        <v>1118</v>
      </c>
      <c r="B1119" s="2">
        <f>Raw_Data!B1119</f>
        <v>45443.853645833296</v>
      </c>
      <c r="C1119">
        <f>YEAR(Raw_Data!B1119)</f>
        <v>2024</v>
      </c>
      <c r="D1119" t="str">
        <f>IF(MONTH(Raw_Data!B1119)&gt;=4,YEAR(Raw_Data!B1119)&amp;"-"&amp;RIGHT(YEAR(Raw_Data!B1119)+1,2),YEAR(Raw_Data!B1119)-1&amp;"-"&amp;RIGHT(YEAR(Raw_Data!B1119),2))</f>
        <v>2024-25</v>
      </c>
      <c r="E1119" t="str">
        <f>"Q"&amp;ROUNDUP(MONTH(Raw_Data!B1119)/3,0)</f>
        <v>Q2</v>
      </c>
      <c r="F1119" t="str">
        <f>TEXT(Raw_Data!B1119,"mmm")</f>
        <v>May</v>
      </c>
      <c r="G1119" t="str">
        <f>TEXT(Raw_Data!B1119,"ddd")</f>
        <v>Fri</v>
      </c>
      <c r="H1119" t="str">
        <f>Raw_Data!D1119</f>
        <v>Invoiced</v>
      </c>
      <c r="I1119" t="str">
        <f>Raw_Data!F1119</f>
        <v>Web Lead</v>
      </c>
      <c r="J1119" t="str">
        <f>Raw_Data!G1119</f>
        <v>Web_Organic</v>
      </c>
      <c r="K1119" t="str">
        <f>IFERROR(VLOOKUP(J1119,Source_Assumptions!$A:$C,2,0),"Unmapped")</f>
        <v>Digital - Organic</v>
      </c>
      <c r="L1119" t="str">
        <f>Raw_Data!H1119</f>
        <v>5TH GEN CITY PE</v>
      </c>
      <c r="M1119" t="str">
        <f>IFERROR(VLOOKUP(L1119,Model_Assumptions!$A:$D,2,0),"Unmapped")</f>
        <v>Mid-size Sedan</v>
      </c>
      <c r="N1119" t="str">
        <f>IFERROR(VLOOKUP(L1119,Model_Assumptions!$A:$D,3,0),"Unmapped")</f>
        <v>Petrol</v>
      </c>
      <c r="O1119">
        <f>IFERROR(VLOOKUP(L1119,Model_Assumptions!$A:$D,4,0),0)</f>
        <v>1250000</v>
      </c>
      <c r="P1119">
        <f>IFERROR(VLOOKUP(J1119,Source_Assumptions!$A:$C,3,0),0)</f>
        <v>100</v>
      </c>
    </row>
    <row r="1120" spans="1:16" x14ac:dyDescent="0.3">
      <c r="A1120">
        <f>Raw_Data!A1120</f>
        <v>1119</v>
      </c>
      <c r="B1120" s="2">
        <f>Raw_Data!B1120</f>
        <v>45443.862754629597</v>
      </c>
      <c r="C1120">
        <f>YEAR(Raw_Data!B1120)</f>
        <v>2024</v>
      </c>
      <c r="D1120" t="str">
        <f>IF(MONTH(Raw_Data!B1120)&gt;=4,YEAR(Raw_Data!B1120)&amp;"-"&amp;RIGHT(YEAR(Raw_Data!B1120)+1,2),YEAR(Raw_Data!B1120)-1&amp;"-"&amp;RIGHT(YEAR(Raw_Data!B1120),2))</f>
        <v>2024-25</v>
      </c>
      <c r="E1120" t="str">
        <f>"Q"&amp;ROUNDUP(MONTH(Raw_Data!B1120)/3,0)</f>
        <v>Q2</v>
      </c>
      <c r="F1120" t="str">
        <f>TEXT(Raw_Data!B1120,"mmm")</f>
        <v>May</v>
      </c>
      <c r="G1120" t="str">
        <f>TEXT(Raw_Data!B1120,"ddd")</f>
        <v>Fri</v>
      </c>
      <c r="H1120" t="str">
        <f>Raw_Data!D1120</f>
        <v>Invoiced</v>
      </c>
      <c r="I1120" t="str">
        <f>Raw_Data!F1120</f>
        <v>Tele-in</v>
      </c>
      <c r="J1120" t="str">
        <f>Raw_Data!G1120</f>
        <v>Referral-CAM</v>
      </c>
      <c r="K1120" t="str">
        <f>IFERROR(VLOOKUP(J1120,Source_Assumptions!$A:$C,2,0),"Unmapped")</f>
        <v>Referral</v>
      </c>
      <c r="L1120" t="str">
        <f>Raw_Data!H1120</f>
        <v>5TH GEN CITY PE</v>
      </c>
      <c r="M1120" t="str">
        <f>IFERROR(VLOOKUP(L1120,Model_Assumptions!$A:$D,2,0),"Unmapped")</f>
        <v>Mid-size Sedan</v>
      </c>
      <c r="N1120" t="str">
        <f>IFERROR(VLOOKUP(L1120,Model_Assumptions!$A:$D,3,0),"Unmapped")</f>
        <v>Petrol</v>
      </c>
      <c r="O1120">
        <f>IFERROR(VLOOKUP(L1120,Model_Assumptions!$A:$D,4,0),0)</f>
        <v>1250000</v>
      </c>
      <c r="P1120">
        <f>IFERROR(VLOOKUP(J1120,Source_Assumptions!$A:$C,3,0),0)</f>
        <v>150</v>
      </c>
    </row>
    <row r="1121" spans="1:16" x14ac:dyDescent="0.3">
      <c r="A1121">
        <f>Raw_Data!A1121</f>
        <v>1120</v>
      </c>
      <c r="B1121" s="2">
        <f>Raw_Data!B1121</f>
        <v>45443.864618055602</v>
      </c>
      <c r="C1121">
        <f>YEAR(Raw_Data!B1121)</f>
        <v>2024</v>
      </c>
      <c r="D1121" t="str">
        <f>IF(MONTH(Raw_Data!B1121)&gt;=4,YEAR(Raw_Data!B1121)&amp;"-"&amp;RIGHT(YEAR(Raw_Data!B1121)+1,2),YEAR(Raw_Data!B1121)-1&amp;"-"&amp;RIGHT(YEAR(Raw_Data!B1121),2))</f>
        <v>2024-25</v>
      </c>
      <c r="E1121" t="str">
        <f>"Q"&amp;ROUNDUP(MONTH(Raw_Data!B1121)/3,0)</f>
        <v>Q2</v>
      </c>
      <c r="F1121" t="str">
        <f>TEXT(Raw_Data!B1121,"mmm")</f>
        <v>May</v>
      </c>
      <c r="G1121" t="str">
        <f>TEXT(Raw_Data!B1121,"ddd")</f>
        <v>Fri</v>
      </c>
      <c r="H1121" t="str">
        <f>Raw_Data!D1121</f>
        <v>Invoiced</v>
      </c>
      <c r="I1121" t="str">
        <f>Raw_Data!F1121</f>
        <v>SMS/ Tele-Out</v>
      </c>
      <c r="J1121" t="str">
        <f>Raw_Data!G1121</f>
        <v>I-BAP Self</v>
      </c>
      <c r="K1121" t="str">
        <f>IFERROR(VLOOKUP(J1121,Source_Assumptions!$A:$C,2,0),"Unmapped")</f>
        <v>Referral (Insurance/Banking Partner)</v>
      </c>
      <c r="L1121" t="str">
        <f>Raw_Data!H1121</f>
        <v>ELEVATE</v>
      </c>
      <c r="M1121" t="str">
        <f>IFERROR(VLOOKUP(L1121,Model_Assumptions!$A:$D,2,0),"Unmapped")</f>
        <v>Compact SUV</v>
      </c>
      <c r="N1121" t="str">
        <f>IFERROR(VLOOKUP(L1121,Model_Assumptions!$A:$D,3,0),"Unmapped")</f>
        <v>Petrol</v>
      </c>
      <c r="O1121">
        <f>IFERROR(VLOOKUP(L1121,Model_Assumptions!$A:$D,4,0),0)</f>
        <v>1300000</v>
      </c>
      <c r="P1121">
        <f>IFERROR(VLOOKUP(J1121,Source_Assumptions!$A:$C,3,0),0)</f>
        <v>100</v>
      </c>
    </row>
    <row r="1122" spans="1:16" x14ac:dyDescent="0.3">
      <c r="A1122">
        <f>Raw_Data!A1122</f>
        <v>1121</v>
      </c>
      <c r="B1122" s="2">
        <f>Raw_Data!B1122</f>
        <v>45443.890902777799</v>
      </c>
      <c r="C1122">
        <f>YEAR(Raw_Data!B1122)</f>
        <v>2024</v>
      </c>
      <c r="D1122" t="str">
        <f>IF(MONTH(Raw_Data!B1122)&gt;=4,YEAR(Raw_Data!B1122)&amp;"-"&amp;RIGHT(YEAR(Raw_Data!B1122)+1,2),YEAR(Raw_Data!B1122)-1&amp;"-"&amp;RIGHT(YEAR(Raw_Data!B1122),2))</f>
        <v>2024-25</v>
      </c>
      <c r="E1122" t="str">
        <f>"Q"&amp;ROUNDUP(MONTH(Raw_Data!B1122)/3,0)</f>
        <v>Q2</v>
      </c>
      <c r="F1122" t="str">
        <f>TEXT(Raw_Data!B1122,"mmm")</f>
        <v>May</v>
      </c>
      <c r="G1122" t="str">
        <f>TEXT(Raw_Data!B1122,"ddd")</f>
        <v>Fri</v>
      </c>
      <c r="H1122" t="str">
        <f>Raw_Data!D1122</f>
        <v>Invoiced</v>
      </c>
      <c r="I1122" t="str">
        <f>Raw_Data!F1122</f>
        <v>Tele-in</v>
      </c>
      <c r="J1122" t="str">
        <f>Raw_Data!G1122</f>
        <v>Referral-CAM</v>
      </c>
      <c r="K1122" t="str">
        <f>IFERROR(VLOOKUP(J1122,Source_Assumptions!$A:$C,2,0),"Unmapped")</f>
        <v>Referral</v>
      </c>
      <c r="L1122" t="str">
        <f>Raw_Data!H1122</f>
        <v>AMAZE Petrol</v>
      </c>
      <c r="M1122" t="str">
        <f>IFERROR(VLOOKUP(L1122,Model_Assumptions!$A:$D,2,0),"Unmapped")</f>
        <v>Sub-4m Sedan</v>
      </c>
      <c r="N1122" t="str">
        <f>IFERROR(VLOOKUP(L1122,Model_Assumptions!$A:$D,3,0),"Unmapped")</f>
        <v>Petrol</v>
      </c>
      <c r="O1122">
        <f>IFERROR(VLOOKUP(L1122,Model_Assumptions!$A:$D,4,0),0)</f>
        <v>850000</v>
      </c>
      <c r="P1122">
        <f>IFERROR(VLOOKUP(J1122,Source_Assumptions!$A:$C,3,0),0)</f>
        <v>150</v>
      </c>
    </row>
    <row r="1123" spans="1:16" x14ac:dyDescent="0.3">
      <c r="A1123">
        <f>Raw_Data!A1123</f>
        <v>1122</v>
      </c>
      <c r="B1123" s="2">
        <f>Raw_Data!B1123</f>
        <v>45443.891608796301</v>
      </c>
      <c r="C1123">
        <f>YEAR(Raw_Data!B1123)</f>
        <v>2024</v>
      </c>
      <c r="D1123" t="str">
        <f>IF(MONTH(Raw_Data!B1123)&gt;=4,YEAR(Raw_Data!B1123)&amp;"-"&amp;RIGHT(YEAR(Raw_Data!B1123)+1,2),YEAR(Raw_Data!B1123)-1&amp;"-"&amp;RIGHT(YEAR(Raw_Data!B1123),2))</f>
        <v>2024-25</v>
      </c>
      <c r="E1123" t="str">
        <f>"Q"&amp;ROUNDUP(MONTH(Raw_Data!B1123)/3,0)</f>
        <v>Q2</v>
      </c>
      <c r="F1123" t="str">
        <f>TEXT(Raw_Data!B1123,"mmm")</f>
        <v>May</v>
      </c>
      <c r="G1123" t="str">
        <f>TEXT(Raw_Data!B1123,"ddd")</f>
        <v>Fri</v>
      </c>
      <c r="H1123" t="str">
        <f>Raw_Data!D1123</f>
        <v>Invoiced</v>
      </c>
      <c r="I1123" t="str">
        <f>Raw_Data!F1123</f>
        <v>Tele-in</v>
      </c>
      <c r="J1123" t="str">
        <f>Raw_Data!G1123</f>
        <v>Referral-CAM</v>
      </c>
      <c r="K1123" t="str">
        <f>IFERROR(VLOOKUP(J1123,Source_Assumptions!$A:$C,2,0),"Unmapped")</f>
        <v>Referral</v>
      </c>
      <c r="L1123" t="str">
        <f>Raw_Data!H1123</f>
        <v>AMAZE Petrol</v>
      </c>
      <c r="M1123" t="str">
        <f>IFERROR(VLOOKUP(L1123,Model_Assumptions!$A:$D,2,0),"Unmapped")</f>
        <v>Sub-4m Sedan</v>
      </c>
      <c r="N1123" t="str">
        <f>IFERROR(VLOOKUP(L1123,Model_Assumptions!$A:$D,3,0),"Unmapped")</f>
        <v>Petrol</v>
      </c>
      <c r="O1123">
        <f>IFERROR(VLOOKUP(L1123,Model_Assumptions!$A:$D,4,0),0)</f>
        <v>850000</v>
      </c>
      <c r="P1123">
        <f>IFERROR(VLOOKUP(J1123,Source_Assumptions!$A:$C,3,0),0)</f>
        <v>150</v>
      </c>
    </row>
    <row r="1124" spans="1:16" x14ac:dyDescent="0.3">
      <c r="A1124">
        <f>Raw_Data!A1124</f>
        <v>1123</v>
      </c>
      <c r="B1124" s="2">
        <f>Raw_Data!B1124</f>
        <v>45443.8921990741</v>
      </c>
      <c r="C1124">
        <f>YEAR(Raw_Data!B1124)</f>
        <v>2024</v>
      </c>
      <c r="D1124" t="str">
        <f>IF(MONTH(Raw_Data!B1124)&gt;=4,YEAR(Raw_Data!B1124)&amp;"-"&amp;RIGHT(YEAR(Raw_Data!B1124)+1,2),YEAR(Raw_Data!B1124)-1&amp;"-"&amp;RIGHT(YEAR(Raw_Data!B1124),2))</f>
        <v>2024-25</v>
      </c>
      <c r="E1124" t="str">
        <f>"Q"&amp;ROUNDUP(MONTH(Raw_Data!B1124)/3,0)</f>
        <v>Q2</v>
      </c>
      <c r="F1124" t="str">
        <f>TEXT(Raw_Data!B1124,"mmm")</f>
        <v>May</v>
      </c>
      <c r="G1124" t="str">
        <f>TEXT(Raw_Data!B1124,"ddd")</f>
        <v>Fri</v>
      </c>
      <c r="H1124" t="str">
        <f>Raw_Data!D1124</f>
        <v>Invoiced</v>
      </c>
      <c r="I1124" t="str">
        <f>Raw_Data!F1124</f>
        <v>Tele-in</v>
      </c>
      <c r="J1124" t="str">
        <f>Raw_Data!G1124</f>
        <v>Referral-CAM</v>
      </c>
      <c r="K1124" t="str">
        <f>IFERROR(VLOOKUP(J1124,Source_Assumptions!$A:$C,2,0),"Unmapped")</f>
        <v>Referral</v>
      </c>
      <c r="L1124" t="str">
        <f>Raw_Data!H1124</f>
        <v>AMAZE Petrol</v>
      </c>
      <c r="M1124" t="str">
        <f>IFERROR(VLOOKUP(L1124,Model_Assumptions!$A:$D,2,0),"Unmapped")</f>
        <v>Sub-4m Sedan</v>
      </c>
      <c r="N1124" t="str">
        <f>IFERROR(VLOOKUP(L1124,Model_Assumptions!$A:$D,3,0),"Unmapped")</f>
        <v>Petrol</v>
      </c>
      <c r="O1124">
        <f>IFERROR(VLOOKUP(L1124,Model_Assumptions!$A:$D,4,0),0)</f>
        <v>850000</v>
      </c>
      <c r="P1124">
        <f>IFERROR(VLOOKUP(J1124,Source_Assumptions!$A:$C,3,0),0)</f>
        <v>150</v>
      </c>
    </row>
    <row r="1125" spans="1:16" x14ac:dyDescent="0.3">
      <c r="A1125">
        <f>Raw_Data!A1125</f>
        <v>1124</v>
      </c>
      <c r="B1125" s="2">
        <f>Raw_Data!B1125</f>
        <v>45443.905960648197</v>
      </c>
      <c r="C1125">
        <f>YEAR(Raw_Data!B1125)</f>
        <v>2024</v>
      </c>
      <c r="D1125" t="str">
        <f>IF(MONTH(Raw_Data!B1125)&gt;=4,YEAR(Raw_Data!B1125)&amp;"-"&amp;RIGHT(YEAR(Raw_Data!B1125)+1,2),YEAR(Raw_Data!B1125)-1&amp;"-"&amp;RIGHT(YEAR(Raw_Data!B1125),2))</f>
        <v>2024-25</v>
      </c>
      <c r="E1125" t="str">
        <f>"Q"&amp;ROUNDUP(MONTH(Raw_Data!B1125)/3,0)</f>
        <v>Q2</v>
      </c>
      <c r="F1125" t="str">
        <f>TEXT(Raw_Data!B1125,"mmm")</f>
        <v>May</v>
      </c>
      <c r="G1125" t="str">
        <f>TEXT(Raw_Data!B1125,"ddd")</f>
        <v>Fri</v>
      </c>
      <c r="H1125" t="str">
        <f>Raw_Data!D1125</f>
        <v>Invoiced</v>
      </c>
      <c r="I1125" t="str">
        <f>Raw_Data!F1125</f>
        <v>SMS/ Tele-Out</v>
      </c>
      <c r="J1125" t="str">
        <f>Raw_Data!G1125</f>
        <v>I-BAP Self</v>
      </c>
      <c r="K1125" t="str">
        <f>IFERROR(VLOOKUP(J1125,Source_Assumptions!$A:$C,2,0),"Unmapped")</f>
        <v>Referral (Insurance/Banking Partner)</v>
      </c>
      <c r="L1125" t="str">
        <f>Raw_Data!H1125</f>
        <v>AMAZE Petrol</v>
      </c>
      <c r="M1125" t="str">
        <f>IFERROR(VLOOKUP(L1125,Model_Assumptions!$A:$D,2,0),"Unmapped")</f>
        <v>Sub-4m Sedan</v>
      </c>
      <c r="N1125" t="str">
        <f>IFERROR(VLOOKUP(L1125,Model_Assumptions!$A:$D,3,0),"Unmapped")</f>
        <v>Petrol</v>
      </c>
      <c r="O1125">
        <f>IFERROR(VLOOKUP(L1125,Model_Assumptions!$A:$D,4,0),0)</f>
        <v>850000</v>
      </c>
      <c r="P1125">
        <f>IFERROR(VLOOKUP(J1125,Source_Assumptions!$A:$C,3,0),0)</f>
        <v>100</v>
      </c>
    </row>
    <row r="1126" spans="1:16" x14ac:dyDescent="0.3">
      <c r="A1126">
        <f>Raw_Data!A1126</f>
        <v>1125</v>
      </c>
      <c r="B1126" s="2">
        <f>Raw_Data!B1126</f>
        <v>45443.909583333298</v>
      </c>
      <c r="C1126">
        <f>YEAR(Raw_Data!B1126)</f>
        <v>2024</v>
      </c>
      <c r="D1126" t="str">
        <f>IF(MONTH(Raw_Data!B1126)&gt;=4,YEAR(Raw_Data!B1126)&amp;"-"&amp;RIGHT(YEAR(Raw_Data!B1126)+1,2),YEAR(Raw_Data!B1126)-1&amp;"-"&amp;RIGHT(YEAR(Raw_Data!B1126),2))</f>
        <v>2024-25</v>
      </c>
      <c r="E1126" t="str">
        <f>"Q"&amp;ROUNDUP(MONTH(Raw_Data!B1126)/3,0)</f>
        <v>Q2</v>
      </c>
      <c r="F1126" t="str">
        <f>TEXT(Raw_Data!B1126,"mmm")</f>
        <v>May</v>
      </c>
      <c r="G1126" t="str">
        <f>TEXT(Raw_Data!B1126,"ddd")</f>
        <v>Fri</v>
      </c>
      <c r="H1126" t="str">
        <f>Raw_Data!D1126</f>
        <v>Invoiced</v>
      </c>
      <c r="I1126" t="str">
        <f>Raw_Data!F1126</f>
        <v>SMS/ Tele-Out</v>
      </c>
      <c r="J1126" t="str">
        <f>Raw_Data!G1126</f>
        <v>I-BAP Self</v>
      </c>
      <c r="K1126" t="str">
        <f>IFERROR(VLOOKUP(J1126,Source_Assumptions!$A:$C,2,0),"Unmapped")</f>
        <v>Referral (Insurance/Banking Partner)</v>
      </c>
      <c r="L1126" t="str">
        <f>Raw_Data!H1126</f>
        <v>AMAZE Petrol</v>
      </c>
      <c r="M1126" t="str">
        <f>IFERROR(VLOOKUP(L1126,Model_Assumptions!$A:$D,2,0),"Unmapped")</f>
        <v>Sub-4m Sedan</v>
      </c>
      <c r="N1126" t="str">
        <f>IFERROR(VLOOKUP(L1126,Model_Assumptions!$A:$D,3,0),"Unmapped")</f>
        <v>Petrol</v>
      </c>
      <c r="O1126">
        <f>IFERROR(VLOOKUP(L1126,Model_Assumptions!$A:$D,4,0),0)</f>
        <v>850000</v>
      </c>
      <c r="P1126">
        <f>IFERROR(VLOOKUP(J1126,Source_Assumptions!$A:$C,3,0),0)</f>
        <v>100</v>
      </c>
    </row>
    <row r="1127" spans="1:16" x14ac:dyDescent="0.3">
      <c r="A1127">
        <f>Raw_Data!A1127</f>
        <v>1126</v>
      </c>
      <c r="B1127" s="2">
        <f>Raw_Data!B1127</f>
        <v>45443.910659722198</v>
      </c>
      <c r="C1127">
        <f>YEAR(Raw_Data!B1127)</f>
        <v>2024</v>
      </c>
      <c r="D1127" t="str">
        <f>IF(MONTH(Raw_Data!B1127)&gt;=4,YEAR(Raw_Data!B1127)&amp;"-"&amp;RIGHT(YEAR(Raw_Data!B1127)+1,2),YEAR(Raw_Data!B1127)-1&amp;"-"&amp;RIGHT(YEAR(Raw_Data!B1127),2))</f>
        <v>2024-25</v>
      </c>
      <c r="E1127" t="str">
        <f>"Q"&amp;ROUNDUP(MONTH(Raw_Data!B1127)/3,0)</f>
        <v>Q2</v>
      </c>
      <c r="F1127" t="str">
        <f>TEXT(Raw_Data!B1127,"mmm")</f>
        <v>May</v>
      </c>
      <c r="G1127" t="str">
        <f>TEXT(Raw_Data!B1127,"ddd")</f>
        <v>Fri</v>
      </c>
      <c r="H1127" t="str">
        <f>Raw_Data!D1127</f>
        <v>Invoiced</v>
      </c>
      <c r="I1127" t="str">
        <f>Raw_Data!F1127</f>
        <v>Tele-in</v>
      </c>
      <c r="J1127" t="str">
        <f>Raw_Data!G1127</f>
        <v>Referral-CAM</v>
      </c>
      <c r="K1127" t="str">
        <f>IFERROR(VLOOKUP(J1127,Source_Assumptions!$A:$C,2,0),"Unmapped")</f>
        <v>Referral</v>
      </c>
      <c r="L1127" t="str">
        <f>Raw_Data!H1127</f>
        <v>AMAZE Petrol</v>
      </c>
      <c r="M1127" t="str">
        <f>IFERROR(VLOOKUP(L1127,Model_Assumptions!$A:$D,2,0),"Unmapped")</f>
        <v>Sub-4m Sedan</v>
      </c>
      <c r="N1127" t="str">
        <f>IFERROR(VLOOKUP(L1127,Model_Assumptions!$A:$D,3,0),"Unmapped")</f>
        <v>Petrol</v>
      </c>
      <c r="O1127">
        <f>IFERROR(VLOOKUP(L1127,Model_Assumptions!$A:$D,4,0),0)</f>
        <v>850000</v>
      </c>
      <c r="P1127">
        <f>IFERROR(VLOOKUP(J1127,Source_Assumptions!$A:$C,3,0),0)</f>
        <v>150</v>
      </c>
    </row>
    <row r="1128" spans="1:16" x14ac:dyDescent="0.3">
      <c r="A1128">
        <f>Raw_Data!A1128</f>
        <v>1127</v>
      </c>
      <c r="B1128" s="2">
        <f>Raw_Data!B1128</f>
        <v>45451.462083333303</v>
      </c>
      <c r="C1128">
        <f>YEAR(Raw_Data!B1128)</f>
        <v>2024</v>
      </c>
      <c r="D1128" t="str">
        <f>IF(MONTH(Raw_Data!B1128)&gt;=4,YEAR(Raw_Data!B1128)&amp;"-"&amp;RIGHT(YEAR(Raw_Data!B1128)+1,2),YEAR(Raw_Data!B1128)-1&amp;"-"&amp;RIGHT(YEAR(Raw_Data!B1128),2))</f>
        <v>2024-25</v>
      </c>
      <c r="E1128" t="str">
        <f>"Q"&amp;ROUNDUP(MONTH(Raw_Data!B1128)/3,0)</f>
        <v>Q2</v>
      </c>
      <c r="F1128" t="str">
        <f>TEXT(Raw_Data!B1128,"mmm")</f>
        <v>Jun</v>
      </c>
      <c r="G1128" t="str">
        <f>TEXT(Raw_Data!B1128,"ddd")</f>
        <v>Sat</v>
      </c>
      <c r="H1128" t="str">
        <f>Raw_Data!D1128</f>
        <v>Invoiced</v>
      </c>
      <c r="I1128" t="str">
        <f>Raw_Data!F1128</f>
        <v>Web Lead</v>
      </c>
      <c r="J1128" t="str">
        <f>Raw_Data!G1128</f>
        <v>Web</v>
      </c>
      <c r="K1128" t="str">
        <f>IFERROR(VLOOKUP(J1128,Source_Assumptions!$A:$C,2,0),"Unmapped")</f>
        <v>Digital - Owned</v>
      </c>
      <c r="L1128" t="str">
        <f>Raw_Data!H1128</f>
        <v>ELEVATE</v>
      </c>
      <c r="M1128" t="str">
        <f>IFERROR(VLOOKUP(L1128,Model_Assumptions!$A:$D,2,0),"Unmapped")</f>
        <v>Compact SUV</v>
      </c>
      <c r="N1128" t="str">
        <f>IFERROR(VLOOKUP(L1128,Model_Assumptions!$A:$D,3,0),"Unmapped")</f>
        <v>Petrol</v>
      </c>
      <c r="O1128">
        <f>IFERROR(VLOOKUP(L1128,Model_Assumptions!$A:$D,4,0),0)</f>
        <v>1300000</v>
      </c>
      <c r="P1128">
        <f>IFERROR(VLOOKUP(J1128,Source_Assumptions!$A:$C,3,0),0)</f>
        <v>300</v>
      </c>
    </row>
    <row r="1129" spans="1:16" x14ac:dyDescent="0.3">
      <c r="A1129">
        <f>Raw_Data!A1129</f>
        <v>1128</v>
      </c>
      <c r="B1129" s="2">
        <f>Raw_Data!B1129</f>
        <v>45453.6545833333</v>
      </c>
      <c r="C1129">
        <f>YEAR(Raw_Data!B1129)</f>
        <v>2024</v>
      </c>
      <c r="D1129" t="str">
        <f>IF(MONTH(Raw_Data!B1129)&gt;=4,YEAR(Raw_Data!B1129)&amp;"-"&amp;RIGHT(YEAR(Raw_Data!B1129)+1,2),YEAR(Raw_Data!B1129)-1&amp;"-"&amp;RIGHT(YEAR(Raw_Data!B1129),2))</f>
        <v>2024-25</v>
      </c>
      <c r="E1129" t="str">
        <f>"Q"&amp;ROUNDUP(MONTH(Raw_Data!B1129)/3,0)</f>
        <v>Q2</v>
      </c>
      <c r="F1129" t="str">
        <f>TEXT(Raw_Data!B1129,"mmm")</f>
        <v>Jun</v>
      </c>
      <c r="G1129" t="str">
        <f>TEXT(Raw_Data!B1129,"ddd")</f>
        <v>Mon</v>
      </c>
      <c r="H1129" t="str">
        <f>Raw_Data!D1129</f>
        <v>Invoiced</v>
      </c>
      <c r="I1129" t="str">
        <f>Raw_Data!F1129</f>
        <v>Tele-in</v>
      </c>
      <c r="J1129" t="str">
        <f>Raw_Data!G1129</f>
        <v>Dealer Webpage Tele-In</v>
      </c>
      <c r="K1129" t="str">
        <f>IFERROR(VLOOKUP(J1129,Source_Assumptions!$A:$C,2,0),"Unmapped")</f>
        <v>Digital - Owned</v>
      </c>
      <c r="L1129" t="str">
        <f>Raw_Data!H1129</f>
        <v>ELEVATE</v>
      </c>
      <c r="M1129" t="str">
        <f>IFERROR(VLOOKUP(L1129,Model_Assumptions!$A:$D,2,0),"Unmapped")</f>
        <v>Compact SUV</v>
      </c>
      <c r="N1129" t="str">
        <f>IFERROR(VLOOKUP(L1129,Model_Assumptions!$A:$D,3,0),"Unmapped")</f>
        <v>Petrol</v>
      </c>
      <c r="O1129">
        <f>IFERROR(VLOOKUP(L1129,Model_Assumptions!$A:$D,4,0),0)</f>
        <v>1300000</v>
      </c>
      <c r="P1129">
        <f>IFERROR(VLOOKUP(J1129,Source_Assumptions!$A:$C,3,0),0)</f>
        <v>300</v>
      </c>
    </row>
    <row r="1130" spans="1:16" x14ac:dyDescent="0.3">
      <c r="A1130">
        <f>Raw_Data!A1130</f>
        <v>1129</v>
      </c>
      <c r="B1130" s="2">
        <f>Raw_Data!B1130</f>
        <v>45453.655949074098</v>
      </c>
      <c r="C1130">
        <f>YEAR(Raw_Data!B1130)</f>
        <v>2024</v>
      </c>
      <c r="D1130" t="str">
        <f>IF(MONTH(Raw_Data!B1130)&gt;=4,YEAR(Raw_Data!B1130)&amp;"-"&amp;RIGHT(YEAR(Raw_Data!B1130)+1,2),YEAR(Raw_Data!B1130)-1&amp;"-"&amp;RIGHT(YEAR(Raw_Data!B1130),2))</f>
        <v>2024-25</v>
      </c>
      <c r="E1130" t="str">
        <f>"Q"&amp;ROUNDUP(MONTH(Raw_Data!B1130)/3,0)</f>
        <v>Q2</v>
      </c>
      <c r="F1130" t="str">
        <f>TEXT(Raw_Data!B1130,"mmm")</f>
        <v>Jun</v>
      </c>
      <c r="G1130" t="str">
        <f>TEXT(Raw_Data!B1130,"ddd")</f>
        <v>Mon</v>
      </c>
      <c r="H1130" t="str">
        <f>Raw_Data!D1130</f>
        <v>Invoiced</v>
      </c>
      <c r="I1130" t="str">
        <f>Raw_Data!F1130</f>
        <v>Web Lead</v>
      </c>
      <c r="J1130" t="str">
        <f>Raw_Data!G1130</f>
        <v>Web_Organic</v>
      </c>
      <c r="K1130" t="str">
        <f>IFERROR(VLOOKUP(J1130,Source_Assumptions!$A:$C,2,0),"Unmapped")</f>
        <v>Digital - Organic</v>
      </c>
      <c r="L1130" t="str">
        <f>Raw_Data!H1130</f>
        <v>ELEVATE</v>
      </c>
      <c r="M1130" t="str">
        <f>IFERROR(VLOOKUP(L1130,Model_Assumptions!$A:$D,2,0),"Unmapped")</f>
        <v>Compact SUV</v>
      </c>
      <c r="N1130" t="str">
        <f>IFERROR(VLOOKUP(L1130,Model_Assumptions!$A:$D,3,0),"Unmapped")</f>
        <v>Petrol</v>
      </c>
      <c r="O1130">
        <f>IFERROR(VLOOKUP(L1130,Model_Assumptions!$A:$D,4,0),0)</f>
        <v>1300000</v>
      </c>
      <c r="P1130">
        <f>IFERROR(VLOOKUP(J1130,Source_Assumptions!$A:$C,3,0),0)</f>
        <v>100</v>
      </c>
    </row>
    <row r="1131" spans="1:16" x14ac:dyDescent="0.3">
      <c r="A1131">
        <f>Raw_Data!A1131</f>
        <v>1130</v>
      </c>
      <c r="B1131" s="2">
        <f>Raw_Data!B1131</f>
        <v>45457.713622685202</v>
      </c>
      <c r="C1131">
        <f>YEAR(Raw_Data!B1131)</f>
        <v>2024</v>
      </c>
      <c r="D1131" t="str">
        <f>IF(MONTH(Raw_Data!B1131)&gt;=4,YEAR(Raw_Data!B1131)&amp;"-"&amp;RIGHT(YEAR(Raw_Data!B1131)+1,2),YEAR(Raw_Data!B1131)-1&amp;"-"&amp;RIGHT(YEAR(Raw_Data!B1131),2))</f>
        <v>2024-25</v>
      </c>
      <c r="E1131" t="str">
        <f>"Q"&amp;ROUNDUP(MONTH(Raw_Data!B1131)/3,0)</f>
        <v>Q2</v>
      </c>
      <c r="F1131" t="str">
        <f>TEXT(Raw_Data!B1131,"mmm")</f>
        <v>Jun</v>
      </c>
      <c r="G1131" t="str">
        <f>TEXT(Raw_Data!B1131,"ddd")</f>
        <v>Fri</v>
      </c>
      <c r="H1131" t="str">
        <f>Raw_Data!D1131</f>
        <v>Invoiced</v>
      </c>
      <c r="I1131" t="str">
        <f>Raw_Data!F1131</f>
        <v>Web Lead</v>
      </c>
      <c r="J1131" t="str">
        <f>Raw_Data!G1131</f>
        <v>Web_Organic</v>
      </c>
      <c r="K1131" t="str">
        <f>IFERROR(VLOOKUP(J1131,Source_Assumptions!$A:$C,2,0),"Unmapped")</f>
        <v>Digital - Organic</v>
      </c>
      <c r="L1131" t="str">
        <f>Raw_Data!H1131</f>
        <v>ELEVATE</v>
      </c>
      <c r="M1131" t="str">
        <f>IFERROR(VLOOKUP(L1131,Model_Assumptions!$A:$D,2,0),"Unmapped")</f>
        <v>Compact SUV</v>
      </c>
      <c r="N1131" t="str">
        <f>IFERROR(VLOOKUP(L1131,Model_Assumptions!$A:$D,3,0),"Unmapped")</f>
        <v>Petrol</v>
      </c>
      <c r="O1131">
        <f>IFERROR(VLOOKUP(L1131,Model_Assumptions!$A:$D,4,0),0)</f>
        <v>1300000</v>
      </c>
      <c r="P1131">
        <f>IFERROR(VLOOKUP(J1131,Source_Assumptions!$A:$C,3,0),0)</f>
        <v>100</v>
      </c>
    </row>
    <row r="1132" spans="1:16" x14ac:dyDescent="0.3">
      <c r="A1132">
        <f>Raw_Data!A1132</f>
        <v>1131</v>
      </c>
      <c r="B1132" s="2">
        <f>Raw_Data!B1132</f>
        <v>45457.714166666701</v>
      </c>
      <c r="C1132">
        <f>YEAR(Raw_Data!B1132)</f>
        <v>2024</v>
      </c>
      <c r="D1132" t="str">
        <f>IF(MONTH(Raw_Data!B1132)&gt;=4,YEAR(Raw_Data!B1132)&amp;"-"&amp;RIGHT(YEAR(Raw_Data!B1132)+1,2),YEAR(Raw_Data!B1132)-1&amp;"-"&amp;RIGHT(YEAR(Raw_Data!B1132),2))</f>
        <v>2024-25</v>
      </c>
      <c r="E1132" t="str">
        <f>"Q"&amp;ROUNDUP(MONTH(Raw_Data!B1132)/3,0)</f>
        <v>Q2</v>
      </c>
      <c r="F1132" t="str">
        <f>TEXT(Raw_Data!B1132,"mmm")</f>
        <v>Jun</v>
      </c>
      <c r="G1132" t="str">
        <f>TEXT(Raw_Data!B1132,"ddd")</f>
        <v>Fri</v>
      </c>
      <c r="H1132" t="str">
        <f>Raw_Data!D1132</f>
        <v>Invoiced</v>
      </c>
      <c r="I1132" t="str">
        <f>Raw_Data!F1132</f>
        <v>Tele-in</v>
      </c>
      <c r="J1132" t="str">
        <f>Raw_Data!G1132</f>
        <v>Dealer Webpage Tele-In</v>
      </c>
      <c r="K1132" t="str">
        <f>IFERROR(VLOOKUP(J1132,Source_Assumptions!$A:$C,2,0),"Unmapped")</f>
        <v>Digital - Owned</v>
      </c>
      <c r="L1132" t="str">
        <f>Raw_Data!H1132</f>
        <v>AMAZE Petrol</v>
      </c>
      <c r="M1132" t="str">
        <f>IFERROR(VLOOKUP(L1132,Model_Assumptions!$A:$D,2,0),"Unmapped")</f>
        <v>Sub-4m Sedan</v>
      </c>
      <c r="N1132" t="str">
        <f>IFERROR(VLOOKUP(L1132,Model_Assumptions!$A:$D,3,0),"Unmapped")</f>
        <v>Petrol</v>
      </c>
      <c r="O1132">
        <f>IFERROR(VLOOKUP(L1132,Model_Assumptions!$A:$D,4,0),0)</f>
        <v>850000</v>
      </c>
      <c r="P1132">
        <f>IFERROR(VLOOKUP(J1132,Source_Assumptions!$A:$C,3,0),0)</f>
        <v>300</v>
      </c>
    </row>
    <row r="1133" spans="1:16" x14ac:dyDescent="0.3">
      <c r="A1133">
        <f>Raw_Data!A1133</f>
        <v>1132</v>
      </c>
      <c r="B1133" s="2">
        <f>Raw_Data!B1133</f>
        <v>45457.7343287037</v>
      </c>
      <c r="C1133">
        <f>YEAR(Raw_Data!B1133)</f>
        <v>2024</v>
      </c>
      <c r="D1133" t="str">
        <f>IF(MONTH(Raw_Data!B1133)&gt;=4,YEAR(Raw_Data!B1133)&amp;"-"&amp;RIGHT(YEAR(Raw_Data!B1133)+1,2),YEAR(Raw_Data!B1133)-1&amp;"-"&amp;RIGHT(YEAR(Raw_Data!B1133),2))</f>
        <v>2024-25</v>
      </c>
      <c r="E1133" t="str">
        <f>"Q"&amp;ROUNDUP(MONTH(Raw_Data!B1133)/3,0)</f>
        <v>Q2</v>
      </c>
      <c r="F1133" t="str">
        <f>TEXT(Raw_Data!B1133,"mmm")</f>
        <v>Jun</v>
      </c>
      <c r="G1133" t="str">
        <f>TEXT(Raw_Data!B1133,"ddd")</f>
        <v>Fri</v>
      </c>
      <c r="H1133" t="str">
        <f>Raw_Data!D1133</f>
        <v>Invoiced</v>
      </c>
      <c r="I1133" t="str">
        <f>Raw_Data!F1133</f>
        <v>SMS/ Tele-Out</v>
      </c>
      <c r="J1133" t="str">
        <f>Raw_Data!G1133</f>
        <v>I-BAP Referral</v>
      </c>
      <c r="K1133" t="str">
        <f>IFERROR(VLOOKUP(J1133,Source_Assumptions!$A:$C,2,0),"Unmapped")</f>
        <v>Referral (Insurance/Banking Partner)</v>
      </c>
      <c r="L1133" t="str">
        <f>Raw_Data!H1133</f>
        <v>ELEVATE</v>
      </c>
      <c r="M1133" t="str">
        <f>IFERROR(VLOOKUP(L1133,Model_Assumptions!$A:$D,2,0),"Unmapped")</f>
        <v>Compact SUV</v>
      </c>
      <c r="N1133" t="str">
        <f>IFERROR(VLOOKUP(L1133,Model_Assumptions!$A:$D,3,0),"Unmapped")</f>
        <v>Petrol</v>
      </c>
      <c r="O1133">
        <f>IFERROR(VLOOKUP(L1133,Model_Assumptions!$A:$D,4,0),0)</f>
        <v>1300000</v>
      </c>
      <c r="P1133">
        <f>IFERROR(VLOOKUP(J1133,Source_Assumptions!$A:$C,3,0),0)</f>
        <v>150</v>
      </c>
    </row>
    <row r="1134" spans="1:16" x14ac:dyDescent="0.3">
      <c r="A1134">
        <f>Raw_Data!A1134</f>
        <v>1133</v>
      </c>
      <c r="B1134" s="2">
        <f>Raw_Data!B1134</f>
        <v>45457.736944444398</v>
      </c>
      <c r="C1134">
        <f>YEAR(Raw_Data!B1134)</f>
        <v>2024</v>
      </c>
      <c r="D1134" t="str">
        <f>IF(MONTH(Raw_Data!B1134)&gt;=4,YEAR(Raw_Data!B1134)&amp;"-"&amp;RIGHT(YEAR(Raw_Data!B1134)+1,2),YEAR(Raw_Data!B1134)-1&amp;"-"&amp;RIGHT(YEAR(Raw_Data!B1134),2))</f>
        <v>2024-25</v>
      </c>
      <c r="E1134" t="str">
        <f>"Q"&amp;ROUNDUP(MONTH(Raw_Data!B1134)/3,0)</f>
        <v>Q2</v>
      </c>
      <c r="F1134" t="str">
        <f>TEXT(Raw_Data!B1134,"mmm")</f>
        <v>Jun</v>
      </c>
      <c r="G1134" t="str">
        <f>TEXT(Raw_Data!B1134,"ddd")</f>
        <v>Fri</v>
      </c>
      <c r="H1134" t="str">
        <f>Raw_Data!D1134</f>
        <v>Invoiced</v>
      </c>
      <c r="I1134" t="str">
        <f>Raw_Data!F1134</f>
        <v>Walk-in Showroom</v>
      </c>
      <c r="J1134" t="str">
        <f>Raw_Data!G1134</f>
        <v>Referral (HC/HBLP)</v>
      </c>
      <c r="K1134" t="str">
        <f>IFERROR(VLOOKUP(J1134,Source_Assumptions!$A:$C,2,0),"Unmapped")</f>
        <v>Referral (Happy Customer)</v>
      </c>
      <c r="L1134" t="str">
        <f>Raw_Data!H1134</f>
        <v>ELEVATE</v>
      </c>
      <c r="M1134" t="str">
        <f>IFERROR(VLOOKUP(L1134,Model_Assumptions!$A:$D,2,0),"Unmapped")</f>
        <v>Compact SUV</v>
      </c>
      <c r="N1134" t="str">
        <f>IFERROR(VLOOKUP(L1134,Model_Assumptions!$A:$D,3,0),"Unmapped")</f>
        <v>Petrol</v>
      </c>
      <c r="O1134">
        <f>IFERROR(VLOOKUP(L1134,Model_Assumptions!$A:$D,4,0),0)</f>
        <v>1300000</v>
      </c>
      <c r="P1134">
        <f>IFERROR(VLOOKUP(J1134,Source_Assumptions!$A:$C,3,0),0)</f>
        <v>100</v>
      </c>
    </row>
    <row r="1135" spans="1:16" x14ac:dyDescent="0.3">
      <c r="A1135">
        <f>Raw_Data!A1135</f>
        <v>1134</v>
      </c>
      <c r="B1135" s="2">
        <f>Raw_Data!B1135</f>
        <v>45458.712627314802</v>
      </c>
      <c r="C1135">
        <f>YEAR(Raw_Data!B1135)</f>
        <v>2024</v>
      </c>
      <c r="D1135" t="str">
        <f>IF(MONTH(Raw_Data!B1135)&gt;=4,YEAR(Raw_Data!B1135)&amp;"-"&amp;RIGHT(YEAR(Raw_Data!B1135)+1,2),YEAR(Raw_Data!B1135)-1&amp;"-"&amp;RIGHT(YEAR(Raw_Data!B1135),2))</f>
        <v>2024-25</v>
      </c>
      <c r="E1135" t="str">
        <f>"Q"&amp;ROUNDUP(MONTH(Raw_Data!B1135)/3,0)</f>
        <v>Q2</v>
      </c>
      <c r="F1135" t="str">
        <f>TEXT(Raw_Data!B1135,"mmm")</f>
        <v>Jun</v>
      </c>
      <c r="G1135" t="str">
        <f>TEXT(Raw_Data!B1135,"ddd")</f>
        <v>Sat</v>
      </c>
      <c r="H1135" t="str">
        <f>Raw_Data!D1135</f>
        <v>Invoiced</v>
      </c>
      <c r="I1135" t="str">
        <f>Raw_Data!F1135</f>
        <v>Tele-in</v>
      </c>
      <c r="J1135" t="str">
        <f>Raw_Data!G1135</f>
        <v>Dealer Webpage Tele-In</v>
      </c>
      <c r="K1135" t="str">
        <f>IFERROR(VLOOKUP(J1135,Source_Assumptions!$A:$C,2,0),"Unmapped")</f>
        <v>Digital - Owned</v>
      </c>
      <c r="L1135" t="str">
        <f>Raw_Data!H1135</f>
        <v>ELEVATE</v>
      </c>
      <c r="M1135" t="str">
        <f>IFERROR(VLOOKUP(L1135,Model_Assumptions!$A:$D,2,0),"Unmapped")</f>
        <v>Compact SUV</v>
      </c>
      <c r="N1135" t="str">
        <f>IFERROR(VLOOKUP(L1135,Model_Assumptions!$A:$D,3,0),"Unmapped")</f>
        <v>Petrol</v>
      </c>
      <c r="O1135">
        <f>IFERROR(VLOOKUP(L1135,Model_Assumptions!$A:$D,4,0),0)</f>
        <v>1300000</v>
      </c>
      <c r="P1135">
        <f>IFERROR(VLOOKUP(J1135,Source_Assumptions!$A:$C,3,0),0)</f>
        <v>300</v>
      </c>
    </row>
    <row r="1136" spans="1:16" x14ac:dyDescent="0.3">
      <c r="A1136">
        <f>Raw_Data!A1136</f>
        <v>1135</v>
      </c>
      <c r="B1136" s="2">
        <f>Raw_Data!B1136</f>
        <v>45458.714340277802</v>
      </c>
      <c r="C1136">
        <f>YEAR(Raw_Data!B1136)</f>
        <v>2024</v>
      </c>
      <c r="D1136" t="str">
        <f>IF(MONTH(Raw_Data!B1136)&gt;=4,YEAR(Raw_Data!B1136)&amp;"-"&amp;RIGHT(YEAR(Raw_Data!B1136)+1,2),YEAR(Raw_Data!B1136)-1&amp;"-"&amp;RIGHT(YEAR(Raw_Data!B1136),2))</f>
        <v>2024-25</v>
      </c>
      <c r="E1136" t="str">
        <f>"Q"&amp;ROUNDUP(MONTH(Raw_Data!B1136)/3,0)</f>
        <v>Q2</v>
      </c>
      <c r="F1136" t="str">
        <f>TEXT(Raw_Data!B1136,"mmm")</f>
        <v>Jun</v>
      </c>
      <c r="G1136" t="str">
        <f>TEXT(Raw_Data!B1136,"ddd")</f>
        <v>Sat</v>
      </c>
      <c r="H1136" t="str">
        <f>Raw_Data!D1136</f>
        <v>Invoiced</v>
      </c>
      <c r="I1136" t="str">
        <f>Raw_Data!F1136</f>
        <v>Tele-in</v>
      </c>
      <c r="J1136" t="str">
        <f>Raw_Data!G1136</f>
        <v>I-BAP Referral</v>
      </c>
      <c r="K1136" t="str">
        <f>IFERROR(VLOOKUP(J1136,Source_Assumptions!$A:$C,2,0),"Unmapped")</f>
        <v>Referral (Insurance/Banking Partner)</v>
      </c>
      <c r="L1136" t="str">
        <f>Raw_Data!H1136</f>
        <v>ELEVATE</v>
      </c>
      <c r="M1136" t="str">
        <f>IFERROR(VLOOKUP(L1136,Model_Assumptions!$A:$D,2,0),"Unmapped")</f>
        <v>Compact SUV</v>
      </c>
      <c r="N1136" t="str">
        <f>IFERROR(VLOOKUP(L1136,Model_Assumptions!$A:$D,3,0),"Unmapped")</f>
        <v>Petrol</v>
      </c>
      <c r="O1136">
        <f>IFERROR(VLOOKUP(L1136,Model_Assumptions!$A:$D,4,0),0)</f>
        <v>1300000</v>
      </c>
      <c r="P1136">
        <f>IFERROR(VLOOKUP(J1136,Source_Assumptions!$A:$C,3,0),0)</f>
        <v>150</v>
      </c>
    </row>
    <row r="1137" spans="1:16" x14ac:dyDescent="0.3">
      <c r="A1137">
        <f>Raw_Data!A1137</f>
        <v>1136</v>
      </c>
      <c r="B1137" s="2">
        <f>Raw_Data!B1137</f>
        <v>45458.724513888897</v>
      </c>
      <c r="C1137">
        <f>YEAR(Raw_Data!B1137)</f>
        <v>2024</v>
      </c>
      <c r="D1137" t="str">
        <f>IF(MONTH(Raw_Data!B1137)&gt;=4,YEAR(Raw_Data!B1137)&amp;"-"&amp;RIGHT(YEAR(Raw_Data!B1137)+1,2),YEAR(Raw_Data!B1137)-1&amp;"-"&amp;RIGHT(YEAR(Raw_Data!B1137),2))</f>
        <v>2024-25</v>
      </c>
      <c r="E1137" t="str">
        <f>"Q"&amp;ROUNDUP(MONTH(Raw_Data!B1137)/3,0)</f>
        <v>Q2</v>
      </c>
      <c r="F1137" t="str">
        <f>TEXT(Raw_Data!B1137,"mmm")</f>
        <v>Jun</v>
      </c>
      <c r="G1137" t="str">
        <f>TEXT(Raw_Data!B1137,"ddd")</f>
        <v>Sat</v>
      </c>
      <c r="H1137" t="str">
        <f>Raw_Data!D1137</f>
        <v>Invoiced</v>
      </c>
      <c r="I1137" t="str">
        <f>Raw_Data!F1137</f>
        <v>Tele-in</v>
      </c>
      <c r="J1137" t="str">
        <f>Raw_Data!G1137</f>
        <v>Dealer Webpage Tele-In</v>
      </c>
      <c r="K1137" t="str">
        <f>IFERROR(VLOOKUP(J1137,Source_Assumptions!$A:$C,2,0),"Unmapped")</f>
        <v>Digital - Owned</v>
      </c>
      <c r="L1137" t="str">
        <f>Raw_Data!H1137</f>
        <v>AMAZE Petrol</v>
      </c>
      <c r="M1137" t="str">
        <f>IFERROR(VLOOKUP(L1137,Model_Assumptions!$A:$D,2,0),"Unmapped")</f>
        <v>Sub-4m Sedan</v>
      </c>
      <c r="N1137" t="str">
        <f>IFERROR(VLOOKUP(L1137,Model_Assumptions!$A:$D,3,0),"Unmapped")</f>
        <v>Petrol</v>
      </c>
      <c r="O1137">
        <f>IFERROR(VLOOKUP(L1137,Model_Assumptions!$A:$D,4,0),0)</f>
        <v>850000</v>
      </c>
      <c r="P1137">
        <f>IFERROR(VLOOKUP(J1137,Source_Assumptions!$A:$C,3,0),0)</f>
        <v>300</v>
      </c>
    </row>
    <row r="1138" spans="1:16" x14ac:dyDescent="0.3">
      <c r="A1138">
        <f>Raw_Data!A1138</f>
        <v>1137</v>
      </c>
      <c r="B1138" s="2">
        <f>Raw_Data!B1138</f>
        <v>45464.637638888897</v>
      </c>
      <c r="C1138">
        <f>YEAR(Raw_Data!B1138)</f>
        <v>2024</v>
      </c>
      <c r="D1138" t="str">
        <f>IF(MONTH(Raw_Data!B1138)&gt;=4,YEAR(Raw_Data!B1138)&amp;"-"&amp;RIGHT(YEAR(Raw_Data!B1138)+1,2),YEAR(Raw_Data!B1138)-1&amp;"-"&amp;RIGHT(YEAR(Raw_Data!B1138),2))</f>
        <v>2024-25</v>
      </c>
      <c r="E1138" t="str">
        <f>"Q"&amp;ROUNDUP(MONTH(Raw_Data!B1138)/3,0)</f>
        <v>Q2</v>
      </c>
      <c r="F1138" t="str">
        <f>TEXT(Raw_Data!B1138,"mmm")</f>
        <v>Jun</v>
      </c>
      <c r="G1138" t="str">
        <f>TEXT(Raw_Data!B1138,"ddd")</f>
        <v>Fri</v>
      </c>
      <c r="H1138" t="str">
        <f>Raw_Data!D1138</f>
        <v>Invoiced</v>
      </c>
      <c r="I1138" t="str">
        <f>Raw_Data!F1138</f>
        <v>Tele-in</v>
      </c>
      <c r="J1138" t="str">
        <f>Raw_Data!G1138</f>
        <v>I-BAP Referral</v>
      </c>
      <c r="K1138" t="str">
        <f>IFERROR(VLOOKUP(J1138,Source_Assumptions!$A:$C,2,0),"Unmapped")</f>
        <v>Referral (Insurance/Banking Partner)</v>
      </c>
      <c r="L1138" t="str">
        <f>Raw_Data!H1138</f>
        <v>ELEVATE</v>
      </c>
      <c r="M1138" t="str">
        <f>IFERROR(VLOOKUP(L1138,Model_Assumptions!$A:$D,2,0),"Unmapped")</f>
        <v>Compact SUV</v>
      </c>
      <c r="N1138" t="str">
        <f>IFERROR(VLOOKUP(L1138,Model_Assumptions!$A:$D,3,0),"Unmapped")</f>
        <v>Petrol</v>
      </c>
      <c r="O1138">
        <f>IFERROR(VLOOKUP(L1138,Model_Assumptions!$A:$D,4,0),0)</f>
        <v>1300000</v>
      </c>
      <c r="P1138">
        <f>IFERROR(VLOOKUP(J1138,Source_Assumptions!$A:$C,3,0),0)</f>
        <v>150</v>
      </c>
    </row>
    <row r="1139" spans="1:16" x14ac:dyDescent="0.3">
      <c r="A1139">
        <f>Raw_Data!A1139</f>
        <v>1138</v>
      </c>
      <c r="B1139" s="2">
        <f>Raw_Data!B1139</f>
        <v>45464.714965277803</v>
      </c>
      <c r="C1139">
        <f>YEAR(Raw_Data!B1139)</f>
        <v>2024</v>
      </c>
      <c r="D1139" t="str">
        <f>IF(MONTH(Raw_Data!B1139)&gt;=4,YEAR(Raw_Data!B1139)&amp;"-"&amp;RIGHT(YEAR(Raw_Data!B1139)+1,2),YEAR(Raw_Data!B1139)-1&amp;"-"&amp;RIGHT(YEAR(Raw_Data!B1139),2))</f>
        <v>2024-25</v>
      </c>
      <c r="E1139" t="str">
        <f>"Q"&amp;ROUNDUP(MONTH(Raw_Data!B1139)/3,0)</f>
        <v>Q2</v>
      </c>
      <c r="F1139" t="str">
        <f>TEXT(Raw_Data!B1139,"mmm")</f>
        <v>Jun</v>
      </c>
      <c r="G1139" t="str">
        <f>TEXT(Raw_Data!B1139,"ddd")</f>
        <v>Fri</v>
      </c>
      <c r="H1139" t="str">
        <f>Raw_Data!D1139</f>
        <v>Invoiced</v>
      </c>
      <c r="I1139" t="str">
        <f>Raw_Data!F1139</f>
        <v>Tele-in</v>
      </c>
      <c r="J1139" t="str">
        <f>Raw_Data!G1139</f>
        <v>I-BAP Referral</v>
      </c>
      <c r="K1139" t="str">
        <f>IFERROR(VLOOKUP(J1139,Source_Assumptions!$A:$C,2,0),"Unmapped")</f>
        <v>Referral (Insurance/Banking Partner)</v>
      </c>
      <c r="L1139" t="str">
        <f>Raw_Data!H1139</f>
        <v>ELEVATE</v>
      </c>
      <c r="M1139" t="str">
        <f>IFERROR(VLOOKUP(L1139,Model_Assumptions!$A:$D,2,0),"Unmapped")</f>
        <v>Compact SUV</v>
      </c>
      <c r="N1139" t="str">
        <f>IFERROR(VLOOKUP(L1139,Model_Assumptions!$A:$D,3,0),"Unmapped")</f>
        <v>Petrol</v>
      </c>
      <c r="O1139">
        <f>IFERROR(VLOOKUP(L1139,Model_Assumptions!$A:$D,4,0),0)</f>
        <v>1300000</v>
      </c>
      <c r="P1139">
        <f>IFERROR(VLOOKUP(J1139,Source_Assumptions!$A:$C,3,0),0)</f>
        <v>150</v>
      </c>
    </row>
    <row r="1140" spans="1:16" x14ac:dyDescent="0.3">
      <c r="A1140">
        <f>Raw_Data!A1140</f>
        <v>1139</v>
      </c>
      <c r="B1140" s="2">
        <f>Raw_Data!B1140</f>
        <v>45465.657662037003</v>
      </c>
      <c r="C1140">
        <f>YEAR(Raw_Data!B1140)</f>
        <v>2024</v>
      </c>
      <c r="D1140" t="str">
        <f>IF(MONTH(Raw_Data!B1140)&gt;=4,YEAR(Raw_Data!B1140)&amp;"-"&amp;RIGHT(YEAR(Raw_Data!B1140)+1,2),YEAR(Raw_Data!B1140)-1&amp;"-"&amp;RIGHT(YEAR(Raw_Data!B1140),2))</f>
        <v>2024-25</v>
      </c>
      <c r="E1140" t="str">
        <f>"Q"&amp;ROUNDUP(MONTH(Raw_Data!B1140)/3,0)</f>
        <v>Q2</v>
      </c>
      <c r="F1140" t="str">
        <f>TEXT(Raw_Data!B1140,"mmm")</f>
        <v>Jun</v>
      </c>
      <c r="G1140" t="str">
        <f>TEXT(Raw_Data!B1140,"ddd")</f>
        <v>Sat</v>
      </c>
      <c r="H1140" t="str">
        <f>Raw_Data!D1140</f>
        <v>Invoiced</v>
      </c>
      <c r="I1140" t="str">
        <f>Raw_Data!F1140</f>
        <v>SMS/ Tele-Out</v>
      </c>
      <c r="J1140" t="str">
        <f>Raw_Data!G1140</f>
        <v>Database Activity(Teleout/SMS)</v>
      </c>
      <c r="K1140" t="str">
        <f>IFERROR(VLOOKUP(J1140,Source_Assumptions!$A:$C,2,0),"Unmapped")</f>
        <v>Outbound/Database</v>
      </c>
      <c r="L1140" t="str">
        <f>Raw_Data!H1140</f>
        <v>AMAZE Petrol</v>
      </c>
      <c r="M1140" t="str">
        <f>IFERROR(VLOOKUP(L1140,Model_Assumptions!$A:$D,2,0),"Unmapped")</f>
        <v>Sub-4m Sedan</v>
      </c>
      <c r="N1140" t="str">
        <f>IFERROR(VLOOKUP(L1140,Model_Assumptions!$A:$D,3,0),"Unmapped")</f>
        <v>Petrol</v>
      </c>
      <c r="O1140">
        <f>IFERROR(VLOOKUP(L1140,Model_Assumptions!$A:$D,4,0),0)</f>
        <v>850000</v>
      </c>
      <c r="P1140">
        <f>IFERROR(VLOOKUP(J1140,Source_Assumptions!$A:$C,3,0),0)</f>
        <v>250</v>
      </c>
    </row>
    <row r="1141" spans="1:16" x14ac:dyDescent="0.3">
      <c r="A1141">
        <f>Raw_Data!A1141</f>
        <v>1140</v>
      </c>
      <c r="B1141" s="2">
        <f>Raw_Data!B1141</f>
        <v>45465.659270833297</v>
      </c>
      <c r="C1141">
        <f>YEAR(Raw_Data!B1141)</f>
        <v>2024</v>
      </c>
      <c r="D1141" t="str">
        <f>IF(MONTH(Raw_Data!B1141)&gt;=4,YEAR(Raw_Data!B1141)&amp;"-"&amp;RIGHT(YEAR(Raw_Data!B1141)+1,2),YEAR(Raw_Data!B1141)-1&amp;"-"&amp;RIGHT(YEAR(Raw_Data!B1141),2))</f>
        <v>2024-25</v>
      </c>
      <c r="E1141" t="str">
        <f>"Q"&amp;ROUNDUP(MONTH(Raw_Data!B1141)/3,0)</f>
        <v>Q2</v>
      </c>
      <c r="F1141" t="str">
        <f>TEXT(Raw_Data!B1141,"mmm")</f>
        <v>Jun</v>
      </c>
      <c r="G1141" t="str">
        <f>TEXT(Raw_Data!B1141,"ddd")</f>
        <v>Sat</v>
      </c>
      <c r="H1141" t="str">
        <f>Raw_Data!D1141</f>
        <v>Invoiced</v>
      </c>
      <c r="I1141" t="str">
        <f>Raw_Data!F1141</f>
        <v>SMS/ Tele-Out</v>
      </c>
      <c r="J1141" t="str">
        <f>Raw_Data!G1141</f>
        <v>I-BAP Referral</v>
      </c>
      <c r="K1141" t="str">
        <f>IFERROR(VLOOKUP(J1141,Source_Assumptions!$A:$C,2,0),"Unmapped")</f>
        <v>Referral (Insurance/Banking Partner)</v>
      </c>
      <c r="L1141" t="str">
        <f>Raw_Data!H1141</f>
        <v>AMAZE Petrol</v>
      </c>
      <c r="M1141" t="str">
        <f>IFERROR(VLOOKUP(L1141,Model_Assumptions!$A:$D,2,0),"Unmapped")</f>
        <v>Sub-4m Sedan</v>
      </c>
      <c r="N1141" t="str">
        <f>IFERROR(VLOOKUP(L1141,Model_Assumptions!$A:$D,3,0),"Unmapped")</f>
        <v>Petrol</v>
      </c>
      <c r="O1141">
        <f>IFERROR(VLOOKUP(L1141,Model_Assumptions!$A:$D,4,0),0)</f>
        <v>850000</v>
      </c>
      <c r="P1141">
        <f>IFERROR(VLOOKUP(J1141,Source_Assumptions!$A:$C,3,0),0)</f>
        <v>150</v>
      </c>
    </row>
    <row r="1142" spans="1:16" x14ac:dyDescent="0.3">
      <c r="A1142">
        <f>Raw_Data!A1142</f>
        <v>1141</v>
      </c>
      <c r="B1142" s="2">
        <f>Raw_Data!B1142</f>
        <v>45465.715416666702</v>
      </c>
      <c r="C1142">
        <f>YEAR(Raw_Data!B1142)</f>
        <v>2024</v>
      </c>
      <c r="D1142" t="str">
        <f>IF(MONTH(Raw_Data!B1142)&gt;=4,YEAR(Raw_Data!B1142)&amp;"-"&amp;RIGHT(YEAR(Raw_Data!B1142)+1,2),YEAR(Raw_Data!B1142)-1&amp;"-"&amp;RIGHT(YEAR(Raw_Data!B1142),2))</f>
        <v>2024-25</v>
      </c>
      <c r="E1142" t="str">
        <f>"Q"&amp;ROUNDUP(MONTH(Raw_Data!B1142)/3,0)</f>
        <v>Q2</v>
      </c>
      <c r="F1142" t="str">
        <f>TEXT(Raw_Data!B1142,"mmm")</f>
        <v>Jun</v>
      </c>
      <c r="G1142" t="str">
        <f>TEXT(Raw_Data!B1142,"ddd")</f>
        <v>Sat</v>
      </c>
      <c r="H1142" t="str">
        <f>Raw_Data!D1142</f>
        <v>Invoiced</v>
      </c>
      <c r="I1142" t="str">
        <f>Raw_Data!F1142</f>
        <v>Walk-in Showroom</v>
      </c>
      <c r="J1142" t="str">
        <f>Raw_Data!G1142</f>
        <v>Adver. (TVC/Print/Hoarding/FM)</v>
      </c>
      <c r="K1142" t="str">
        <f>IFERROR(VLOOKUP(J1142,Source_Assumptions!$A:$C,2,0),"Unmapped")</f>
        <v>Traditional Advertising</v>
      </c>
      <c r="L1142" t="str">
        <f>Raw_Data!H1142</f>
        <v>AMAZE Petrol</v>
      </c>
      <c r="M1142" t="str">
        <f>IFERROR(VLOOKUP(L1142,Model_Assumptions!$A:$D,2,0),"Unmapped")</f>
        <v>Sub-4m Sedan</v>
      </c>
      <c r="N1142" t="str">
        <f>IFERROR(VLOOKUP(L1142,Model_Assumptions!$A:$D,3,0),"Unmapped")</f>
        <v>Petrol</v>
      </c>
      <c r="O1142">
        <f>IFERROR(VLOOKUP(L1142,Model_Assumptions!$A:$D,4,0),0)</f>
        <v>850000</v>
      </c>
      <c r="P1142">
        <f>IFERROR(VLOOKUP(J1142,Source_Assumptions!$A:$C,3,0),0)</f>
        <v>1200</v>
      </c>
    </row>
    <row r="1143" spans="1:16" x14ac:dyDescent="0.3">
      <c r="A1143">
        <f>Raw_Data!A1143</f>
        <v>1142</v>
      </c>
      <c r="B1143" s="2">
        <f>Raw_Data!B1143</f>
        <v>45465.752407407403</v>
      </c>
      <c r="C1143">
        <f>YEAR(Raw_Data!B1143)</f>
        <v>2024</v>
      </c>
      <c r="D1143" t="str">
        <f>IF(MONTH(Raw_Data!B1143)&gt;=4,YEAR(Raw_Data!B1143)&amp;"-"&amp;RIGHT(YEAR(Raw_Data!B1143)+1,2),YEAR(Raw_Data!B1143)-1&amp;"-"&amp;RIGHT(YEAR(Raw_Data!B1143),2))</f>
        <v>2024-25</v>
      </c>
      <c r="E1143" t="str">
        <f>"Q"&amp;ROUNDUP(MONTH(Raw_Data!B1143)/3,0)</f>
        <v>Q2</v>
      </c>
      <c r="F1143" t="str">
        <f>TEXT(Raw_Data!B1143,"mmm")</f>
        <v>Jun</v>
      </c>
      <c r="G1143" t="str">
        <f>TEXT(Raw_Data!B1143,"ddd")</f>
        <v>Sat</v>
      </c>
      <c r="H1143" t="str">
        <f>Raw_Data!D1143</f>
        <v>Invoiced</v>
      </c>
      <c r="I1143" t="str">
        <f>Raw_Data!F1143</f>
        <v>Web Lead</v>
      </c>
      <c r="J1143" t="str">
        <f>Raw_Data!G1143</f>
        <v>Web_Organic</v>
      </c>
      <c r="K1143" t="str">
        <f>IFERROR(VLOOKUP(J1143,Source_Assumptions!$A:$C,2,0),"Unmapped")</f>
        <v>Digital - Organic</v>
      </c>
      <c r="L1143" t="str">
        <f>Raw_Data!H1143</f>
        <v>AMAZE Petrol</v>
      </c>
      <c r="M1143" t="str">
        <f>IFERROR(VLOOKUP(L1143,Model_Assumptions!$A:$D,2,0),"Unmapped")</f>
        <v>Sub-4m Sedan</v>
      </c>
      <c r="N1143" t="str">
        <f>IFERROR(VLOOKUP(L1143,Model_Assumptions!$A:$D,3,0),"Unmapped")</f>
        <v>Petrol</v>
      </c>
      <c r="O1143">
        <f>IFERROR(VLOOKUP(L1143,Model_Assumptions!$A:$D,4,0),0)</f>
        <v>850000</v>
      </c>
      <c r="P1143">
        <f>IFERROR(VLOOKUP(J1143,Source_Assumptions!$A:$C,3,0),0)</f>
        <v>100</v>
      </c>
    </row>
    <row r="1144" spans="1:16" x14ac:dyDescent="0.3">
      <c r="A1144">
        <f>Raw_Data!A1144</f>
        <v>1143</v>
      </c>
      <c r="B1144" s="2">
        <f>Raw_Data!B1144</f>
        <v>45465.759421296301</v>
      </c>
      <c r="C1144">
        <f>YEAR(Raw_Data!B1144)</f>
        <v>2024</v>
      </c>
      <c r="D1144" t="str">
        <f>IF(MONTH(Raw_Data!B1144)&gt;=4,YEAR(Raw_Data!B1144)&amp;"-"&amp;RIGHT(YEAR(Raw_Data!B1144)+1,2),YEAR(Raw_Data!B1144)-1&amp;"-"&amp;RIGHT(YEAR(Raw_Data!B1144),2))</f>
        <v>2024-25</v>
      </c>
      <c r="E1144" t="str">
        <f>"Q"&amp;ROUNDUP(MONTH(Raw_Data!B1144)/3,0)</f>
        <v>Q2</v>
      </c>
      <c r="F1144" t="str">
        <f>TEXT(Raw_Data!B1144,"mmm")</f>
        <v>Jun</v>
      </c>
      <c r="G1144" t="str">
        <f>TEXT(Raw_Data!B1144,"ddd")</f>
        <v>Sat</v>
      </c>
      <c r="H1144" t="str">
        <f>Raw_Data!D1144</f>
        <v>Invoiced</v>
      </c>
      <c r="I1144" t="str">
        <f>Raw_Data!F1144</f>
        <v>Tele-in</v>
      </c>
      <c r="J1144" t="str">
        <f>Raw_Data!G1144</f>
        <v>Referral-CAM</v>
      </c>
      <c r="K1144" t="str">
        <f>IFERROR(VLOOKUP(J1144,Source_Assumptions!$A:$C,2,0),"Unmapped")</f>
        <v>Referral</v>
      </c>
      <c r="L1144" t="str">
        <f>Raw_Data!H1144</f>
        <v>AMAZE Petrol</v>
      </c>
      <c r="M1144" t="str">
        <f>IFERROR(VLOOKUP(L1144,Model_Assumptions!$A:$D,2,0),"Unmapped")</f>
        <v>Sub-4m Sedan</v>
      </c>
      <c r="N1144" t="str">
        <f>IFERROR(VLOOKUP(L1144,Model_Assumptions!$A:$D,3,0),"Unmapped")</f>
        <v>Petrol</v>
      </c>
      <c r="O1144">
        <f>IFERROR(VLOOKUP(L1144,Model_Assumptions!$A:$D,4,0),0)</f>
        <v>850000</v>
      </c>
      <c r="P1144">
        <f>IFERROR(VLOOKUP(J1144,Source_Assumptions!$A:$C,3,0),0)</f>
        <v>150</v>
      </c>
    </row>
    <row r="1145" spans="1:16" x14ac:dyDescent="0.3">
      <c r="A1145">
        <f>Raw_Data!A1145</f>
        <v>1144</v>
      </c>
      <c r="B1145" s="2">
        <f>Raw_Data!B1145</f>
        <v>45469.7653125</v>
      </c>
      <c r="C1145">
        <f>YEAR(Raw_Data!B1145)</f>
        <v>2024</v>
      </c>
      <c r="D1145" t="str">
        <f>IF(MONTH(Raw_Data!B1145)&gt;=4,YEAR(Raw_Data!B1145)&amp;"-"&amp;RIGHT(YEAR(Raw_Data!B1145)+1,2),YEAR(Raw_Data!B1145)-1&amp;"-"&amp;RIGHT(YEAR(Raw_Data!B1145),2))</f>
        <v>2024-25</v>
      </c>
      <c r="E1145" t="str">
        <f>"Q"&amp;ROUNDUP(MONTH(Raw_Data!B1145)/3,0)</f>
        <v>Q2</v>
      </c>
      <c r="F1145" t="str">
        <f>TEXT(Raw_Data!B1145,"mmm")</f>
        <v>Jun</v>
      </c>
      <c r="G1145" t="str">
        <f>TEXT(Raw_Data!B1145,"ddd")</f>
        <v>Wed</v>
      </c>
      <c r="H1145" t="str">
        <f>Raw_Data!D1145</f>
        <v>Invoiced</v>
      </c>
      <c r="I1145" t="str">
        <f>Raw_Data!F1145</f>
        <v>Walk-in Showroom</v>
      </c>
      <c r="J1145" t="str">
        <f>Raw_Data!G1145</f>
        <v>I-BAP Referral</v>
      </c>
      <c r="K1145" t="str">
        <f>IFERROR(VLOOKUP(J1145,Source_Assumptions!$A:$C,2,0),"Unmapped")</f>
        <v>Referral (Insurance/Banking Partner)</v>
      </c>
      <c r="L1145" t="str">
        <f>Raw_Data!H1145</f>
        <v>ELEVATE</v>
      </c>
      <c r="M1145" t="str">
        <f>IFERROR(VLOOKUP(L1145,Model_Assumptions!$A:$D,2,0),"Unmapped")</f>
        <v>Compact SUV</v>
      </c>
      <c r="N1145" t="str">
        <f>IFERROR(VLOOKUP(L1145,Model_Assumptions!$A:$D,3,0),"Unmapped")</f>
        <v>Petrol</v>
      </c>
      <c r="O1145">
        <f>IFERROR(VLOOKUP(L1145,Model_Assumptions!$A:$D,4,0),0)</f>
        <v>1300000</v>
      </c>
      <c r="P1145">
        <f>IFERROR(VLOOKUP(J1145,Source_Assumptions!$A:$C,3,0),0)</f>
        <v>150</v>
      </c>
    </row>
    <row r="1146" spans="1:16" x14ac:dyDescent="0.3">
      <c r="A1146">
        <f>Raw_Data!A1146</f>
        <v>1145</v>
      </c>
      <c r="B1146" s="2">
        <f>Raw_Data!B1146</f>
        <v>45469.7687268519</v>
      </c>
      <c r="C1146">
        <f>YEAR(Raw_Data!B1146)</f>
        <v>2024</v>
      </c>
      <c r="D1146" t="str">
        <f>IF(MONTH(Raw_Data!B1146)&gt;=4,YEAR(Raw_Data!B1146)&amp;"-"&amp;RIGHT(YEAR(Raw_Data!B1146)+1,2),YEAR(Raw_Data!B1146)-1&amp;"-"&amp;RIGHT(YEAR(Raw_Data!B1146),2))</f>
        <v>2024-25</v>
      </c>
      <c r="E1146" t="str">
        <f>"Q"&amp;ROUNDUP(MONTH(Raw_Data!B1146)/3,0)</f>
        <v>Q2</v>
      </c>
      <c r="F1146" t="str">
        <f>TEXT(Raw_Data!B1146,"mmm")</f>
        <v>Jun</v>
      </c>
      <c r="G1146" t="str">
        <f>TEXT(Raw_Data!B1146,"ddd")</f>
        <v>Wed</v>
      </c>
      <c r="H1146" t="str">
        <f>Raw_Data!D1146</f>
        <v>Invoiced</v>
      </c>
      <c r="I1146" t="str">
        <f>Raw_Data!F1146</f>
        <v>SMS/ Tele-Out</v>
      </c>
      <c r="J1146" t="str">
        <f>Raw_Data!G1146</f>
        <v>Database Activity(Teleout/SMS)</v>
      </c>
      <c r="K1146" t="str">
        <f>IFERROR(VLOOKUP(J1146,Source_Assumptions!$A:$C,2,0),"Unmapped")</f>
        <v>Outbound/Database</v>
      </c>
      <c r="L1146" t="str">
        <f>Raw_Data!H1146</f>
        <v>ELEVATE</v>
      </c>
      <c r="M1146" t="str">
        <f>IFERROR(VLOOKUP(L1146,Model_Assumptions!$A:$D,2,0),"Unmapped")</f>
        <v>Compact SUV</v>
      </c>
      <c r="N1146" t="str">
        <f>IFERROR(VLOOKUP(L1146,Model_Assumptions!$A:$D,3,0),"Unmapped")</f>
        <v>Petrol</v>
      </c>
      <c r="O1146">
        <f>IFERROR(VLOOKUP(L1146,Model_Assumptions!$A:$D,4,0),0)</f>
        <v>1300000</v>
      </c>
      <c r="P1146">
        <f>IFERROR(VLOOKUP(J1146,Source_Assumptions!$A:$C,3,0),0)</f>
        <v>250</v>
      </c>
    </row>
    <row r="1147" spans="1:16" x14ac:dyDescent="0.3">
      <c r="A1147">
        <f>Raw_Data!A1147</f>
        <v>1146</v>
      </c>
      <c r="B1147" s="2">
        <f>Raw_Data!B1147</f>
        <v>45469.792500000003</v>
      </c>
      <c r="C1147">
        <f>YEAR(Raw_Data!B1147)</f>
        <v>2024</v>
      </c>
      <c r="D1147" t="str">
        <f>IF(MONTH(Raw_Data!B1147)&gt;=4,YEAR(Raw_Data!B1147)&amp;"-"&amp;RIGHT(YEAR(Raw_Data!B1147)+1,2),YEAR(Raw_Data!B1147)-1&amp;"-"&amp;RIGHT(YEAR(Raw_Data!B1147),2))</f>
        <v>2024-25</v>
      </c>
      <c r="E1147" t="str">
        <f>"Q"&amp;ROUNDUP(MONTH(Raw_Data!B1147)/3,0)</f>
        <v>Q2</v>
      </c>
      <c r="F1147" t="str">
        <f>TEXT(Raw_Data!B1147,"mmm")</f>
        <v>Jun</v>
      </c>
      <c r="G1147" t="str">
        <f>TEXT(Raw_Data!B1147,"ddd")</f>
        <v>Wed</v>
      </c>
      <c r="H1147" t="str">
        <f>Raw_Data!D1147</f>
        <v>Invoiced</v>
      </c>
      <c r="I1147" t="str">
        <f>Raw_Data!F1147</f>
        <v>Walk-in Showroom</v>
      </c>
      <c r="J1147" t="str">
        <f>Raw_Data!G1147</f>
        <v>I-BAP Referral</v>
      </c>
      <c r="K1147" t="str">
        <f>IFERROR(VLOOKUP(J1147,Source_Assumptions!$A:$C,2,0),"Unmapped")</f>
        <v>Referral (Insurance/Banking Partner)</v>
      </c>
      <c r="L1147" t="str">
        <f>Raw_Data!H1147</f>
        <v>AMAZE Petrol</v>
      </c>
      <c r="M1147" t="str">
        <f>IFERROR(VLOOKUP(L1147,Model_Assumptions!$A:$D,2,0),"Unmapped")</f>
        <v>Sub-4m Sedan</v>
      </c>
      <c r="N1147" t="str">
        <f>IFERROR(VLOOKUP(L1147,Model_Assumptions!$A:$D,3,0),"Unmapped")</f>
        <v>Petrol</v>
      </c>
      <c r="O1147">
        <f>IFERROR(VLOOKUP(L1147,Model_Assumptions!$A:$D,4,0),0)</f>
        <v>850000</v>
      </c>
      <c r="P1147">
        <f>IFERROR(VLOOKUP(J1147,Source_Assumptions!$A:$C,3,0),0)</f>
        <v>150</v>
      </c>
    </row>
    <row r="1148" spans="1:16" x14ac:dyDescent="0.3">
      <c r="A1148">
        <f>Raw_Data!A1148</f>
        <v>1147</v>
      </c>
      <c r="B1148" s="2">
        <f>Raw_Data!B1148</f>
        <v>45469.799687500003</v>
      </c>
      <c r="C1148">
        <f>YEAR(Raw_Data!B1148)</f>
        <v>2024</v>
      </c>
      <c r="D1148" t="str">
        <f>IF(MONTH(Raw_Data!B1148)&gt;=4,YEAR(Raw_Data!B1148)&amp;"-"&amp;RIGHT(YEAR(Raw_Data!B1148)+1,2),YEAR(Raw_Data!B1148)-1&amp;"-"&amp;RIGHT(YEAR(Raw_Data!B1148),2))</f>
        <v>2024-25</v>
      </c>
      <c r="E1148" t="str">
        <f>"Q"&amp;ROUNDUP(MONTH(Raw_Data!B1148)/3,0)</f>
        <v>Q2</v>
      </c>
      <c r="F1148" t="str">
        <f>TEXT(Raw_Data!B1148,"mmm")</f>
        <v>Jun</v>
      </c>
      <c r="G1148" t="str">
        <f>TEXT(Raw_Data!B1148,"ddd")</f>
        <v>Wed</v>
      </c>
      <c r="H1148" t="str">
        <f>Raw_Data!D1148</f>
        <v>Invoiced</v>
      </c>
      <c r="I1148" t="str">
        <f>Raw_Data!F1148</f>
        <v>Web Lead</v>
      </c>
      <c r="J1148" t="str">
        <f>Raw_Data!G1148</f>
        <v>Web_Organic</v>
      </c>
      <c r="K1148" t="str">
        <f>IFERROR(VLOOKUP(J1148,Source_Assumptions!$A:$C,2,0),"Unmapped")</f>
        <v>Digital - Organic</v>
      </c>
      <c r="L1148" t="str">
        <f>Raw_Data!H1148</f>
        <v>5TH GEN CITY PE</v>
      </c>
      <c r="M1148" t="str">
        <f>IFERROR(VLOOKUP(L1148,Model_Assumptions!$A:$D,2,0),"Unmapped")</f>
        <v>Mid-size Sedan</v>
      </c>
      <c r="N1148" t="str">
        <f>IFERROR(VLOOKUP(L1148,Model_Assumptions!$A:$D,3,0),"Unmapped")</f>
        <v>Petrol</v>
      </c>
      <c r="O1148">
        <f>IFERROR(VLOOKUP(L1148,Model_Assumptions!$A:$D,4,0),0)</f>
        <v>1250000</v>
      </c>
      <c r="P1148">
        <f>IFERROR(VLOOKUP(J1148,Source_Assumptions!$A:$C,3,0),0)</f>
        <v>100</v>
      </c>
    </row>
    <row r="1149" spans="1:16" x14ac:dyDescent="0.3">
      <c r="A1149">
        <f>Raw_Data!A1149</f>
        <v>1148</v>
      </c>
      <c r="B1149" s="2">
        <f>Raw_Data!B1149</f>
        <v>45469.805636574099</v>
      </c>
      <c r="C1149">
        <f>YEAR(Raw_Data!B1149)</f>
        <v>2024</v>
      </c>
      <c r="D1149" t="str">
        <f>IF(MONTH(Raw_Data!B1149)&gt;=4,YEAR(Raw_Data!B1149)&amp;"-"&amp;RIGHT(YEAR(Raw_Data!B1149)+1,2),YEAR(Raw_Data!B1149)-1&amp;"-"&amp;RIGHT(YEAR(Raw_Data!B1149),2))</f>
        <v>2024-25</v>
      </c>
      <c r="E1149" t="str">
        <f>"Q"&amp;ROUNDUP(MONTH(Raw_Data!B1149)/3,0)</f>
        <v>Q2</v>
      </c>
      <c r="F1149" t="str">
        <f>TEXT(Raw_Data!B1149,"mmm")</f>
        <v>Jun</v>
      </c>
      <c r="G1149" t="str">
        <f>TEXT(Raw_Data!B1149,"ddd")</f>
        <v>Wed</v>
      </c>
      <c r="H1149" t="str">
        <f>Raw_Data!D1149</f>
        <v>Invoiced</v>
      </c>
      <c r="I1149" t="str">
        <f>Raw_Data!F1149</f>
        <v>Tele-in</v>
      </c>
      <c r="J1149" t="str">
        <f>Raw_Data!G1149</f>
        <v>Referral-CAM</v>
      </c>
      <c r="K1149" t="str">
        <f>IFERROR(VLOOKUP(J1149,Source_Assumptions!$A:$C,2,0),"Unmapped")</f>
        <v>Referral</v>
      </c>
      <c r="L1149" t="str">
        <f>Raw_Data!H1149</f>
        <v>ELEVATE</v>
      </c>
      <c r="M1149" t="str">
        <f>IFERROR(VLOOKUP(L1149,Model_Assumptions!$A:$D,2,0),"Unmapped")</f>
        <v>Compact SUV</v>
      </c>
      <c r="N1149" t="str">
        <f>IFERROR(VLOOKUP(L1149,Model_Assumptions!$A:$D,3,0),"Unmapped")</f>
        <v>Petrol</v>
      </c>
      <c r="O1149">
        <f>IFERROR(VLOOKUP(L1149,Model_Assumptions!$A:$D,4,0),0)</f>
        <v>1300000</v>
      </c>
      <c r="P1149">
        <f>IFERROR(VLOOKUP(J1149,Source_Assumptions!$A:$C,3,0),0)</f>
        <v>150</v>
      </c>
    </row>
    <row r="1150" spans="1:16" x14ac:dyDescent="0.3">
      <c r="A1150">
        <f>Raw_Data!A1150</f>
        <v>1149</v>
      </c>
      <c r="B1150" s="2">
        <f>Raw_Data!B1150</f>
        <v>45472.8069791667</v>
      </c>
      <c r="C1150">
        <f>YEAR(Raw_Data!B1150)</f>
        <v>2024</v>
      </c>
      <c r="D1150" t="str">
        <f>IF(MONTH(Raw_Data!B1150)&gt;=4,YEAR(Raw_Data!B1150)&amp;"-"&amp;RIGHT(YEAR(Raw_Data!B1150)+1,2),YEAR(Raw_Data!B1150)-1&amp;"-"&amp;RIGHT(YEAR(Raw_Data!B1150),2))</f>
        <v>2024-25</v>
      </c>
      <c r="E1150" t="str">
        <f>"Q"&amp;ROUNDUP(MONTH(Raw_Data!B1150)/3,0)</f>
        <v>Q2</v>
      </c>
      <c r="F1150" t="str">
        <f>TEXT(Raw_Data!B1150,"mmm")</f>
        <v>Jun</v>
      </c>
      <c r="G1150" t="str">
        <f>TEXT(Raw_Data!B1150,"ddd")</f>
        <v>Sat</v>
      </c>
      <c r="H1150" t="str">
        <f>Raw_Data!D1150</f>
        <v>Invoiced</v>
      </c>
      <c r="I1150" t="str">
        <f>Raw_Data!F1150</f>
        <v>Tele-in</v>
      </c>
      <c r="J1150" t="str">
        <f>Raw_Data!G1150</f>
        <v>Referral-CAM</v>
      </c>
      <c r="K1150" t="str">
        <f>IFERROR(VLOOKUP(J1150,Source_Assumptions!$A:$C,2,0),"Unmapped")</f>
        <v>Referral</v>
      </c>
      <c r="L1150" t="str">
        <f>Raw_Data!H1150</f>
        <v>AMAZE Petrol</v>
      </c>
      <c r="M1150" t="str">
        <f>IFERROR(VLOOKUP(L1150,Model_Assumptions!$A:$D,2,0),"Unmapped")</f>
        <v>Sub-4m Sedan</v>
      </c>
      <c r="N1150" t="str">
        <f>IFERROR(VLOOKUP(L1150,Model_Assumptions!$A:$D,3,0),"Unmapped")</f>
        <v>Petrol</v>
      </c>
      <c r="O1150">
        <f>IFERROR(VLOOKUP(L1150,Model_Assumptions!$A:$D,4,0),0)</f>
        <v>850000</v>
      </c>
      <c r="P1150">
        <f>IFERROR(VLOOKUP(J1150,Source_Assumptions!$A:$C,3,0),0)</f>
        <v>150</v>
      </c>
    </row>
    <row r="1151" spans="1:16" x14ac:dyDescent="0.3">
      <c r="A1151">
        <f>Raw_Data!A1151</f>
        <v>1150</v>
      </c>
      <c r="B1151" s="2">
        <f>Raw_Data!B1151</f>
        <v>45472.807708333297</v>
      </c>
      <c r="C1151">
        <f>YEAR(Raw_Data!B1151)</f>
        <v>2024</v>
      </c>
      <c r="D1151" t="str">
        <f>IF(MONTH(Raw_Data!B1151)&gt;=4,YEAR(Raw_Data!B1151)&amp;"-"&amp;RIGHT(YEAR(Raw_Data!B1151)+1,2),YEAR(Raw_Data!B1151)-1&amp;"-"&amp;RIGHT(YEAR(Raw_Data!B1151),2))</f>
        <v>2024-25</v>
      </c>
      <c r="E1151" t="str">
        <f>"Q"&amp;ROUNDUP(MONTH(Raw_Data!B1151)/3,0)</f>
        <v>Q2</v>
      </c>
      <c r="F1151" t="str">
        <f>TEXT(Raw_Data!B1151,"mmm")</f>
        <v>Jun</v>
      </c>
      <c r="G1151" t="str">
        <f>TEXT(Raw_Data!B1151,"ddd")</f>
        <v>Sat</v>
      </c>
      <c r="H1151" t="str">
        <f>Raw_Data!D1151</f>
        <v>Invoiced</v>
      </c>
      <c r="I1151" t="str">
        <f>Raw_Data!F1151</f>
        <v>Walk-in Showroom</v>
      </c>
      <c r="J1151" t="str">
        <f>Raw_Data!G1151</f>
        <v>I-BAP Referral</v>
      </c>
      <c r="K1151" t="str">
        <f>IFERROR(VLOOKUP(J1151,Source_Assumptions!$A:$C,2,0),"Unmapped")</f>
        <v>Referral (Insurance/Banking Partner)</v>
      </c>
      <c r="L1151" t="str">
        <f>Raw_Data!H1151</f>
        <v>ELEVATE</v>
      </c>
      <c r="M1151" t="str">
        <f>IFERROR(VLOOKUP(L1151,Model_Assumptions!$A:$D,2,0),"Unmapped")</f>
        <v>Compact SUV</v>
      </c>
      <c r="N1151" t="str">
        <f>IFERROR(VLOOKUP(L1151,Model_Assumptions!$A:$D,3,0),"Unmapped")</f>
        <v>Petrol</v>
      </c>
      <c r="O1151">
        <f>IFERROR(VLOOKUP(L1151,Model_Assumptions!$A:$D,4,0),0)</f>
        <v>1300000</v>
      </c>
      <c r="P1151">
        <f>IFERROR(VLOOKUP(J1151,Source_Assumptions!$A:$C,3,0),0)</f>
        <v>150</v>
      </c>
    </row>
    <row r="1152" spans="1:16" x14ac:dyDescent="0.3">
      <c r="A1152">
        <f>Raw_Data!A1152</f>
        <v>1151</v>
      </c>
      <c r="B1152" s="2">
        <f>Raw_Data!B1152</f>
        <v>45472.833009259302</v>
      </c>
      <c r="C1152">
        <f>YEAR(Raw_Data!B1152)</f>
        <v>2024</v>
      </c>
      <c r="D1152" t="str">
        <f>IF(MONTH(Raw_Data!B1152)&gt;=4,YEAR(Raw_Data!B1152)&amp;"-"&amp;RIGHT(YEAR(Raw_Data!B1152)+1,2),YEAR(Raw_Data!B1152)-1&amp;"-"&amp;RIGHT(YEAR(Raw_Data!B1152),2))</f>
        <v>2024-25</v>
      </c>
      <c r="E1152" t="str">
        <f>"Q"&amp;ROUNDUP(MONTH(Raw_Data!B1152)/3,0)</f>
        <v>Q2</v>
      </c>
      <c r="F1152" t="str">
        <f>TEXT(Raw_Data!B1152,"mmm")</f>
        <v>Jun</v>
      </c>
      <c r="G1152" t="str">
        <f>TEXT(Raw_Data!B1152,"ddd")</f>
        <v>Sat</v>
      </c>
      <c r="H1152" t="str">
        <f>Raw_Data!D1152</f>
        <v>Invoiced</v>
      </c>
      <c r="I1152" t="str">
        <f>Raw_Data!F1152</f>
        <v>Tele-in</v>
      </c>
      <c r="J1152" t="str">
        <f>Raw_Data!G1152</f>
        <v>I-BAP Self</v>
      </c>
      <c r="K1152" t="str">
        <f>IFERROR(VLOOKUP(J1152,Source_Assumptions!$A:$C,2,0),"Unmapped")</f>
        <v>Referral (Insurance/Banking Partner)</v>
      </c>
      <c r="L1152" t="str">
        <f>Raw_Data!H1152</f>
        <v>5TH GEN CITY PE</v>
      </c>
      <c r="M1152" t="str">
        <f>IFERROR(VLOOKUP(L1152,Model_Assumptions!$A:$D,2,0),"Unmapped")</f>
        <v>Mid-size Sedan</v>
      </c>
      <c r="N1152" t="str">
        <f>IFERROR(VLOOKUP(L1152,Model_Assumptions!$A:$D,3,0),"Unmapped")</f>
        <v>Petrol</v>
      </c>
      <c r="O1152">
        <f>IFERROR(VLOOKUP(L1152,Model_Assumptions!$A:$D,4,0),0)</f>
        <v>1250000</v>
      </c>
      <c r="P1152">
        <f>IFERROR(VLOOKUP(J1152,Source_Assumptions!$A:$C,3,0),0)</f>
        <v>100</v>
      </c>
    </row>
    <row r="1153" spans="1:16" x14ac:dyDescent="0.3">
      <c r="A1153">
        <f>Raw_Data!A1153</f>
        <v>1152</v>
      </c>
      <c r="B1153" s="2">
        <f>Raw_Data!B1153</f>
        <v>45473.654756944401</v>
      </c>
      <c r="C1153">
        <f>YEAR(Raw_Data!B1153)</f>
        <v>2024</v>
      </c>
      <c r="D1153" t="str">
        <f>IF(MONTH(Raw_Data!B1153)&gt;=4,YEAR(Raw_Data!B1153)&amp;"-"&amp;RIGHT(YEAR(Raw_Data!B1153)+1,2),YEAR(Raw_Data!B1153)-1&amp;"-"&amp;RIGHT(YEAR(Raw_Data!B1153),2))</f>
        <v>2024-25</v>
      </c>
      <c r="E1153" t="str">
        <f>"Q"&amp;ROUNDUP(MONTH(Raw_Data!B1153)/3,0)</f>
        <v>Q2</v>
      </c>
      <c r="F1153" t="str">
        <f>TEXT(Raw_Data!B1153,"mmm")</f>
        <v>Jun</v>
      </c>
      <c r="G1153" t="str">
        <f>TEXT(Raw_Data!B1153,"ddd")</f>
        <v>Sun</v>
      </c>
      <c r="H1153" t="str">
        <f>Raw_Data!D1153</f>
        <v>Invoiced</v>
      </c>
      <c r="I1153" t="str">
        <f>Raw_Data!F1153</f>
        <v>Web Lead</v>
      </c>
      <c r="J1153" t="str">
        <f>Raw_Data!G1153</f>
        <v>Web_Organic</v>
      </c>
      <c r="K1153" t="str">
        <f>IFERROR(VLOOKUP(J1153,Source_Assumptions!$A:$C,2,0),"Unmapped")</f>
        <v>Digital - Organic</v>
      </c>
      <c r="L1153" t="str">
        <f>Raw_Data!H1153</f>
        <v>AMAZE Petrol</v>
      </c>
      <c r="M1153" t="str">
        <f>IFERROR(VLOOKUP(L1153,Model_Assumptions!$A:$D,2,0),"Unmapped")</f>
        <v>Sub-4m Sedan</v>
      </c>
      <c r="N1153" t="str">
        <f>IFERROR(VLOOKUP(L1153,Model_Assumptions!$A:$D,3,0),"Unmapped")</f>
        <v>Petrol</v>
      </c>
      <c r="O1153">
        <f>IFERROR(VLOOKUP(L1153,Model_Assumptions!$A:$D,4,0),0)</f>
        <v>850000</v>
      </c>
      <c r="P1153">
        <f>IFERROR(VLOOKUP(J1153,Source_Assumptions!$A:$C,3,0),0)</f>
        <v>100</v>
      </c>
    </row>
    <row r="1154" spans="1:16" x14ac:dyDescent="0.3">
      <c r="A1154">
        <f>Raw_Data!A1154</f>
        <v>1153</v>
      </c>
      <c r="B1154" s="2">
        <f>Raw_Data!B1154</f>
        <v>45473.719444444498</v>
      </c>
      <c r="C1154">
        <f>YEAR(Raw_Data!B1154)</f>
        <v>2024</v>
      </c>
      <c r="D1154" t="str">
        <f>IF(MONTH(Raw_Data!B1154)&gt;=4,YEAR(Raw_Data!B1154)&amp;"-"&amp;RIGHT(YEAR(Raw_Data!B1154)+1,2),YEAR(Raw_Data!B1154)-1&amp;"-"&amp;RIGHT(YEAR(Raw_Data!B1154),2))</f>
        <v>2024-25</v>
      </c>
      <c r="E1154" t="str">
        <f>"Q"&amp;ROUNDUP(MONTH(Raw_Data!B1154)/3,0)</f>
        <v>Q2</v>
      </c>
      <c r="F1154" t="str">
        <f>TEXT(Raw_Data!B1154,"mmm")</f>
        <v>Jun</v>
      </c>
      <c r="G1154" t="str">
        <f>TEXT(Raw_Data!B1154,"ddd")</f>
        <v>Sun</v>
      </c>
      <c r="H1154" t="str">
        <f>Raw_Data!D1154</f>
        <v>Invoiced</v>
      </c>
      <c r="I1154" t="str">
        <f>Raw_Data!F1154</f>
        <v>Tele-in</v>
      </c>
      <c r="J1154" t="str">
        <f>Raw_Data!G1154</f>
        <v>Referral-CAM</v>
      </c>
      <c r="K1154" t="str">
        <f>IFERROR(VLOOKUP(J1154,Source_Assumptions!$A:$C,2,0),"Unmapped")</f>
        <v>Referral</v>
      </c>
      <c r="L1154" t="str">
        <f>Raw_Data!H1154</f>
        <v>AMAZE Petrol</v>
      </c>
      <c r="M1154" t="str">
        <f>IFERROR(VLOOKUP(L1154,Model_Assumptions!$A:$D,2,0),"Unmapped")</f>
        <v>Sub-4m Sedan</v>
      </c>
      <c r="N1154" t="str">
        <f>IFERROR(VLOOKUP(L1154,Model_Assumptions!$A:$D,3,0),"Unmapped")</f>
        <v>Petrol</v>
      </c>
      <c r="O1154">
        <f>IFERROR(VLOOKUP(L1154,Model_Assumptions!$A:$D,4,0),0)</f>
        <v>850000</v>
      </c>
      <c r="P1154">
        <f>IFERROR(VLOOKUP(J1154,Source_Assumptions!$A:$C,3,0),0)</f>
        <v>150</v>
      </c>
    </row>
    <row r="1155" spans="1:16" x14ac:dyDescent="0.3">
      <c r="A1155">
        <f>Raw_Data!A1155</f>
        <v>1154</v>
      </c>
      <c r="B1155" s="2">
        <f>Raw_Data!B1155</f>
        <v>45473.734930555598</v>
      </c>
      <c r="C1155">
        <f>YEAR(Raw_Data!B1155)</f>
        <v>2024</v>
      </c>
      <c r="D1155" t="str">
        <f>IF(MONTH(Raw_Data!B1155)&gt;=4,YEAR(Raw_Data!B1155)&amp;"-"&amp;RIGHT(YEAR(Raw_Data!B1155)+1,2),YEAR(Raw_Data!B1155)-1&amp;"-"&amp;RIGHT(YEAR(Raw_Data!B1155),2))</f>
        <v>2024-25</v>
      </c>
      <c r="E1155" t="str">
        <f>"Q"&amp;ROUNDUP(MONTH(Raw_Data!B1155)/3,0)</f>
        <v>Q2</v>
      </c>
      <c r="F1155" t="str">
        <f>TEXT(Raw_Data!B1155,"mmm")</f>
        <v>Jun</v>
      </c>
      <c r="G1155" t="str">
        <f>TEXT(Raw_Data!B1155,"ddd")</f>
        <v>Sun</v>
      </c>
      <c r="H1155" t="str">
        <f>Raw_Data!D1155</f>
        <v>Invoiced</v>
      </c>
      <c r="I1155" t="str">
        <f>Raw_Data!F1155</f>
        <v>SMS/ Tele-Out</v>
      </c>
      <c r="J1155" t="str">
        <f>Raw_Data!G1155</f>
        <v>Database Activity(Teleout/SMS)</v>
      </c>
      <c r="K1155" t="str">
        <f>IFERROR(VLOOKUP(J1155,Source_Assumptions!$A:$C,2,0),"Unmapped")</f>
        <v>Outbound/Database</v>
      </c>
      <c r="L1155" t="str">
        <f>Raw_Data!H1155</f>
        <v>ELEVATE</v>
      </c>
      <c r="M1155" t="str">
        <f>IFERROR(VLOOKUP(L1155,Model_Assumptions!$A:$D,2,0),"Unmapped")</f>
        <v>Compact SUV</v>
      </c>
      <c r="N1155" t="str">
        <f>IFERROR(VLOOKUP(L1155,Model_Assumptions!$A:$D,3,0),"Unmapped")</f>
        <v>Petrol</v>
      </c>
      <c r="O1155">
        <f>IFERROR(VLOOKUP(L1155,Model_Assumptions!$A:$D,4,0),0)</f>
        <v>1300000</v>
      </c>
      <c r="P1155">
        <f>IFERROR(VLOOKUP(J1155,Source_Assumptions!$A:$C,3,0),0)</f>
        <v>250</v>
      </c>
    </row>
    <row r="1156" spans="1:16" x14ac:dyDescent="0.3">
      <c r="A1156">
        <f>Raw_Data!A1156</f>
        <v>1155</v>
      </c>
      <c r="B1156" s="2">
        <f>Raw_Data!B1156</f>
        <v>45473.743750000001</v>
      </c>
      <c r="C1156">
        <f>YEAR(Raw_Data!B1156)</f>
        <v>2024</v>
      </c>
      <c r="D1156" t="str">
        <f>IF(MONTH(Raw_Data!B1156)&gt;=4,YEAR(Raw_Data!B1156)&amp;"-"&amp;RIGHT(YEAR(Raw_Data!B1156)+1,2),YEAR(Raw_Data!B1156)-1&amp;"-"&amp;RIGHT(YEAR(Raw_Data!B1156),2))</f>
        <v>2024-25</v>
      </c>
      <c r="E1156" t="str">
        <f>"Q"&amp;ROUNDUP(MONTH(Raw_Data!B1156)/3,0)</f>
        <v>Q2</v>
      </c>
      <c r="F1156" t="str">
        <f>TEXT(Raw_Data!B1156,"mmm")</f>
        <v>Jun</v>
      </c>
      <c r="G1156" t="str">
        <f>TEXT(Raw_Data!B1156,"ddd")</f>
        <v>Sun</v>
      </c>
      <c r="H1156" t="str">
        <f>Raw_Data!D1156</f>
        <v>Invoiced</v>
      </c>
      <c r="I1156" t="str">
        <f>Raw_Data!F1156</f>
        <v>Tele-in</v>
      </c>
      <c r="J1156" t="str">
        <f>Raw_Data!G1156</f>
        <v>Dealer Webpage Tele-In</v>
      </c>
      <c r="K1156" t="str">
        <f>IFERROR(VLOOKUP(J1156,Source_Assumptions!$A:$C,2,0),"Unmapped")</f>
        <v>Digital - Owned</v>
      </c>
      <c r="L1156" t="str">
        <f>Raw_Data!H1156</f>
        <v>AMAZE Petrol</v>
      </c>
      <c r="M1156" t="str">
        <f>IFERROR(VLOOKUP(L1156,Model_Assumptions!$A:$D,2,0),"Unmapped")</f>
        <v>Sub-4m Sedan</v>
      </c>
      <c r="N1156" t="str">
        <f>IFERROR(VLOOKUP(L1156,Model_Assumptions!$A:$D,3,0),"Unmapped")</f>
        <v>Petrol</v>
      </c>
      <c r="O1156">
        <f>IFERROR(VLOOKUP(L1156,Model_Assumptions!$A:$D,4,0),0)</f>
        <v>850000</v>
      </c>
      <c r="P1156">
        <f>IFERROR(VLOOKUP(J1156,Source_Assumptions!$A:$C,3,0),0)</f>
        <v>300</v>
      </c>
    </row>
    <row r="1157" spans="1:16" x14ac:dyDescent="0.3">
      <c r="A1157">
        <f>Raw_Data!A1157</f>
        <v>1156</v>
      </c>
      <c r="B1157" s="2">
        <f>Raw_Data!B1157</f>
        <v>45473.768946759301</v>
      </c>
      <c r="C1157">
        <f>YEAR(Raw_Data!B1157)</f>
        <v>2024</v>
      </c>
      <c r="D1157" t="str">
        <f>IF(MONTH(Raw_Data!B1157)&gt;=4,YEAR(Raw_Data!B1157)&amp;"-"&amp;RIGHT(YEAR(Raw_Data!B1157)+1,2),YEAR(Raw_Data!B1157)-1&amp;"-"&amp;RIGHT(YEAR(Raw_Data!B1157),2))</f>
        <v>2024-25</v>
      </c>
      <c r="E1157" t="str">
        <f>"Q"&amp;ROUNDUP(MONTH(Raw_Data!B1157)/3,0)</f>
        <v>Q2</v>
      </c>
      <c r="F1157" t="str">
        <f>TEXT(Raw_Data!B1157,"mmm")</f>
        <v>Jun</v>
      </c>
      <c r="G1157" t="str">
        <f>TEXT(Raw_Data!B1157,"ddd")</f>
        <v>Sun</v>
      </c>
      <c r="H1157" t="str">
        <f>Raw_Data!D1157</f>
        <v>Invoiced</v>
      </c>
      <c r="I1157" t="str">
        <f>Raw_Data!F1157</f>
        <v>Tele-in</v>
      </c>
      <c r="J1157" t="str">
        <f>Raw_Data!G1157</f>
        <v>I-BAP Referral</v>
      </c>
      <c r="K1157" t="str">
        <f>IFERROR(VLOOKUP(J1157,Source_Assumptions!$A:$C,2,0),"Unmapped")</f>
        <v>Referral (Insurance/Banking Partner)</v>
      </c>
      <c r="L1157" t="str">
        <f>Raw_Data!H1157</f>
        <v>ELEVATE</v>
      </c>
      <c r="M1157" t="str">
        <f>IFERROR(VLOOKUP(L1157,Model_Assumptions!$A:$D,2,0),"Unmapped")</f>
        <v>Compact SUV</v>
      </c>
      <c r="N1157" t="str">
        <f>IFERROR(VLOOKUP(L1157,Model_Assumptions!$A:$D,3,0),"Unmapped")</f>
        <v>Petrol</v>
      </c>
      <c r="O1157">
        <f>IFERROR(VLOOKUP(L1157,Model_Assumptions!$A:$D,4,0),0)</f>
        <v>1300000</v>
      </c>
      <c r="P1157">
        <f>IFERROR(VLOOKUP(J1157,Source_Assumptions!$A:$C,3,0),0)</f>
        <v>150</v>
      </c>
    </row>
    <row r="1158" spans="1:16" x14ac:dyDescent="0.3">
      <c r="A1158">
        <f>Raw_Data!A1158</f>
        <v>1157</v>
      </c>
      <c r="B1158" s="2">
        <f>Raw_Data!B1158</f>
        <v>45473.769872685203</v>
      </c>
      <c r="C1158">
        <f>YEAR(Raw_Data!B1158)</f>
        <v>2024</v>
      </c>
      <c r="D1158" t="str">
        <f>IF(MONTH(Raw_Data!B1158)&gt;=4,YEAR(Raw_Data!B1158)&amp;"-"&amp;RIGHT(YEAR(Raw_Data!B1158)+1,2),YEAR(Raw_Data!B1158)-1&amp;"-"&amp;RIGHT(YEAR(Raw_Data!B1158),2))</f>
        <v>2024-25</v>
      </c>
      <c r="E1158" t="str">
        <f>"Q"&amp;ROUNDUP(MONTH(Raw_Data!B1158)/3,0)</f>
        <v>Q2</v>
      </c>
      <c r="F1158" t="str">
        <f>TEXT(Raw_Data!B1158,"mmm")</f>
        <v>Jun</v>
      </c>
      <c r="G1158" t="str">
        <f>TEXT(Raw_Data!B1158,"ddd")</f>
        <v>Sun</v>
      </c>
      <c r="H1158" t="str">
        <f>Raw_Data!D1158</f>
        <v>Invoiced</v>
      </c>
      <c r="I1158" t="str">
        <f>Raw_Data!F1158</f>
        <v>SMS/ Tele-Out</v>
      </c>
      <c r="J1158" t="str">
        <f>Raw_Data!G1158</f>
        <v>Database Activity(Teleout/SMS)</v>
      </c>
      <c r="K1158" t="str">
        <f>IFERROR(VLOOKUP(J1158,Source_Assumptions!$A:$C,2,0),"Unmapped")</f>
        <v>Outbound/Database</v>
      </c>
      <c r="L1158" t="str">
        <f>Raw_Data!H1158</f>
        <v>ELEVATE</v>
      </c>
      <c r="M1158" t="str">
        <f>IFERROR(VLOOKUP(L1158,Model_Assumptions!$A:$D,2,0),"Unmapped")</f>
        <v>Compact SUV</v>
      </c>
      <c r="N1158" t="str">
        <f>IFERROR(VLOOKUP(L1158,Model_Assumptions!$A:$D,3,0),"Unmapped")</f>
        <v>Petrol</v>
      </c>
      <c r="O1158">
        <f>IFERROR(VLOOKUP(L1158,Model_Assumptions!$A:$D,4,0),0)</f>
        <v>1300000</v>
      </c>
      <c r="P1158">
        <f>IFERROR(VLOOKUP(J1158,Source_Assumptions!$A:$C,3,0),0)</f>
        <v>250</v>
      </c>
    </row>
    <row r="1159" spans="1:16" x14ac:dyDescent="0.3">
      <c r="A1159">
        <f>Raw_Data!A1159</f>
        <v>1158</v>
      </c>
      <c r="B1159" s="2">
        <f>Raw_Data!B1159</f>
        <v>45485.7130092593</v>
      </c>
      <c r="C1159">
        <f>YEAR(Raw_Data!B1159)</f>
        <v>2024</v>
      </c>
      <c r="D1159" t="str">
        <f>IF(MONTH(Raw_Data!B1159)&gt;=4,YEAR(Raw_Data!B1159)&amp;"-"&amp;RIGHT(YEAR(Raw_Data!B1159)+1,2),YEAR(Raw_Data!B1159)-1&amp;"-"&amp;RIGHT(YEAR(Raw_Data!B1159),2))</f>
        <v>2024-25</v>
      </c>
      <c r="E1159" t="str">
        <f>"Q"&amp;ROUNDUP(MONTH(Raw_Data!B1159)/3,0)</f>
        <v>Q3</v>
      </c>
      <c r="F1159" t="str">
        <f>TEXT(Raw_Data!B1159,"mmm")</f>
        <v>Jul</v>
      </c>
      <c r="G1159" t="str">
        <f>TEXT(Raw_Data!B1159,"ddd")</f>
        <v>Fri</v>
      </c>
      <c r="H1159" t="str">
        <f>Raw_Data!D1159</f>
        <v>Invoiced</v>
      </c>
      <c r="I1159" t="str">
        <f>Raw_Data!F1159</f>
        <v>SMS/ Tele-Out</v>
      </c>
      <c r="J1159" t="str">
        <f>Raw_Data!G1159</f>
        <v>I-BAP Referral</v>
      </c>
      <c r="K1159" t="str">
        <f>IFERROR(VLOOKUP(J1159,Source_Assumptions!$A:$C,2,0),"Unmapped")</f>
        <v>Referral (Insurance/Banking Partner)</v>
      </c>
      <c r="L1159" t="str">
        <f>Raw_Data!H1159</f>
        <v>ELEVATE</v>
      </c>
      <c r="M1159" t="str">
        <f>IFERROR(VLOOKUP(L1159,Model_Assumptions!$A:$D,2,0),"Unmapped")</f>
        <v>Compact SUV</v>
      </c>
      <c r="N1159" t="str">
        <f>IFERROR(VLOOKUP(L1159,Model_Assumptions!$A:$D,3,0),"Unmapped")</f>
        <v>Petrol</v>
      </c>
      <c r="O1159">
        <f>IFERROR(VLOOKUP(L1159,Model_Assumptions!$A:$D,4,0),0)</f>
        <v>1300000</v>
      </c>
      <c r="P1159">
        <f>IFERROR(VLOOKUP(J1159,Source_Assumptions!$A:$C,3,0),0)</f>
        <v>150</v>
      </c>
    </row>
    <row r="1160" spans="1:16" x14ac:dyDescent="0.3">
      <c r="A1160">
        <f>Raw_Data!A1160</f>
        <v>1159</v>
      </c>
      <c r="B1160" s="2">
        <f>Raw_Data!B1160</f>
        <v>45486.516284722202</v>
      </c>
      <c r="C1160">
        <f>YEAR(Raw_Data!B1160)</f>
        <v>2024</v>
      </c>
      <c r="D1160" t="str">
        <f>IF(MONTH(Raw_Data!B1160)&gt;=4,YEAR(Raw_Data!B1160)&amp;"-"&amp;RIGHT(YEAR(Raw_Data!B1160)+1,2),YEAR(Raw_Data!B1160)-1&amp;"-"&amp;RIGHT(YEAR(Raw_Data!B1160),2))</f>
        <v>2024-25</v>
      </c>
      <c r="E1160" t="str">
        <f>"Q"&amp;ROUNDUP(MONTH(Raw_Data!B1160)/3,0)</f>
        <v>Q3</v>
      </c>
      <c r="F1160" t="str">
        <f>TEXT(Raw_Data!B1160,"mmm")</f>
        <v>Jul</v>
      </c>
      <c r="G1160" t="str">
        <f>TEXT(Raw_Data!B1160,"ddd")</f>
        <v>Sat</v>
      </c>
      <c r="H1160" t="str">
        <f>Raw_Data!D1160</f>
        <v>Invoiced</v>
      </c>
      <c r="I1160" t="str">
        <f>Raw_Data!F1160</f>
        <v>Walk-in Showroom</v>
      </c>
      <c r="J1160" t="str">
        <f>Raw_Data!G1160</f>
        <v>I-BAP Referral</v>
      </c>
      <c r="K1160" t="str">
        <f>IFERROR(VLOOKUP(J1160,Source_Assumptions!$A:$C,2,0),"Unmapped")</f>
        <v>Referral (Insurance/Banking Partner)</v>
      </c>
      <c r="L1160" t="str">
        <f>Raw_Data!H1160</f>
        <v>AMAZE Petrol</v>
      </c>
      <c r="M1160" t="str">
        <f>IFERROR(VLOOKUP(L1160,Model_Assumptions!$A:$D,2,0),"Unmapped")</f>
        <v>Sub-4m Sedan</v>
      </c>
      <c r="N1160" t="str">
        <f>IFERROR(VLOOKUP(L1160,Model_Assumptions!$A:$D,3,0),"Unmapped")</f>
        <v>Petrol</v>
      </c>
      <c r="O1160">
        <f>IFERROR(VLOOKUP(L1160,Model_Assumptions!$A:$D,4,0),0)</f>
        <v>850000</v>
      </c>
      <c r="P1160">
        <f>IFERROR(VLOOKUP(J1160,Source_Assumptions!$A:$C,3,0),0)</f>
        <v>150</v>
      </c>
    </row>
    <row r="1161" spans="1:16" x14ac:dyDescent="0.3">
      <c r="A1161">
        <f>Raw_Data!A1161</f>
        <v>1160</v>
      </c>
      <c r="B1161" s="2">
        <f>Raw_Data!B1161</f>
        <v>45488.629131944399</v>
      </c>
      <c r="C1161">
        <f>YEAR(Raw_Data!B1161)</f>
        <v>2024</v>
      </c>
      <c r="D1161" t="str">
        <f>IF(MONTH(Raw_Data!B1161)&gt;=4,YEAR(Raw_Data!B1161)&amp;"-"&amp;RIGHT(YEAR(Raw_Data!B1161)+1,2),YEAR(Raw_Data!B1161)-1&amp;"-"&amp;RIGHT(YEAR(Raw_Data!B1161),2))</f>
        <v>2024-25</v>
      </c>
      <c r="E1161" t="str">
        <f>"Q"&amp;ROUNDUP(MONTH(Raw_Data!B1161)/3,0)</f>
        <v>Q3</v>
      </c>
      <c r="F1161" t="str">
        <f>TEXT(Raw_Data!B1161,"mmm")</f>
        <v>Jul</v>
      </c>
      <c r="G1161" t="str">
        <f>TEXT(Raw_Data!B1161,"ddd")</f>
        <v>Mon</v>
      </c>
      <c r="H1161" t="str">
        <f>Raw_Data!D1161</f>
        <v>Invoiced</v>
      </c>
      <c r="I1161" t="str">
        <f>Raw_Data!F1161</f>
        <v>Web Lead</v>
      </c>
      <c r="J1161" t="str">
        <f>Raw_Data!G1161</f>
        <v>Web</v>
      </c>
      <c r="K1161" t="str">
        <f>IFERROR(VLOOKUP(J1161,Source_Assumptions!$A:$C,2,0),"Unmapped")</f>
        <v>Digital - Owned</v>
      </c>
      <c r="L1161" t="str">
        <f>Raw_Data!H1161</f>
        <v>ELEVATE</v>
      </c>
      <c r="M1161" t="str">
        <f>IFERROR(VLOOKUP(L1161,Model_Assumptions!$A:$D,2,0),"Unmapped")</f>
        <v>Compact SUV</v>
      </c>
      <c r="N1161" t="str">
        <f>IFERROR(VLOOKUP(L1161,Model_Assumptions!$A:$D,3,0),"Unmapped")</f>
        <v>Petrol</v>
      </c>
      <c r="O1161">
        <f>IFERROR(VLOOKUP(L1161,Model_Assumptions!$A:$D,4,0),0)</f>
        <v>1300000</v>
      </c>
      <c r="P1161">
        <f>IFERROR(VLOOKUP(J1161,Source_Assumptions!$A:$C,3,0),0)</f>
        <v>300</v>
      </c>
    </row>
    <row r="1162" spans="1:16" x14ac:dyDescent="0.3">
      <c r="A1162">
        <f>Raw_Data!A1162</f>
        <v>1161</v>
      </c>
      <c r="B1162" s="2">
        <f>Raw_Data!B1162</f>
        <v>45488.655995370398</v>
      </c>
      <c r="C1162">
        <f>YEAR(Raw_Data!B1162)</f>
        <v>2024</v>
      </c>
      <c r="D1162" t="str">
        <f>IF(MONTH(Raw_Data!B1162)&gt;=4,YEAR(Raw_Data!B1162)&amp;"-"&amp;RIGHT(YEAR(Raw_Data!B1162)+1,2),YEAR(Raw_Data!B1162)-1&amp;"-"&amp;RIGHT(YEAR(Raw_Data!B1162),2))</f>
        <v>2024-25</v>
      </c>
      <c r="E1162" t="str">
        <f>"Q"&amp;ROUNDUP(MONTH(Raw_Data!B1162)/3,0)</f>
        <v>Q3</v>
      </c>
      <c r="F1162" t="str">
        <f>TEXT(Raw_Data!B1162,"mmm")</f>
        <v>Jul</v>
      </c>
      <c r="G1162" t="str">
        <f>TEXT(Raw_Data!B1162,"ddd")</f>
        <v>Mon</v>
      </c>
      <c r="H1162" t="str">
        <f>Raw_Data!D1162</f>
        <v>Invoiced</v>
      </c>
      <c r="I1162" t="str">
        <f>Raw_Data!F1162</f>
        <v>Walk-in Showroom</v>
      </c>
      <c r="J1162" t="str">
        <f>Raw_Data!G1162</f>
        <v>Referral (HC/HBLP)</v>
      </c>
      <c r="K1162" t="str">
        <f>IFERROR(VLOOKUP(J1162,Source_Assumptions!$A:$C,2,0),"Unmapped")</f>
        <v>Referral (Happy Customer)</v>
      </c>
      <c r="L1162" t="str">
        <f>Raw_Data!H1162</f>
        <v>5TH GEN CITY PE</v>
      </c>
      <c r="M1162" t="str">
        <f>IFERROR(VLOOKUP(L1162,Model_Assumptions!$A:$D,2,0),"Unmapped")</f>
        <v>Mid-size Sedan</v>
      </c>
      <c r="N1162" t="str">
        <f>IFERROR(VLOOKUP(L1162,Model_Assumptions!$A:$D,3,0),"Unmapped")</f>
        <v>Petrol</v>
      </c>
      <c r="O1162">
        <f>IFERROR(VLOOKUP(L1162,Model_Assumptions!$A:$D,4,0),0)</f>
        <v>1250000</v>
      </c>
      <c r="P1162">
        <f>IFERROR(VLOOKUP(J1162,Source_Assumptions!$A:$C,3,0),0)</f>
        <v>100</v>
      </c>
    </row>
    <row r="1163" spans="1:16" x14ac:dyDescent="0.3">
      <c r="A1163">
        <f>Raw_Data!A1163</f>
        <v>1162</v>
      </c>
      <c r="B1163" s="2">
        <f>Raw_Data!B1163</f>
        <v>45488.700891203698</v>
      </c>
      <c r="C1163">
        <f>YEAR(Raw_Data!B1163)</f>
        <v>2024</v>
      </c>
      <c r="D1163" t="str">
        <f>IF(MONTH(Raw_Data!B1163)&gt;=4,YEAR(Raw_Data!B1163)&amp;"-"&amp;RIGHT(YEAR(Raw_Data!B1163)+1,2),YEAR(Raw_Data!B1163)-1&amp;"-"&amp;RIGHT(YEAR(Raw_Data!B1163),2))</f>
        <v>2024-25</v>
      </c>
      <c r="E1163" t="str">
        <f>"Q"&amp;ROUNDUP(MONTH(Raw_Data!B1163)/3,0)</f>
        <v>Q3</v>
      </c>
      <c r="F1163" t="str">
        <f>TEXT(Raw_Data!B1163,"mmm")</f>
        <v>Jul</v>
      </c>
      <c r="G1163" t="str">
        <f>TEXT(Raw_Data!B1163,"ddd")</f>
        <v>Mon</v>
      </c>
      <c r="H1163" t="str">
        <f>Raw_Data!D1163</f>
        <v>Invoiced</v>
      </c>
      <c r="I1163" t="str">
        <f>Raw_Data!F1163</f>
        <v>SMS/ Tele-Out</v>
      </c>
      <c r="J1163" t="str">
        <f>Raw_Data!G1163</f>
        <v>Database Activity(Teleout/SMS)</v>
      </c>
      <c r="K1163" t="str">
        <f>IFERROR(VLOOKUP(J1163,Source_Assumptions!$A:$C,2,0),"Unmapped")</f>
        <v>Outbound/Database</v>
      </c>
      <c r="L1163" t="str">
        <f>Raw_Data!H1163</f>
        <v>ELEVATE</v>
      </c>
      <c r="M1163" t="str">
        <f>IFERROR(VLOOKUP(L1163,Model_Assumptions!$A:$D,2,0),"Unmapped")</f>
        <v>Compact SUV</v>
      </c>
      <c r="N1163" t="str">
        <f>IFERROR(VLOOKUP(L1163,Model_Assumptions!$A:$D,3,0),"Unmapped")</f>
        <v>Petrol</v>
      </c>
      <c r="O1163">
        <f>IFERROR(VLOOKUP(L1163,Model_Assumptions!$A:$D,4,0),0)</f>
        <v>1300000</v>
      </c>
      <c r="P1163">
        <f>IFERROR(VLOOKUP(J1163,Source_Assumptions!$A:$C,3,0),0)</f>
        <v>250</v>
      </c>
    </row>
    <row r="1164" spans="1:16" x14ac:dyDescent="0.3">
      <c r="A1164">
        <f>Raw_Data!A1164</f>
        <v>1163</v>
      </c>
      <c r="B1164" s="2">
        <f>Raw_Data!B1164</f>
        <v>45488.768252314803</v>
      </c>
      <c r="C1164">
        <f>YEAR(Raw_Data!B1164)</f>
        <v>2024</v>
      </c>
      <c r="D1164" t="str">
        <f>IF(MONTH(Raw_Data!B1164)&gt;=4,YEAR(Raw_Data!B1164)&amp;"-"&amp;RIGHT(YEAR(Raw_Data!B1164)+1,2),YEAR(Raw_Data!B1164)-1&amp;"-"&amp;RIGHT(YEAR(Raw_Data!B1164),2))</f>
        <v>2024-25</v>
      </c>
      <c r="E1164" t="str">
        <f>"Q"&amp;ROUNDUP(MONTH(Raw_Data!B1164)/3,0)</f>
        <v>Q3</v>
      </c>
      <c r="F1164" t="str">
        <f>TEXT(Raw_Data!B1164,"mmm")</f>
        <v>Jul</v>
      </c>
      <c r="G1164" t="str">
        <f>TEXT(Raw_Data!B1164,"ddd")</f>
        <v>Mon</v>
      </c>
      <c r="H1164" t="str">
        <f>Raw_Data!D1164</f>
        <v>Invoiced</v>
      </c>
      <c r="I1164" t="str">
        <f>Raw_Data!F1164</f>
        <v>Tele-in</v>
      </c>
      <c r="J1164" t="str">
        <f>Raw_Data!G1164</f>
        <v>Referral-CAM</v>
      </c>
      <c r="K1164" t="str">
        <f>IFERROR(VLOOKUP(J1164,Source_Assumptions!$A:$C,2,0),"Unmapped")</f>
        <v>Referral</v>
      </c>
      <c r="L1164" t="str">
        <f>Raw_Data!H1164</f>
        <v>ELEVATE</v>
      </c>
      <c r="M1164" t="str">
        <f>IFERROR(VLOOKUP(L1164,Model_Assumptions!$A:$D,2,0),"Unmapped")</f>
        <v>Compact SUV</v>
      </c>
      <c r="N1164" t="str">
        <f>IFERROR(VLOOKUP(L1164,Model_Assumptions!$A:$D,3,0),"Unmapped")</f>
        <v>Petrol</v>
      </c>
      <c r="O1164">
        <f>IFERROR(VLOOKUP(L1164,Model_Assumptions!$A:$D,4,0),0)</f>
        <v>1300000</v>
      </c>
      <c r="P1164">
        <f>IFERROR(VLOOKUP(J1164,Source_Assumptions!$A:$C,3,0),0)</f>
        <v>150</v>
      </c>
    </row>
    <row r="1165" spans="1:16" x14ac:dyDescent="0.3">
      <c r="A1165">
        <f>Raw_Data!A1165</f>
        <v>1164</v>
      </c>
      <c r="B1165" s="2">
        <f>Raw_Data!B1165</f>
        <v>45492.676145833299</v>
      </c>
      <c r="C1165">
        <f>YEAR(Raw_Data!B1165)</f>
        <v>2024</v>
      </c>
      <c r="D1165" t="str">
        <f>IF(MONTH(Raw_Data!B1165)&gt;=4,YEAR(Raw_Data!B1165)&amp;"-"&amp;RIGHT(YEAR(Raw_Data!B1165)+1,2),YEAR(Raw_Data!B1165)-1&amp;"-"&amp;RIGHT(YEAR(Raw_Data!B1165),2))</f>
        <v>2024-25</v>
      </c>
      <c r="E1165" t="str">
        <f>"Q"&amp;ROUNDUP(MONTH(Raw_Data!B1165)/3,0)</f>
        <v>Q3</v>
      </c>
      <c r="F1165" t="str">
        <f>TEXT(Raw_Data!B1165,"mmm")</f>
        <v>Jul</v>
      </c>
      <c r="G1165" t="str">
        <f>TEXT(Raw_Data!B1165,"ddd")</f>
        <v>Fri</v>
      </c>
      <c r="H1165" t="str">
        <f>Raw_Data!D1165</f>
        <v>Invoiced</v>
      </c>
      <c r="I1165" t="str">
        <f>Raw_Data!F1165</f>
        <v>SMS/ Tele-Out</v>
      </c>
      <c r="J1165" t="str">
        <f>Raw_Data!G1165</f>
        <v>Database Activity(Teleout/SMS)</v>
      </c>
      <c r="K1165" t="str">
        <f>IFERROR(VLOOKUP(J1165,Source_Assumptions!$A:$C,2,0),"Unmapped")</f>
        <v>Outbound/Database</v>
      </c>
      <c r="L1165" t="str">
        <f>Raw_Data!H1165</f>
        <v>AMAZE Petrol</v>
      </c>
      <c r="M1165" t="str">
        <f>IFERROR(VLOOKUP(L1165,Model_Assumptions!$A:$D,2,0),"Unmapped")</f>
        <v>Sub-4m Sedan</v>
      </c>
      <c r="N1165" t="str">
        <f>IFERROR(VLOOKUP(L1165,Model_Assumptions!$A:$D,3,0),"Unmapped")</f>
        <v>Petrol</v>
      </c>
      <c r="O1165">
        <f>IFERROR(VLOOKUP(L1165,Model_Assumptions!$A:$D,4,0),0)</f>
        <v>850000</v>
      </c>
      <c r="P1165">
        <f>IFERROR(VLOOKUP(J1165,Source_Assumptions!$A:$C,3,0),0)</f>
        <v>250</v>
      </c>
    </row>
    <row r="1166" spans="1:16" x14ac:dyDescent="0.3">
      <c r="A1166">
        <f>Raw_Data!A1166</f>
        <v>1165</v>
      </c>
      <c r="B1166" s="2">
        <f>Raw_Data!B1166</f>
        <v>45498.585069444503</v>
      </c>
      <c r="C1166">
        <f>YEAR(Raw_Data!B1166)</f>
        <v>2024</v>
      </c>
      <c r="D1166" t="str">
        <f>IF(MONTH(Raw_Data!B1166)&gt;=4,YEAR(Raw_Data!B1166)&amp;"-"&amp;RIGHT(YEAR(Raw_Data!B1166)+1,2),YEAR(Raw_Data!B1166)-1&amp;"-"&amp;RIGHT(YEAR(Raw_Data!B1166),2))</f>
        <v>2024-25</v>
      </c>
      <c r="E1166" t="str">
        <f>"Q"&amp;ROUNDUP(MONTH(Raw_Data!B1166)/3,0)</f>
        <v>Q3</v>
      </c>
      <c r="F1166" t="str">
        <f>TEXT(Raw_Data!B1166,"mmm")</f>
        <v>Jul</v>
      </c>
      <c r="G1166" t="str">
        <f>TEXT(Raw_Data!B1166,"ddd")</f>
        <v>Thu</v>
      </c>
      <c r="H1166" t="str">
        <f>Raw_Data!D1166</f>
        <v>Invoiced</v>
      </c>
      <c r="I1166" t="str">
        <f>Raw_Data!F1166</f>
        <v>Tele-in</v>
      </c>
      <c r="J1166" t="str">
        <f>Raw_Data!G1166</f>
        <v>Referral-CAM</v>
      </c>
      <c r="K1166" t="str">
        <f>IFERROR(VLOOKUP(J1166,Source_Assumptions!$A:$C,2,0),"Unmapped")</f>
        <v>Referral</v>
      </c>
      <c r="L1166" t="str">
        <f>Raw_Data!H1166</f>
        <v>ELEVATE</v>
      </c>
      <c r="M1166" t="str">
        <f>IFERROR(VLOOKUP(L1166,Model_Assumptions!$A:$D,2,0),"Unmapped")</f>
        <v>Compact SUV</v>
      </c>
      <c r="N1166" t="str">
        <f>IFERROR(VLOOKUP(L1166,Model_Assumptions!$A:$D,3,0),"Unmapped")</f>
        <v>Petrol</v>
      </c>
      <c r="O1166">
        <f>IFERROR(VLOOKUP(L1166,Model_Assumptions!$A:$D,4,0),0)</f>
        <v>1300000</v>
      </c>
      <c r="P1166">
        <f>IFERROR(VLOOKUP(J1166,Source_Assumptions!$A:$C,3,0),0)</f>
        <v>150</v>
      </c>
    </row>
    <row r="1167" spans="1:16" x14ac:dyDescent="0.3">
      <c r="A1167">
        <f>Raw_Data!A1167</f>
        <v>1166</v>
      </c>
      <c r="B1167" s="2">
        <f>Raw_Data!B1167</f>
        <v>45498.644062500003</v>
      </c>
      <c r="C1167">
        <f>YEAR(Raw_Data!B1167)</f>
        <v>2024</v>
      </c>
      <c r="D1167" t="str">
        <f>IF(MONTH(Raw_Data!B1167)&gt;=4,YEAR(Raw_Data!B1167)&amp;"-"&amp;RIGHT(YEAR(Raw_Data!B1167)+1,2),YEAR(Raw_Data!B1167)-1&amp;"-"&amp;RIGHT(YEAR(Raw_Data!B1167),2))</f>
        <v>2024-25</v>
      </c>
      <c r="E1167" t="str">
        <f>"Q"&amp;ROUNDUP(MONTH(Raw_Data!B1167)/3,0)</f>
        <v>Q3</v>
      </c>
      <c r="F1167" t="str">
        <f>TEXT(Raw_Data!B1167,"mmm")</f>
        <v>Jul</v>
      </c>
      <c r="G1167" t="str">
        <f>TEXT(Raw_Data!B1167,"ddd")</f>
        <v>Thu</v>
      </c>
      <c r="H1167" t="str">
        <f>Raw_Data!D1167</f>
        <v>Invoiced</v>
      </c>
      <c r="I1167" t="str">
        <f>Raw_Data!F1167</f>
        <v>Tele-in</v>
      </c>
      <c r="J1167" t="str">
        <f>Raw_Data!G1167</f>
        <v>Referral-CAM</v>
      </c>
      <c r="K1167" t="str">
        <f>IFERROR(VLOOKUP(J1167,Source_Assumptions!$A:$C,2,0),"Unmapped")</f>
        <v>Referral</v>
      </c>
      <c r="L1167" t="str">
        <f>Raw_Data!H1167</f>
        <v>ELEVATE</v>
      </c>
      <c r="M1167" t="str">
        <f>IFERROR(VLOOKUP(L1167,Model_Assumptions!$A:$D,2,0),"Unmapped")</f>
        <v>Compact SUV</v>
      </c>
      <c r="N1167" t="str">
        <f>IFERROR(VLOOKUP(L1167,Model_Assumptions!$A:$D,3,0),"Unmapped")</f>
        <v>Petrol</v>
      </c>
      <c r="O1167">
        <f>IFERROR(VLOOKUP(L1167,Model_Assumptions!$A:$D,4,0),0)</f>
        <v>1300000</v>
      </c>
      <c r="P1167">
        <f>IFERROR(VLOOKUP(J1167,Source_Assumptions!$A:$C,3,0),0)</f>
        <v>150</v>
      </c>
    </row>
    <row r="1168" spans="1:16" x14ac:dyDescent="0.3">
      <c r="A1168">
        <f>Raw_Data!A1168</f>
        <v>1167</v>
      </c>
      <c r="B1168" s="2">
        <f>Raw_Data!B1168</f>
        <v>45498.713935185202</v>
      </c>
      <c r="C1168">
        <f>YEAR(Raw_Data!B1168)</f>
        <v>2024</v>
      </c>
      <c r="D1168" t="str">
        <f>IF(MONTH(Raw_Data!B1168)&gt;=4,YEAR(Raw_Data!B1168)&amp;"-"&amp;RIGHT(YEAR(Raw_Data!B1168)+1,2),YEAR(Raw_Data!B1168)-1&amp;"-"&amp;RIGHT(YEAR(Raw_Data!B1168),2))</f>
        <v>2024-25</v>
      </c>
      <c r="E1168" t="str">
        <f>"Q"&amp;ROUNDUP(MONTH(Raw_Data!B1168)/3,0)</f>
        <v>Q3</v>
      </c>
      <c r="F1168" t="str">
        <f>TEXT(Raw_Data!B1168,"mmm")</f>
        <v>Jul</v>
      </c>
      <c r="G1168" t="str">
        <f>TEXT(Raw_Data!B1168,"ddd")</f>
        <v>Thu</v>
      </c>
      <c r="H1168" t="str">
        <f>Raw_Data!D1168</f>
        <v>Invoiced</v>
      </c>
      <c r="I1168" t="str">
        <f>Raw_Data!F1168</f>
        <v>Tele-in</v>
      </c>
      <c r="J1168" t="str">
        <f>Raw_Data!G1168</f>
        <v>Dealer Webpage Tele-In</v>
      </c>
      <c r="K1168" t="str">
        <f>IFERROR(VLOOKUP(J1168,Source_Assumptions!$A:$C,2,0),"Unmapped")</f>
        <v>Digital - Owned</v>
      </c>
      <c r="L1168" t="str">
        <f>Raw_Data!H1168</f>
        <v>AMAZE Petrol</v>
      </c>
      <c r="M1168" t="str">
        <f>IFERROR(VLOOKUP(L1168,Model_Assumptions!$A:$D,2,0),"Unmapped")</f>
        <v>Sub-4m Sedan</v>
      </c>
      <c r="N1168" t="str">
        <f>IFERROR(VLOOKUP(L1168,Model_Assumptions!$A:$D,3,0),"Unmapped")</f>
        <v>Petrol</v>
      </c>
      <c r="O1168">
        <f>IFERROR(VLOOKUP(L1168,Model_Assumptions!$A:$D,4,0),0)</f>
        <v>850000</v>
      </c>
      <c r="P1168">
        <f>IFERROR(VLOOKUP(J1168,Source_Assumptions!$A:$C,3,0),0)</f>
        <v>300</v>
      </c>
    </row>
    <row r="1169" spans="1:16" x14ac:dyDescent="0.3">
      <c r="A1169">
        <f>Raw_Data!A1169</f>
        <v>1168</v>
      </c>
      <c r="B1169" s="2">
        <f>Raw_Data!B1169</f>
        <v>45499.656412037002</v>
      </c>
      <c r="C1169">
        <f>YEAR(Raw_Data!B1169)</f>
        <v>2024</v>
      </c>
      <c r="D1169" t="str">
        <f>IF(MONTH(Raw_Data!B1169)&gt;=4,YEAR(Raw_Data!B1169)&amp;"-"&amp;RIGHT(YEAR(Raw_Data!B1169)+1,2),YEAR(Raw_Data!B1169)-1&amp;"-"&amp;RIGHT(YEAR(Raw_Data!B1169),2))</f>
        <v>2024-25</v>
      </c>
      <c r="E1169" t="str">
        <f>"Q"&amp;ROUNDUP(MONTH(Raw_Data!B1169)/3,0)</f>
        <v>Q3</v>
      </c>
      <c r="F1169" t="str">
        <f>TEXT(Raw_Data!B1169,"mmm")</f>
        <v>Jul</v>
      </c>
      <c r="G1169" t="str">
        <f>TEXT(Raw_Data!B1169,"ddd")</f>
        <v>Fri</v>
      </c>
      <c r="H1169" t="str">
        <f>Raw_Data!D1169</f>
        <v>Invoiced</v>
      </c>
      <c r="I1169" t="str">
        <f>Raw_Data!F1169</f>
        <v>Tele-in</v>
      </c>
      <c r="J1169" t="str">
        <f>Raw_Data!G1169</f>
        <v>Referral-CAM</v>
      </c>
      <c r="K1169" t="str">
        <f>IFERROR(VLOOKUP(J1169,Source_Assumptions!$A:$C,2,0),"Unmapped")</f>
        <v>Referral</v>
      </c>
      <c r="L1169" t="str">
        <f>Raw_Data!H1169</f>
        <v>ELEVATE</v>
      </c>
      <c r="M1169" t="str">
        <f>IFERROR(VLOOKUP(L1169,Model_Assumptions!$A:$D,2,0),"Unmapped")</f>
        <v>Compact SUV</v>
      </c>
      <c r="N1169" t="str">
        <f>IFERROR(VLOOKUP(L1169,Model_Assumptions!$A:$D,3,0),"Unmapped")</f>
        <v>Petrol</v>
      </c>
      <c r="O1169">
        <f>IFERROR(VLOOKUP(L1169,Model_Assumptions!$A:$D,4,0),0)</f>
        <v>1300000</v>
      </c>
      <c r="P1169">
        <f>IFERROR(VLOOKUP(J1169,Source_Assumptions!$A:$C,3,0),0)</f>
        <v>150</v>
      </c>
    </row>
    <row r="1170" spans="1:16" x14ac:dyDescent="0.3">
      <c r="A1170">
        <f>Raw_Data!A1170</f>
        <v>1169</v>
      </c>
      <c r="B1170" s="2">
        <f>Raw_Data!B1170</f>
        <v>45499.657835648199</v>
      </c>
      <c r="C1170">
        <f>YEAR(Raw_Data!B1170)</f>
        <v>2024</v>
      </c>
      <c r="D1170" t="str">
        <f>IF(MONTH(Raw_Data!B1170)&gt;=4,YEAR(Raw_Data!B1170)&amp;"-"&amp;RIGHT(YEAR(Raw_Data!B1170)+1,2),YEAR(Raw_Data!B1170)-1&amp;"-"&amp;RIGHT(YEAR(Raw_Data!B1170),2))</f>
        <v>2024-25</v>
      </c>
      <c r="E1170" t="str">
        <f>"Q"&amp;ROUNDUP(MONTH(Raw_Data!B1170)/3,0)</f>
        <v>Q3</v>
      </c>
      <c r="F1170" t="str">
        <f>TEXT(Raw_Data!B1170,"mmm")</f>
        <v>Jul</v>
      </c>
      <c r="G1170" t="str">
        <f>TEXT(Raw_Data!B1170,"ddd")</f>
        <v>Fri</v>
      </c>
      <c r="H1170" t="str">
        <f>Raw_Data!D1170</f>
        <v>Invoiced</v>
      </c>
      <c r="I1170" t="str">
        <f>Raw_Data!F1170</f>
        <v>SMS/ Tele-Out</v>
      </c>
      <c r="J1170" t="str">
        <f>Raw_Data!G1170</f>
        <v>Referral-CAM</v>
      </c>
      <c r="K1170" t="str">
        <f>IFERROR(VLOOKUP(J1170,Source_Assumptions!$A:$C,2,0),"Unmapped")</f>
        <v>Referral</v>
      </c>
      <c r="L1170" t="str">
        <f>Raw_Data!H1170</f>
        <v>AMAZE Petrol</v>
      </c>
      <c r="M1170" t="str">
        <f>IFERROR(VLOOKUP(L1170,Model_Assumptions!$A:$D,2,0),"Unmapped")</f>
        <v>Sub-4m Sedan</v>
      </c>
      <c r="N1170" t="str">
        <f>IFERROR(VLOOKUP(L1170,Model_Assumptions!$A:$D,3,0),"Unmapped")</f>
        <v>Petrol</v>
      </c>
      <c r="O1170">
        <f>IFERROR(VLOOKUP(L1170,Model_Assumptions!$A:$D,4,0),0)</f>
        <v>850000</v>
      </c>
      <c r="P1170">
        <f>IFERROR(VLOOKUP(J1170,Source_Assumptions!$A:$C,3,0),0)</f>
        <v>150</v>
      </c>
    </row>
    <row r="1171" spans="1:16" x14ac:dyDescent="0.3">
      <c r="A1171">
        <f>Raw_Data!A1171</f>
        <v>1170</v>
      </c>
      <c r="B1171" s="2">
        <f>Raw_Data!B1171</f>
        <v>45499.664236111101</v>
      </c>
      <c r="C1171">
        <f>YEAR(Raw_Data!B1171)</f>
        <v>2024</v>
      </c>
      <c r="D1171" t="str">
        <f>IF(MONTH(Raw_Data!B1171)&gt;=4,YEAR(Raw_Data!B1171)&amp;"-"&amp;RIGHT(YEAR(Raw_Data!B1171)+1,2),YEAR(Raw_Data!B1171)-1&amp;"-"&amp;RIGHT(YEAR(Raw_Data!B1171),2))</f>
        <v>2024-25</v>
      </c>
      <c r="E1171" t="str">
        <f>"Q"&amp;ROUNDUP(MONTH(Raw_Data!B1171)/3,0)</f>
        <v>Q3</v>
      </c>
      <c r="F1171" t="str">
        <f>TEXT(Raw_Data!B1171,"mmm")</f>
        <v>Jul</v>
      </c>
      <c r="G1171" t="str">
        <f>TEXT(Raw_Data!B1171,"ddd")</f>
        <v>Fri</v>
      </c>
      <c r="H1171" t="str">
        <f>Raw_Data!D1171</f>
        <v>Invoiced</v>
      </c>
      <c r="I1171" t="str">
        <f>Raw_Data!F1171</f>
        <v>Tele-in</v>
      </c>
      <c r="J1171" t="str">
        <f>Raw_Data!G1171</f>
        <v>Dealer Webpage Tele-In</v>
      </c>
      <c r="K1171" t="str">
        <f>IFERROR(VLOOKUP(J1171,Source_Assumptions!$A:$C,2,0),"Unmapped")</f>
        <v>Digital - Owned</v>
      </c>
      <c r="L1171" t="str">
        <f>Raw_Data!H1171</f>
        <v>ELEVATE</v>
      </c>
      <c r="M1171" t="str">
        <f>IFERROR(VLOOKUP(L1171,Model_Assumptions!$A:$D,2,0),"Unmapped")</f>
        <v>Compact SUV</v>
      </c>
      <c r="N1171" t="str">
        <f>IFERROR(VLOOKUP(L1171,Model_Assumptions!$A:$D,3,0),"Unmapped")</f>
        <v>Petrol</v>
      </c>
      <c r="O1171">
        <f>IFERROR(VLOOKUP(L1171,Model_Assumptions!$A:$D,4,0),0)</f>
        <v>1300000</v>
      </c>
      <c r="P1171">
        <f>IFERROR(VLOOKUP(J1171,Source_Assumptions!$A:$C,3,0),0)</f>
        <v>300</v>
      </c>
    </row>
    <row r="1172" spans="1:16" x14ac:dyDescent="0.3">
      <c r="A1172">
        <f>Raw_Data!A1172</f>
        <v>1171</v>
      </c>
      <c r="B1172" s="2">
        <f>Raw_Data!B1172</f>
        <v>45499.744212963</v>
      </c>
      <c r="C1172">
        <f>YEAR(Raw_Data!B1172)</f>
        <v>2024</v>
      </c>
      <c r="D1172" t="str">
        <f>IF(MONTH(Raw_Data!B1172)&gt;=4,YEAR(Raw_Data!B1172)&amp;"-"&amp;RIGHT(YEAR(Raw_Data!B1172)+1,2),YEAR(Raw_Data!B1172)-1&amp;"-"&amp;RIGHT(YEAR(Raw_Data!B1172),2))</f>
        <v>2024-25</v>
      </c>
      <c r="E1172" t="str">
        <f>"Q"&amp;ROUNDUP(MONTH(Raw_Data!B1172)/3,0)</f>
        <v>Q3</v>
      </c>
      <c r="F1172" t="str">
        <f>TEXT(Raw_Data!B1172,"mmm")</f>
        <v>Jul</v>
      </c>
      <c r="G1172" t="str">
        <f>TEXT(Raw_Data!B1172,"ddd")</f>
        <v>Fri</v>
      </c>
      <c r="H1172" t="str">
        <f>Raw_Data!D1172</f>
        <v>Invoiced</v>
      </c>
      <c r="I1172" t="str">
        <f>Raw_Data!F1172</f>
        <v>Tele-in</v>
      </c>
      <c r="J1172" t="str">
        <f>Raw_Data!G1172</f>
        <v>Dealer Webpage Tele-In</v>
      </c>
      <c r="K1172" t="str">
        <f>IFERROR(VLOOKUP(J1172,Source_Assumptions!$A:$C,2,0),"Unmapped")</f>
        <v>Digital - Owned</v>
      </c>
      <c r="L1172" t="str">
        <f>Raw_Data!H1172</f>
        <v>AMAZE Petrol</v>
      </c>
      <c r="M1172" t="str">
        <f>IFERROR(VLOOKUP(L1172,Model_Assumptions!$A:$D,2,0),"Unmapped")</f>
        <v>Sub-4m Sedan</v>
      </c>
      <c r="N1172" t="str">
        <f>IFERROR(VLOOKUP(L1172,Model_Assumptions!$A:$D,3,0),"Unmapped")</f>
        <v>Petrol</v>
      </c>
      <c r="O1172">
        <f>IFERROR(VLOOKUP(L1172,Model_Assumptions!$A:$D,4,0),0)</f>
        <v>850000</v>
      </c>
      <c r="P1172">
        <f>IFERROR(VLOOKUP(J1172,Source_Assumptions!$A:$C,3,0),0)</f>
        <v>300</v>
      </c>
    </row>
    <row r="1173" spans="1:16" x14ac:dyDescent="0.3">
      <c r="A1173">
        <f>Raw_Data!A1173</f>
        <v>1172</v>
      </c>
      <c r="B1173" s="2">
        <f>Raw_Data!B1173</f>
        <v>45499.756307870397</v>
      </c>
      <c r="C1173">
        <f>YEAR(Raw_Data!B1173)</f>
        <v>2024</v>
      </c>
      <c r="D1173" t="str">
        <f>IF(MONTH(Raw_Data!B1173)&gt;=4,YEAR(Raw_Data!B1173)&amp;"-"&amp;RIGHT(YEAR(Raw_Data!B1173)+1,2),YEAR(Raw_Data!B1173)-1&amp;"-"&amp;RIGHT(YEAR(Raw_Data!B1173),2))</f>
        <v>2024-25</v>
      </c>
      <c r="E1173" t="str">
        <f>"Q"&amp;ROUNDUP(MONTH(Raw_Data!B1173)/3,0)</f>
        <v>Q3</v>
      </c>
      <c r="F1173" t="str">
        <f>TEXT(Raw_Data!B1173,"mmm")</f>
        <v>Jul</v>
      </c>
      <c r="G1173" t="str">
        <f>TEXT(Raw_Data!B1173,"ddd")</f>
        <v>Fri</v>
      </c>
      <c r="H1173" t="str">
        <f>Raw_Data!D1173</f>
        <v>Invoiced</v>
      </c>
      <c r="I1173" t="str">
        <f>Raw_Data!F1173</f>
        <v>Tele-in</v>
      </c>
      <c r="J1173" t="str">
        <f>Raw_Data!G1173</f>
        <v>Adver. (TVC/Print/Hoarding/FM)</v>
      </c>
      <c r="K1173" t="str">
        <f>IFERROR(VLOOKUP(J1173,Source_Assumptions!$A:$C,2,0),"Unmapped")</f>
        <v>Traditional Advertising</v>
      </c>
      <c r="L1173" t="str">
        <f>Raw_Data!H1173</f>
        <v>ELEVATE</v>
      </c>
      <c r="M1173" t="str">
        <f>IFERROR(VLOOKUP(L1173,Model_Assumptions!$A:$D,2,0),"Unmapped")</f>
        <v>Compact SUV</v>
      </c>
      <c r="N1173" t="str">
        <f>IFERROR(VLOOKUP(L1173,Model_Assumptions!$A:$D,3,0),"Unmapped")</f>
        <v>Petrol</v>
      </c>
      <c r="O1173">
        <f>IFERROR(VLOOKUP(L1173,Model_Assumptions!$A:$D,4,0),0)</f>
        <v>1300000</v>
      </c>
      <c r="P1173">
        <f>IFERROR(VLOOKUP(J1173,Source_Assumptions!$A:$C,3,0),0)</f>
        <v>1200</v>
      </c>
    </row>
    <row r="1174" spans="1:16" x14ac:dyDescent="0.3">
      <c r="A1174">
        <f>Raw_Data!A1174</f>
        <v>1173</v>
      </c>
      <c r="B1174" s="2">
        <f>Raw_Data!B1174</f>
        <v>45499.809328703697</v>
      </c>
      <c r="C1174">
        <f>YEAR(Raw_Data!B1174)</f>
        <v>2024</v>
      </c>
      <c r="D1174" t="str">
        <f>IF(MONTH(Raw_Data!B1174)&gt;=4,YEAR(Raw_Data!B1174)&amp;"-"&amp;RIGHT(YEAR(Raw_Data!B1174)+1,2),YEAR(Raw_Data!B1174)-1&amp;"-"&amp;RIGHT(YEAR(Raw_Data!B1174),2))</f>
        <v>2024-25</v>
      </c>
      <c r="E1174" t="str">
        <f>"Q"&amp;ROUNDUP(MONTH(Raw_Data!B1174)/3,0)</f>
        <v>Q3</v>
      </c>
      <c r="F1174" t="str">
        <f>TEXT(Raw_Data!B1174,"mmm")</f>
        <v>Jul</v>
      </c>
      <c r="G1174" t="str">
        <f>TEXT(Raw_Data!B1174,"ddd")</f>
        <v>Fri</v>
      </c>
      <c r="H1174" t="str">
        <f>Raw_Data!D1174</f>
        <v>Invoiced</v>
      </c>
      <c r="I1174" t="str">
        <f>Raw_Data!F1174</f>
        <v>Tele-in</v>
      </c>
      <c r="J1174" t="str">
        <f>Raw_Data!G1174</f>
        <v>Dealer Webpage Tele-In</v>
      </c>
      <c r="K1174" t="str">
        <f>IFERROR(VLOOKUP(J1174,Source_Assumptions!$A:$C,2,0),"Unmapped")</f>
        <v>Digital - Owned</v>
      </c>
      <c r="L1174" t="str">
        <f>Raw_Data!H1174</f>
        <v>ELEVATE</v>
      </c>
      <c r="M1174" t="str">
        <f>IFERROR(VLOOKUP(L1174,Model_Assumptions!$A:$D,2,0),"Unmapped")</f>
        <v>Compact SUV</v>
      </c>
      <c r="N1174" t="str">
        <f>IFERROR(VLOOKUP(L1174,Model_Assumptions!$A:$D,3,0),"Unmapped")</f>
        <v>Petrol</v>
      </c>
      <c r="O1174">
        <f>IFERROR(VLOOKUP(L1174,Model_Assumptions!$A:$D,4,0),0)</f>
        <v>1300000</v>
      </c>
      <c r="P1174">
        <f>IFERROR(VLOOKUP(J1174,Source_Assumptions!$A:$C,3,0),0)</f>
        <v>300</v>
      </c>
    </row>
    <row r="1175" spans="1:16" x14ac:dyDescent="0.3">
      <c r="A1175">
        <f>Raw_Data!A1175</f>
        <v>1174</v>
      </c>
      <c r="B1175" s="2">
        <f>Raw_Data!B1175</f>
        <v>45499.813703703701</v>
      </c>
      <c r="C1175">
        <f>YEAR(Raw_Data!B1175)</f>
        <v>2024</v>
      </c>
      <c r="D1175" t="str">
        <f>IF(MONTH(Raw_Data!B1175)&gt;=4,YEAR(Raw_Data!B1175)&amp;"-"&amp;RIGHT(YEAR(Raw_Data!B1175)+1,2),YEAR(Raw_Data!B1175)-1&amp;"-"&amp;RIGHT(YEAR(Raw_Data!B1175),2))</f>
        <v>2024-25</v>
      </c>
      <c r="E1175" t="str">
        <f>"Q"&amp;ROUNDUP(MONTH(Raw_Data!B1175)/3,0)</f>
        <v>Q3</v>
      </c>
      <c r="F1175" t="str">
        <f>TEXT(Raw_Data!B1175,"mmm")</f>
        <v>Jul</v>
      </c>
      <c r="G1175" t="str">
        <f>TEXT(Raw_Data!B1175,"ddd")</f>
        <v>Fri</v>
      </c>
      <c r="H1175" t="str">
        <f>Raw_Data!D1175</f>
        <v>Invoiced</v>
      </c>
      <c r="I1175" t="str">
        <f>Raw_Data!F1175</f>
        <v>Walk-in Showroom</v>
      </c>
      <c r="J1175" t="str">
        <f>Raw_Data!G1175</f>
        <v>Service Visit</v>
      </c>
      <c r="K1175" t="str">
        <f>IFERROR(VLOOKUP(J1175,Source_Assumptions!$A:$C,2,0),"Unmapped")</f>
        <v>Existing Customer</v>
      </c>
      <c r="L1175" t="str">
        <f>Raw_Data!H1175</f>
        <v>5TH GEN CITY PE</v>
      </c>
      <c r="M1175" t="str">
        <f>IFERROR(VLOOKUP(L1175,Model_Assumptions!$A:$D,2,0),"Unmapped")</f>
        <v>Mid-size Sedan</v>
      </c>
      <c r="N1175" t="str">
        <f>IFERROR(VLOOKUP(L1175,Model_Assumptions!$A:$D,3,0),"Unmapped")</f>
        <v>Petrol</v>
      </c>
      <c r="O1175">
        <f>IFERROR(VLOOKUP(L1175,Model_Assumptions!$A:$D,4,0),0)</f>
        <v>1250000</v>
      </c>
      <c r="P1175">
        <f>IFERROR(VLOOKUP(J1175,Source_Assumptions!$A:$C,3,0),0)</f>
        <v>50</v>
      </c>
    </row>
    <row r="1176" spans="1:16" x14ac:dyDescent="0.3">
      <c r="A1176">
        <f>Raw_Data!A1176</f>
        <v>1175</v>
      </c>
      <c r="B1176" s="2">
        <f>Raw_Data!B1176</f>
        <v>45499.816898148201</v>
      </c>
      <c r="C1176">
        <f>YEAR(Raw_Data!B1176)</f>
        <v>2024</v>
      </c>
      <c r="D1176" t="str">
        <f>IF(MONTH(Raw_Data!B1176)&gt;=4,YEAR(Raw_Data!B1176)&amp;"-"&amp;RIGHT(YEAR(Raw_Data!B1176)+1,2),YEAR(Raw_Data!B1176)-1&amp;"-"&amp;RIGHT(YEAR(Raw_Data!B1176),2))</f>
        <v>2024-25</v>
      </c>
      <c r="E1176" t="str">
        <f>"Q"&amp;ROUNDUP(MONTH(Raw_Data!B1176)/3,0)</f>
        <v>Q3</v>
      </c>
      <c r="F1176" t="str">
        <f>TEXT(Raw_Data!B1176,"mmm")</f>
        <v>Jul</v>
      </c>
      <c r="G1176" t="str">
        <f>TEXT(Raw_Data!B1176,"ddd")</f>
        <v>Fri</v>
      </c>
      <c r="H1176" t="str">
        <f>Raw_Data!D1176</f>
        <v>Invoiced</v>
      </c>
      <c r="I1176" t="str">
        <f>Raw_Data!F1176</f>
        <v>Walk-in Showroom</v>
      </c>
      <c r="J1176" t="str">
        <f>Raw_Data!G1176</f>
        <v>I-BAP Referral</v>
      </c>
      <c r="K1176" t="str">
        <f>IFERROR(VLOOKUP(J1176,Source_Assumptions!$A:$C,2,0),"Unmapped")</f>
        <v>Referral (Insurance/Banking Partner)</v>
      </c>
      <c r="L1176" t="str">
        <f>Raw_Data!H1176</f>
        <v>AMAZE Petrol</v>
      </c>
      <c r="M1176" t="str">
        <f>IFERROR(VLOOKUP(L1176,Model_Assumptions!$A:$D,2,0),"Unmapped")</f>
        <v>Sub-4m Sedan</v>
      </c>
      <c r="N1176" t="str">
        <f>IFERROR(VLOOKUP(L1176,Model_Assumptions!$A:$D,3,0),"Unmapped")</f>
        <v>Petrol</v>
      </c>
      <c r="O1176">
        <f>IFERROR(VLOOKUP(L1176,Model_Assumptions!$A:$D,4,0),0)</f>
        <v>850000</v>
      </c>
      <c r="P1176">
        <f>IFERROR(VLOOKUP(J1176,Source_Assumptions!$A:$C,3,0),0)</f>
        <v>150</v>
      </c>
    </row>
    <row r="1177" spans="1:16" x14ac:dyDescent="0.3">
      <c r="A1177">
        <f>Raw_Data!A1177</f>
        <v>1176</v>
      </c>
      <c r="B1177" s="2">
        <f>Raw_Data!B1177</f>
        <v>45499.822708333297</v>
      </c>
      <c r="C1177">
        <f>YEAR(Raw_Data!B1177)</f>
        <v>2024</v>
      </c>
      <c r="D1177" t="str">
        <f>IF(MONTH(Raw_Data!B1177)&gt;=4,YEAR(Raw_Data!B1177)&amp;"-"&amp;RIGHT(YEAR(Raw_Data!B1177)+1,2),YEAR(Raw_Data!B1177)-1&amp;"-"&amp;RIGHT(YEAR(Raw_Data!B1177),2))</f>
        <v>2024-25</v>
      </c>
      <c r="E1177" t="str">
        <f>"Q"&amp;ROUNDUP(MONTH(Raw_Data!B1177)/3,0)</f>
        <v>Q3</v>
      </c>
      <c r="F1177" t="str">
        <f>TEXT(Raw_Data!B1177,"mmm")</f>
        <v>Jul</v>
      </c>
      <c r="G1177" t="str">
        <f>TEXT(Raw_Data!B1177,"ddd")</f>
        <v>Fri</v>
      </c>
      <c r="H1177" t="str">
        <f>Raw_Data!D1177</f>
        <v>Invoiced</v>
      </c>
      <c r="I1177" t="str">
        <f>Raw_Data!F1177</f>
        <v>SMS/ Tele-Out</v>
      </c>
      <c r="J1177" t="str">
        <f>Raw_Data!G1177</f>
        <v>I-BAP Referral</v>
      </c>
      <c r="K1177" t="str">
        <f>IFERROR(VLOOKUP(J1177,Source_Assumptions!$A:$C,2,0),"Unmapped")</f>
        <v>Referral (Insurance/Banking Partner)</v>
      </c>
      <c r="L1177" t="str">
        <f>Raw_Data!H1177</f>
        <v>AMAZE Petrol</v>
      </c>
      <c r="M1177" t="str">
        <f>IFERROR(VLOOKUP(L1177,Model_Assumptions!$A:$D,2,0),"Unmapped")</f>
        <v>Sub-4m Sedan</v>
      </c>
      <c r="N1177" t="str">
        <f>IFERROR(VLOOKUP(L1177,Model_Assumptions!$A:$D,3,0),"Unmapped")</f>
        <v>Petrol</v>
      </c>
      <c r="O1177">
        <f>IFERROR(VLOOKUP(L1177,Model_Assumptions!$A:$D,4,0),0)</f>
        <v>850000</v>
      </c>
      <c r="P1177">
        <f>IFERROR(VLOOKUP(J1177,Source_Assumptions!$A:$C,3,0),0)</f>
        <v>150</v>
      </c>
    </row>
    <row r="1178" spans="1:16" x14ac:dyDescent="0.3">
      <c r="A1178">
        <f>Raw_Data!A1178</f>
        <v>1177</v>
      </c>
      <c r="B1178" s="2">
        <f>Raw_Data!B1178</f>
        <v>45499.823159722197</v>
      </c>
      <c r="C1178">
        <f>YEAR(Raw_Data!B1178)</f>
        <v>2024</v>
      </c>
      <c r="D1178" t="str">
        <f>IF(MONTH(Raw_Data!B1178)&gt;=4,YEAR(Raw_Data!B1178)&amp;"-"&amp;RIGHT(YEAR(Raw_Data!B1178)+1,2),YEAR(Raw_Data!B1178)-1&amp;"-"&amp;RIGHT(YEAR(Raw_Data!B1178),2))</f>
        <v>2024-25</v>
      </c>
      <c r="E1178" t="str">
        <f>"Q"&amp;ROUNDUP(MONTH(Raw_Data!B1178)/3,0)</f>
        <v>Q3</v>
      </c>
      <c r="F1178" t="str">
        <f>TEXT(Raw_Data!B1178,"mmm")</f>
        <v>Jul</v>
      </c>
      <c r="G1178" t="str">
        <f>TEXT(Raw_Data!B1178,"ddd")</f>
        <v>Fri</v>
      </c>
      <c r="H1178" t="str">
        <f>Raw_Data!D1178</f>
        <v>Invoiced</v>
      </c>
      <c r="I1178" t="str">
        <f>Raw_Data!F1178</f>
        <v>SMS/ Tele-Out</v>
      </c>
      <c r="J1178" t="str">
        <f>Raw_Data!G1178</f>
        <v>Database Activity(Teleout/SMS)</v>
      </c>
      <c r="K1178" t="str">
        <f>IFERROR(VLOOKUP(J1178,Source_Assumptions!$A:$C,2,0),"Unmapped")</f>
        <v>Outbound/Database</v>
      </c>
      <c r="L1178" t="str">
        <f>Raw_Data!H1178</f>
        <v>AMAZE Petrol</v>
      </c>
      <c r="M1178" t="str">
        <f>IFERROR(VLOOKUP(L1178,Model_Assumptions!$A:$D,2,0),"Unmapped")</f>
        <v>Sub-4m Sedan</v>
      </c>
      <c r="N1178" t="str">
        <f>IFERROR(VLOOKUP(L1178,Model_Assumptions!$A:$D,3,0),"Unmapped")</f>
        <v>Petrol</v>
      </c>
      <c r="O1178">
        <f>IFERROR(VLOOKUP(L1178,Model_Assumptions!$A:$D,4,0),0)</f>
        <v>850000</v>
      </c>
      <c r="P1178">
        <f>IFERROR(VLOOKUP(J1178,Source_Assumptions!$A:$C,3,0),0)</f>
        <v>250</v>
      </c>
    </row>
    <row r="1179" spans="1:16" x14ac:dyDescent="0.3">
      <c r="A1179">
        <f>Raw_Data!A1179</f>
        <v>1178</v>
      </c>
      <c r="B1179" s="2">
        <f>Raw_Data!B1179</f>
        <v>45499.827245370398</v>
      </c>
      <c r="C1179">
        <f>YEAR(Raw_Data!B1179)</f>
        <v>2024</v>
      </c>
      <c r="D1179" t="str">
        <f>IF(MONTH(Raw_Data!B1179)&gt;=4,YEAR(Raw_Data!B1179)&amp;"-"&amp;RIGHT(YEAR(Raw_Data!B1179)+1,2),YEAR(Raw_Data!B1179)-1&amp;"-"&amp;RIGHT(YEAR(Raw_Data!B1179),2))</f>
        <v>2024-25</v>
      </c>
      <c r="E1179" t="str">
        <f>"Q"&amp;ROUNDUP(MONTH(Raw_Data!B1179)/3,0)</f>
        <v>Q3</v>
      </c>
      <c r="F1179" t="str">
        <f>TEXT(Raw_Data!B1179,"mmm")</f>
        <v>Jul</v>
      </c>
      <c r="G1179" t="str">
        <f>TEXT(Raw_Data!B1179,"ddd")</f>
        <v>Fri</v>
      </c>
      <c r="H1179" t="str">
        <f>Raw_Data!D1179</f>
        <v>Invoiced</v>
      </c>
      <c r="I1179" t="str">
        <f>Raw_Data!F1179</f>
        <v>SMS/ Tele-Out</v>
      </c>
      <c r="J1179" t="str">
        <f>Raw_Data!G1179</f>
        <v>I-BAP Referral</v>
      </c>
      <c r="K1179" t="str">
        <f>IFERROR(VLOOKUP(J1179,Source_Assumptions!$A:$C,2,0),"Unmapped")</f>
        <v>Referral (Insurance/Banking Partner)</v>
      </c>
      <c r="L1179" t="str">
        <f>Raw_Data!H1179</f>
        <v>ELEVATE</v>
      </c>
      <c r="M1179" t="str">
        <f>IFERROR(VLOOKUP(L1179,Model_Assumptions!$A:$D,2,0),"Unmapped")</f>
        <v>Compact SUV</v>
      </c>
      <c r="N1179" t="str">
        <f>IFERROR(VLOOKUP(L1179,Model_Assumptions!$A:$D,3,0),"Unmapped")</f>
        <v>Petrol</v>
      </c>
      <c r="O1179">
        <f>IFERROR(VLOOKUP(L1179,Model_Assumptions!$A:$D,4,0),0)</f>
        <v>1300000</v>
      </c>
      <c r="P1179">
        <f>IFERROR(VLOOKUP(J1179,Source_Assumptions!$A:$C,3,0),0)</f>
        <v>150</v>
      </c>
    </row>
    <row r="1180" spans="1:16" x14ac:dyDescent="0.3">
      <c r="A1180">
        <f>Raw_Data!A1180</f>
        <v>1179</v>
      </c>
      <c r="B1180" s="2">
        <f>Raw_Data!B1180</f>
        <v>45503.4476041667</v>
      </c>
      <c r="C1180">
        <f>YEAR(Raw_Data!B1180)</f>
        <v>2024</v>
      </c>
      <c r="D1180" t="str">
        <f>IF(MONTH(Raw_Data!B1180)&gt;=4,YEAR(Raw_Data!B1180)&amp;"-"&amp;RIGHT(YEAR(Raw_Data!B1180)+1,2),YEAR(Raw_Data!B1180)-1&amp;"-"&amp;RIGHT(YEAR(Raw_Data!B1180),2))</f>
        <v>2024-25</v>
      </c>
      <c r="E1180" t="str">
        <f>"Q"&amp;ROUNDUP(MONTH(Raw_Data!B1180)/3,0)</f>
        <v>Q3</v>
      </c>
      <c r="F1180" t="str">
        <f>TEXT(Raw_Data!B1180,"mmm")</f>
        <v>Jul</v>
      </c>
      <c r="G1180" t="str">
        <f>TEXT(Raw_Data!B1180,"ddd")</f>
        <v>Tue</v>
      </c>
      <c r="H1180" t="str">
        <f>Raw_Data!D1180</f>
        <v>Invoiced</v>
      </c>
      <c r="I1180" t="str">
        <f>Raw_Data!F1180</f>
        <v>Tele-in</v>
      </c>
      <c r="J1180" t="str">
        <f>Raw_Data!G1180</f>
        <v>Dealer Webpage Tele-In</v>
      </c>
      <c r="K1180" t="str">
        <f>IFERROR(VLOOKUP(J1180,Source_Assumptions!$A:$C,2,0),"Unmapped")</f>
        <v>Digital - Owned</v>
      </c>
      <c r="L1180" t="str">
        <f>Raw_Data!H1180</f>
        <v>AMAZE Petrol</v>
      </c>
      <c r="M1180" t="str">
        <f>IFERROR(VLOOKUP(L1180,Model_Assumptions!$A:$D,2,0),"Unmapped")</f>
        <v>Sub-4m Sedan</v>
      </c>
      <c r="N1180" t="str">
        <f>IFERROR(VLOOKUP(L1180,Model_Assumptions!$A:$D,3,0),"Unmapped")</f>
        <v>Petrol</v>
      </c>
      <c r="O1180">
        <f>IFERROR(VLOOKUP(L1180,Model_Assumptions!$A:$D,4,0),0)</f>
        <v>850000</v>
      </c>
      <c r="P1180">
        <f>IFERROR(VLOOKUP(J1180,Source_Assumptions!$A:$C,3,0),0)</f>
        <v>300</v>
      </c>
    </row>
    <row r="1181" spans="1:16" x14ac:dyDescent="0.3">
      <c r="A1181">
        <f>Raw_Data!A1181</f>
        <v>1180</v>
      </c>
      <c r="B1181" s="2">
        <f>Raw_Data!B1181</f>
        <v>45504.528576388897</v>
      </c>
      <c r="C1181">
        <f>YEAR(Raw_Data!B1181)</f>
        <v>2024</v>
      </c>
      <c r="D1181" t="str">
        <f>IF(MONTH(Raw_Data!B1181)&gt;=4,YEAR(Raw_Data!B1181)&amp;"-"&amp;RIGHT(YEAR(Raw_Data!B1181)+1,2),YEAR(Raw_Data!B1181)-1&amp;"-"&amp;RIGHT(YEAR(Raw_Data!B1181),2))</f>
        <v>2024-25</v>
      </c>
      <c r="E1181" t="str">
        <f>"Q"&amp;ROUNDUP(MONTH(Raw_Data!B1181)/3,0)</f>
        <v>Q3</v>
      </c>
      <c r="F1181" t="str">
        <f>TEXT(Raw_Data!B1181,"mmm")</f>
        <v>Jul</v>
      </c>
      <c r="G1181" t="str">
        <f>TEXT(Raw_Data!B1181,"ddd")</f>
        <v>Wed</v>
      </c>
      <c r="H1181" t="str">
        <f>Raw_Data!D1181</f>
        <v>Invoiced</v>
      </c>
      <c r="I1181" t="str">
        <f>Raw_Data!F1181</f>
        <v>Tele-in</v>
      </c>
      <c r="J1181" t="str">
        <f>Raw_Data!G1181</f>
        <v>Dealer Webpage Tele-In</v>
      </c>
      <c r="K1181" t="str">
        <f>IFERROR(VLOOKUP(J1181,Source_Assumptions!$A:$C,2,0),"Unmapped")</f>
        <v>Digital - Owned</v>
      </c>
      <c r="L1181" t="str">
        <f>Raw_Data!H1181</f>
        <v>ELEVATE</v>
      </c>
      <c r="M1181" t="str">
        <f>IFERROR(VLOOKUP(L1181,Model_Assumptions!$A:$D,2,0),"Unmapped")</f>
        <v>Compact SUV</v>
      </c>
      <c r="N1181" t="str">
        <f>IFERROR(VLOOKUP(L1181,Model_Assumptions!$A:$D,3,0),"Unmapped")</f>
        <v>Petrol</v>
      </c>
      <c r="O1181">
        <f>IFERROR(VLOOKUP(L1181,Model_Assumptions!$A:$D,4,0),0)</f>
        <v>1300000</v>
      </c>
      <c r="P1181">
        <f>IFERROR(VLOOKUP(J1181,Source_Assumptions!$A:$C,3,0),0)</f>
        <v>300</v>
      </c>
    </row>
    <row r="1182" spans="1:16" x14ac:dyDescent="0.3">
      <c r="A1182">
        <f>Raw_Data!A1182</f>
        <v>1181</v>
      </c>
      <c r="B1182" s="2">
        <f>Raw_Data!B1182</f>
        <v>45504.722500000003</v>
      </c>
      <c r="C1182">
        <f>YEAR(Raw_Data!B1182)</f>
        <v>2024</v>
      </c>
      <c r="D1182" t="str">
        <f>IF(MONTH(Raw_Data!B1182)&gt;=4,YEAR(Raw_Data!B1182)&amp;"-"&amp;RIGHT(YEAR(Raw_Data!B1182)+1,2),YEAR(Raw_Data!B1182)-1&amp;"-"&amp;RIGHT(YEAR(Raw_Data!B1182),2))</f>
        <v>2024-25</v>
      </c>
      <c r="E1182" t="str">
        <f>"Q"&amp;ROUNDUP(MONTH(Raw_Data!B1182)/3,0)</f>
        <v>Q3</v>
      </c>
      <c r="F1182" t="str">
        <f>TEXT(Raw_Data!B1182,"mmm")</f>
        <v>Jul</v>
      </c>
      <c r="G1182" t="str">
        <f>TEXT(Raw_Data!B1182,"ddd")</f>
        <v>Wed</v>
      </c>
      <c r="H1182" t="str">
        <f>Raw_Data!D1182</f>
        <v>Invoiced</v>
      </c>
      <c r="I1182" t="str">
        <f>Raw_Data!F1182</f>
        <v>Tele-in</v>
      </c>
      <c r="J1182" t="str">
        <f>Raw_Data!G1182</f>
        <v>Dealer Webpage Tele-In</v>
      </c>
      <c r="K1182" t="str">
        <f>IFERROR(VLOOKUP(J1182,Source_Assumptions!$A:$C,2,0),"Unmapped")</f>
        <v>Digital - Owned</v>
      </c>
      <c r="L1182" t="str">
        <f>Raw_Data!H1182</f>
        <v>ELEVATE</v>
      </c>
      <c r="M1182" t="str">
        <f>IFERROR(VLOOKUP(L1182,Model_Assumptions!$A:$D,2,0),"Unmapped")</f>
        <v>Compact SUV</v>
      </c>
      <c r="N1182" t="str">
        <f>IFERROR(VLOOKUP(L1182,Model_Assumptions!$A:$D,3,0),"Unmapped")</f>
        <v>Petrol</v>
      </c>
      <c r="O1182">
        <f>IFERROR(VLOOKUP(L1182,Model_Assumptions!$A:$D,4,0),0)</f>
        <v>1300000</v>
      </c>
      <c r="P1182">
        <f>IFERROR(VLOOKUP(J1182,Source_Assumptions!$A:$C,3,0),0)</f>
        <v>300</v>
      </c>
    </row>
    <row r="1183" spans="1:16" x14ac:dyDescent="0.3">
      <c r="A1183">
        <f>Raw_Data!A1183</f>
        <v>1182</v>
      </c>
      <c r="B1183" s="2">
        <f>Raw_Data!B1183</f>
        <v>45504.780162037001</v>
      </c>
      <c r="C1183">
        <f>YEAR(Raw_Data!B1183)</f>
        <v>2024</v>
      </c>
      <c r="D1183" t="str">
        <f>IF(MONTH(Raw_Data!B1183)&gt;=4,YEAR(Raw_Data!B1183)&amp;"-"&amp;RIGHT(YEAR(Raw_Data!B1183)+1,2),YEAR(Raw_Data!B1183)-1&amp;"-"&amp;RIGHT(YEAR(Raw_Data!B1183),2))</f>
        <v>2024-25</v>
      </c>
      <c r="E1183" t="str">
        <f>"Q"&amp;ROUNDUP(MONTH(Raw_Data!B1183)/3,0)</f>
        <v>Q3</v>
      </c>
      <c r="F1183" t="str">
        <f>TEXT(Raw_Data!B1183,"mmm")</f>
        <v>Jul</v>
      </c>
      <c r="G1183" t="str">
        <f>TEXT(Raw_Data!B1183,"ddd")</f>
        <v>Wed</v>
      </c>
      <c r="H1183" t="str">
        <f>Raw_Data!D1183</f>
        <v>Invoiced</v>
      </c>
      <c r="I1183" t="str">
        <f>Raw_Data!F1183</f>
        <v>SMS/ Tele-Out</v>
      </c>
      <c r="J1183" t="str">
        <f>Raw_Data!G1183</f>
        <v>Database Activity(Teleout/SMS)</v>
      </c>
      <c r="K1183" t="str">
        <f>IFERROR(VLOOKUP(J1183,Source_Assumptions!$A:$C,2,0),"Unmapped")</f>
        <v>Outbound/Database</v>
      </c>
      <c r="L1183" t="str">
        <f>Raw_Data!H1183</f>
        <v>ELEVATE</v>
      </c>
      <c r="M1183" t="str">
        <f>IFERROR(VLOOKUP(L1183,Model_Assumptions!$A:$D,2,0),"Unmapped")</f>
        <v>Compact SUV</v>
      </c>
      <c r="N1183" t="str">
        <f>IFERROR(VLOOKUP(L1183,Model_Assumptions!$A:$D,3,0),"Unmapped")</f>
        <v>Petrol</v>
      </c>
      <c r="O1183">
        <f>IFERROR(VLOOKUP(L1183,Model_Assumptions!$A:$D,4,0),0)</f>
        <v>1300000</v>
      </c>
      <c r="P1183">
        <f>IFERROR(VLOOKUP(J1183,Source_Assumptions!$A:$C,3,0),0)</f>
        <v>250</v>
      </c>
    </row>
    <row r="1184" spans="1:16" x14ac:dyDescent="0.3">
      <c r="A1184">
        <f>Raw_Data!A1184</f>
        <v>1183</v>
      </c>
      <c r="B1184" s="2">
        <f>Raw_Data!B1184</f>
        <v>45504.7815625</v>
      </c>
      <c r="C1184">
        <f>YEAR(Raw_Data!B1184)</f>
        <v>2024</v>
      </c>
      <c r="D1184" t="str">
        <f>IF(MONTH(Raw_Data!B1184)&gt;=4,YEAR(Raw_Data!B1184)&amp;"-"&amp;RIGHT(YEAR(Raw_Data!B1184)+1,2),YEAR(Raw_Data!B1184)-1&amp;"-"&amp;RIGHT(YEAR(Raw_Data!B1184),2))</f>
        <v>2024-25</v>
      </c>
      <c r="E1184" t="str">
        <f>"Q"&amp;ROUNDUP(MONTH(Raw_Data!B1184)/3,0)</f>
        <v>Q3</v>
      </c>
      <c r="F1184" t="str">
        <f>TEXT(Raw_Data!B1184,"mmm")</f>
        <v>Jul</v>
      </c>
      <c r="G1184" t="str">
        <f>TEXT(Raw_Data!B1184,"ddd")</f>
        <v>Wed</v>
      </c>
      <c r="H1184" t="str">
        <f>Raw_Data!D1184</f>
        <v>Invoiced</v>
      </c>
      <c r="I1184" t="str">
        <f>Raw_Data!F1184</f>
        <v>Tele-in</v>
      </c>
      <c r="J1184" t="str">
        <f>Raw_Data!G1184</f>
        <v>Dealer Webpage Tele-In</v>
      </c>
      <c r="K1184" t="str">
        <f>IFERROR(VLOOKUP(J1184,Source_Assumptions!$A:$C,2,0),"Unmapped")</f>
        <v>Digital - Owned</v>
      </c>
      <c r="L1184" t="str">
        <f>Raw_Data!H1184</f>
        <v>AMAZE Petrol</v>
      </c>
      <c r="M1184" t="str">
        <f>IFERROR(VLOOKUP(L1184,Model_Assumptions!$A:$D,2,0),"Unmapped")</f>
        <v>Sub-4m Sedan</v>
      </c>
      <c r="N1184" t="str">
        <f>IFERROR(VLOOKUP(L1184,Model_Assumptions!$A:$D,3,0),"Unmapped")</f>
        <v>Petrol</v>
      </c>
      <c r="O1184">
        <f>IFERROR(VLOOKUP(L1184,Model_Assumptions!$A:$D,4,0),0)</f>
        <v>850000</v>
      </c>
      <c r="P1184">
        <f>IFERROR(VLOOKUP(J1184,Source_Assumptions!$A:$C,3,0),0)</f>
        <v>300</v>
      </c>
    </row>
    <row r="1185" spans="1:16" x14ac:dyDescent="0.3">
      <c r="A1185">
        <f>Raw_Data!A1185</f>
        <v>1184</v>
      </c>
      <c r="B1185" s="2">
        <f>Raw_Data!B1185</f>
        <v>45504.8422685185</v>
      </c>
      <c r="C1185">
        <f>YEAR(Raw_Data!B1185)</f>
        <v>2024</v>
      </c>
      <c r="D1185" t="str">
        <f>IF(MONTH(Raw_Data!B1185)&gt;=4,YEAR(Raw_Data!B1185)&amp;"-"&amp;RIGHT(YEAR(Raw_Data!B1185)+1,2),YEAR(Raw_Data!B1185)-1&amp;"-"&amp;RIGHT(YEAR(Raw_Data!B1185),2))</f>
        <v>2024-25</v>
      </c>
      <c r="E1185" t="str">
        <f>"Q"&amp;ROUNDUP(MONTH(Raw_Data!B1185)/3,0)</f>
        <v>Q3</v>
      </c>
      <c r="F1185" t="str">
        <f>TEXT(Raw_Data!B1185,"mmm")</f>
        <v>Jul</v>
      </c>
      <c r="G1185" t="str">
        <f>TEXT(Raw_Data!B1185,"ddd")</f>
        <v>Wed</v>
      </c>
      <c r="H1185" t="str">
        <f>Raw_Data!D1185</f>
        <v>Invoiced</v>
      </c>
      <c r="I1185" t="str">
        <f>Raw_Data!F1185</f>
        <v>Walk-in Showroom</v>
      </c>
      <c r="J1185" t="str">
        <f>Raw_Data!G1185</f>
        <v>Referral (HC/HBLP)</v>
      </c>
      <c r="K1185" t="str">
        <f>IFERROR(VLOOKUP(J1185,Source_Assumptions!$A:$C,2,0),"Unmapped")</f>
        <v>Referral (Happy Customer)</v>
      </c>
      <c r="L1185" t="str">
        <f>Raw_Data!H1185</f>
        <v>AMAZE Petrol</v>
      </c>
      <c r="M1185" t="str">
        <f>IFERROR(VLOOKUP(L1185,Model_Assumptions!$A:$D,2,0),"Unmapped")</f>
        <v>Sub-4m Sedan</v>
      </c>
      <c r="N1185" t="str">
        <f>IFERROR(VLOOKUP(L1185,Model_Assumptions!$A:$D,3,0),"Unmapped")</f>
        <v>Petrol</v>
      </c>
      <c r="O1185">
        <f>IFERROR(VLOOKUP(L1185,Model_Assumptions!$A:$D,4,0),0)</f>
        <v>850000</v>
      </c>
      <c r="P1185">
        <f>IFERROR(VLOOKUP(J1185,Source_Assumptions!$A:$C,3,0),0)</f>
        <v>100</v>
      </c>
    </row>
    <row r="1186" spans="1:16" x14ac:dyDescent="0.3">
      <c r="A1186">
        <f>Raw_Data!A1186</f>
        <v>1185</v>
      </c>
      <c r="B1186" s="2">
        <f>Raw_Data!B1186</f>
        <v>45504.8432523148</v>
      </c>
      <c r="C1186">
        <f>YEAR(Raw_Data!B1186)</f>
        <v>2024</v>
      </c>
      <c r="D1186" t="str">
        <f>IF(MONTH(Raw_Data!B1186)&gt;=4,YEAR(Raw_Data!B1186)&amp;"-"&amp;RIGHT(YEAR(Raw_Data!B1186)+1,2),YEAR(Raw_Data!B1186)-1&amp;"-"&amp;RIGHT(YEAR(Raw_Data!B1186),2))</f>
        <v>2024-25</v>
      </c>
      <c r="E1186" t="str">
        <f>"Q"&amp;ROUNDUP(MONTH(Raw_Data!B1186)/3,0)</f>
        <v>Q3</v>
      </c>
      <c r="F1186" t="str">
        <f>TEXT(Raw_Data!B1186,"mmm")</f>
        <v>Jul</v>
      </c>
      <c r="G1186" t="str">
        <f>TEXT(Raw_Data!B1186,"ddd")</f>
        <v>Wed</v>
      </c>
      <c r="H1186" t="str">
        <f>Raw_Data!D1186</f>
        <v>Invoiced</v>
      </c>
      <c r="I1186" t="str">
        <f>Raw_Data!F1186</f>
        <v>Tele-in</v>
      </c>
      <c r="J1186" t="str">
        <f>Raw_Data!G1186</f>
        <v>I-BAP Self</v>
      </c>
      <c r="K1186" t="str">
        <f>IFERROR(VLOOKUP(J1186,Source_Assumptions!$A:$C,2,0),"Unmapped")</f>
        <v>Referral (Insurance/Banking Partner)</v>
      </c>
      <c r="L1186" t="str">
        <f>Raw_Data!H1186</f>
        <v>5TH GEN CITY PE</v>
      </c>
      <c r="M1186" t="str">
        <f>IFERROR(VLOOKUP(L1186,Model_Assumptions!$A:$D,2,0),"Unmapped")</f>
        <v>Mid-size Sedan</v>
      </c>
      <c r="N1186" t="str">
        <f>IFERROR(VLOOKUP(L1186,Model_Assumptions!$A:$D,3,0),"Unmapped")</f>
        <v>Petrol</v>
      </c>
      <c r="O1186">
        <f>IFERROR(VLOOKUP(L1186,Model_Assumptions!$A:$D,4,0),0)</f>
        <v>1250000</v>
      </c>
      <c r="P1186">
        <f>IFERROR(VLOOKUP(J1186,Source_Assumptions!$A:$C,3,0),0)</f>
        <v>100</v>
      </c>
    </row>
    <row r="1187" spans="1:16" x14ac:dyDescent="0.3">
      <c r="A1187">
        <f>Raw_Data!A1187</f>
        <v>1186</v>
      </c>
      <c r="B1187" s="2">
        <f>Raw_Data!B1187</f>
        <v>45504.844259259298</v>
      </c>
      <c r="C1187">
        <f>YEAR(Raw_Data!B1187)</f>
        <v>2024</v>
      </c>
      <c r="D1187" t="str">
        <f>IF(MONTH(Raw_Data!B1187)&gt;=4,YEAR(Raw_Data!B1187)&amp;"-"&amp;RIGHT(YEAR(Raw_Data!B1187)+1,2),YEAR(Raw_Data!B1187)-1&amp;"-"&amp;RIGHT(YEAR(Raw_Data!B1187),2))</f>
        <v>2024-25</v>
      </c>
      <c r="E1187" t="str">
        <f>"Q"&amp;ROUNDUP(MONTH(Raw_Data!B1187)/3,0)</f>
        <v>Q3</v>
      </c>
      <c r="F1187" t="str">
        <f>TEXT(Raw_Data!B1187,"mmm")</f>
        <v>Jul</v>
      </c>
      <c r="G1187" t="str">
        <f>TEXT(Raw_Data!B1187,"ddd")</f>
        <v>Wed</v>
      </c>
      <c r="H1187" t="str">
        <f>Raw_Data!D1187</f>
        <v>Invoiced</v>
      </c>
      <c r="I1187" t="str">
        <f>Raw_Data!F1187</f>
        <v>Tele-in</v>
      </c>
      <c r="J1187" t="str">
        <f>Raw_Data!G1187</f>
        <v>I-BAP Self</v>
      </c>
      <c r="K1187" t="str">
        <f>IFERROR(VLOOKUP(J1187,Source_Assumptions!$A:$C,2,0),"Unmapped")</f>
        <v>Referral (Insurance/Banking Partner)</v>
      </c>
      <c r="L1187" t="str">
        <f>Raw_Data!H1187</f>
        <v>AMAZE Petrol</v>
      </c>
      <c r="M1187" t="str">
        <f>IFERROR(VLOOKUP(L1187,Model_Assumptions!$A:$D,2,0),"Unmapped")</f>
        <v>Sub-4m Sedan</v>
      </c>
      <c r="N1187" t="str">
        <f>IFERROR(VLOOKUP(L1187,Model_Assumptions!$A:$D,3,0),"Unmapped")</f>
        <v>Petrol</v>
      </c>
      <c r="O1187">
        <f>IFERROR(VLOOKUP(L1187,Model_Assumptions!$A:$D,4,0),0)</f>
        <v>850000</v>
      </c>
      <c r="P1187">
        <f>IFERROR(VLOOKUP(J1187,Source_Assumptions!$A:$C,3,0),0)</f>
        <v>100</v>
      </c>
    </row>
    <row r="1188" spans="1:16" x14ac:dyDescent="0.3">
      <c r="A1188">
        <f>Raw_Data!A1188</f>
        <v>1187</v>
      </c>
      <c r="B1188" s="2">
        <f>Raw_Data!B1188</f>
        <v>45514.5147222222</v>
      </c>
      <c r="C1188">
        <f>YEAR(Raw_Data!B1188)</f>
        <v>2024</v>
      </c>
      <c r="D1188" t="str">
        <f>IF(MONTH(Raw_Data!B1188)&gt;=4,YEAR(Raw_Data!B1188)&amp;"-"&amp;RIGHT(YEAR(Raw_Data!B1188)+1,2),YEAR(Raw_Data!B1188)-1&amp;"-"&amp;RIGHT(YEAR(Raw_Data!B1188),2))</f>
        <v>2024-25</v>
      </c>
      <c r="E1188" t="str">
        <f>"Q"&amp;ROUNDUP(MONTH(Raw_Data!B1188)/3,0)</f>
        <v>Q3</v>
      </c>
      <c r="F1188" t="str">
        <f>TEXT(Raw_Data!B1188,"mmm")</f>
        <v>Aug</v>
      </c>
      <c r="G1188" t="str">
        <f>TEXT(Raw_Data!B1188,"ddd")</f>
        <v>Sat</v>
      </c>
      <c r="H1188" t="str">
        <f>Raw_Data!D1188</f>
        <v>Invoiced</v>
      </c>
      <c r="I1188" t="str">
        <f>Raw_Data!F1188</f>
        <v>Walk-in Showroom</v>
      </c>
      <c r="J1188" t="str">
        <f>Raw_Data!G1188</f>
        <v>Referral (HC/HBLP)</v>
      </c>
      <c r="K1188" t="str">
        <f>IFERROR(VLOOKUP(J1188,Source_Assumptions!$A:$C,2,0),"Unmapped")</f>
        <v>Referral (Happy Customer)</v>
      </c>
      <c r="L1188" t="str">
        <f>Raw_Data!H1188</f>
        <v>ELEVATE</v>
      </c>
      <c r="M1188" t="str">
        <f>IFERROR(VLOOKUP(L1188,Model_Assumptions!$A:$D,2,0),"Unmapped")</f>
        <v>Compact SUV</v>
      </c>
      <c r="N1188" t="str">
        <f>IFERROR(VLOOKUP(L1188,Model_Assumptions!$A:$D,3,0),"Unmapped")</f>
        <v>Petrol</v>
      </c>
      <c r="O1188">
        <f>IFERROR(VLOOKUP(L1188,Model_Assumptions!$A:$D,4,0),0)</f>
        <v>1300000</v>
      </c>
      <c r="P1188">
        <f>IFERROR(VLOOKUP(J1188,Source_Assumptions!$A:$C,3,0),0)</f>
        <v>100</v>
      </c>
    </row>
    <row r="1189" spans="1:16" x14ac:dyDescent="0.3">
      <c r="A1189">
        <f>Raw_Data!A1189</f>
        <v>1188</v>
      </c>
      <c r="B1189" s="2">
        <f>Raw_Data!B1189</f>
        <v>45514.522430555597</v>
      </c>
      <c r="C1189">
        <f>YEAR(Raw_Data!B1189)</f>
        <v>2024</v>
      </c>
      <c r="D1189" t="str">
        <f>IF(MONTH(Raw_Data!B1189)&gt;=4,YEAR(Raw_Data!B1189)&amp;"-"&amp;RIGHT(YEAR(Raw_Data!B1189)+1,2),YEAR(Raw_Data!B1189)-1&amp;"-"&amp;RIGHT(YEAR(Raw_Data!B1189),2))</f>
        <v>2024-25</v>
      </c>
      <c r="E1189" t="str">
        <f>"Q"&amp;ROUNDUP(MONTH(Raw_Data!B1189)/3,0)</f>
        <v>Q3</v>
      </c>
      <c r="F1189" t="str">
        <f>TEXT(Raw_Data!B1189,"mmm")</f>
        <v>Aug</v>
      </c>
      <c r="G1189" t="str">
        <f>TEXT(Raw_Data!B1189,"ddd")</f>
        <v>Sat</v>
      </c>
      <c r="H1189" t="str">
        <f>Raw_Data!D1189</f>
        <v>Invoiced</v>
      </c>
      <c r="I1189" t="str">
        <f>Raw_Data!F1189</f>
        <v>Walk-in Showroom</v>
      </c>
      <c r="J1189" t="str">
        <f>Raw_Data!G1189</f>
        <v>I-BAP Referral</v>
      </c>
      <c r="K1189" t="str">
        <f>IFERROR(VLOOKUP(J1189,Source_Assumptions!$A:$C,2,0),"Unmapped")</f>
        <v>Referral (Insurance/Banking Partner)</v>
      </c>
      <c r="L1189" t="str">
        <f>Raw_Data!H1189</f>
        <v>5TH GEN CITY PE</v>
      </c>
      <c r="M1189" t="str">
        <f>IFERROR(VLOOKUP(L1189,Model_Assumptions!$A:$D,2,0),"Unmapped")</f>
        <v>Mid-size Sedan</v>
      </c>
      <c r="N1189" t="str">
        <f>IFERROR(VLOOKUP(L1189,Model_Assumptions!$A:$D,3,0),"Unmapped")</f>
        <v>Petrol</v>
      </c>
      <c r="O1189">
        <f>IFERROR(VLOOKUP(L1189,Model_Assumptions!$A:$D,4,0),0)</f>
        <v>1250000</v>
      </c>
      <c r="P1189">
        <f>IFERROR(VLOOKUP(J1189,Source_Assumptions!$A:$C,3,0),0)</f>
        <v>150</v>
      </c>
    </row>
    <row r="1190" spans="1:16" x14ac:dyDescent="0.3">
      <c r="A1190">
        <f>Raw_Data!A1190</f>
        <v>1189</v>
      </c>
      <c r="B1190" s="2">
        <f>Raw_Data!B1190</f>
        <v>45516.713576388902</v>
      </c>
      <c r="C1190">
        <f>YEAR(Raw_Data!B1190)</f>
        <v>2024</v>
      </c>
      <c r="D1190" t="str">
        <f>IF(MONTH(Raw_Data!B1190)&gt;=4,YEAR(Raw_Data!B1190)&amp;"-"&amp;RIGHT(YEAR(Raw_Data!B1190)+1,2),YEAR(Raw_Data!B1190)-1&amp;"-"&amp;RIGHT(YEAR(Raw_Data!B1190),2))</f>
        <v>2024-25</v>
      </c>
      <c r="E1190" t="str">
        <f>"Q"&amp;ROUNDUP(MONTH(Raw_Data!B1190)/3,0)</f>
        <v>Q3</v>
      </c>
      <c r="F1190" t="str">
        <f>TEXT(Raw_Data!B1190,"mmm")</f>
        <v>Aug</v>
      </c>
      <c r="G1190" t="str">
        <f>TEXT(Raw_Data!B1190,"ddd")</f>
        <v>Mon</v>
      </c>
      <c r="H1190" t="str">
        <f>Raw_Data!D1190</f>
        <v>Invoiced</v>
      </c>
      <c r="I1190" t="str">
        <f>Raw_Data!F1190</f>
        <v>Web Lead</v>
      </c>
      <c r="J1190" t="str">
        <f>Raw_Data!G1190</f>
        <v>Web</v>
      </c>
      <c r="K1190" t="str">
        <f>IFERROR(VLOOKUP(J1190,Source_Assumptions!$A:$C,2,0),"Unmapped")</f>
        <v>Digital - Owned</v>
      </c>
      <c r="L1190" t="str">
        <f>Raw_Data!H1190</f>
        <v>AMAZE Petrol</v>
      </c>
      <c r="M1190" t="str">
        <f>IFERROR(VLOOKUP(L1190,Model_Assumptions!$A:$D,2,0),"Unmapped")</f>
        <v>Sub-4m Sedan</v>
      </c>
      <c r="N1190" t="str">
        <f>IFERROR(VLOOKUP(L1190,Model_Assumptions!$A:$D,3,0),"Unmapped")</f>
        <v>Petrol</v>
      </c>
      <c r="O1190">
        <f>IFERROR(VLOOKUP(L1190,Model_Assumptions!$A:$D,4,0),0)</f>
        <v>850000</v>
      </c>
      <c r="P1190">
        <f>IFERROR(VLOOKUP(J1190,Source_Assumptions!$A:$C,3,0),0)</f>
        <v>300</v>
      </c>
    </row>
    <row r="1191" spans="1:16" x14ac:dyDescent="0.3">
      <c r="A1191">
        <f>Raw_Data!A1191</f>
        <v>1190</v>
      </c>
      <c r="B1191" s="2">
        <f>Raw_Data!B1191</f>
        <v>45518.483530092599</v>
      </c>
      <c r="C1191">
        <f>YEAR(Raw_Data!B1191)</f>
        <v>2024</v>
      </c>
      <c r="D1191" t="str">
        <f>IF(MONTH(Raw_Data!B1191)&gt;=4,YEAR(Raw_Data!B1191)&amp;"-"&amp;RIGHT(YEAR(Raw_Data!B1191)+1,2),YEAR(Raw_Data!B1191)-1&amp;"-"&amp;RIGHT(YEAR(Raw_Data!B1191),2))</f>
        <v>2024-25</v>
      </c>
      <c r="E1191" t="str">
        <f>"Q"&amp;ROUNDUP(MONTH(Raw_Data!B1191)/3,0)</f>
        <v>Q3</v>
      </c>
      <c r="F1191" t="str">
        <f>TEXT(Raw_Data!B1191,"mmm")</f>
        <v>Aug</v>
      </c>
      <c r="G1191" t="str">
        <f>TEXT(Raw_Data!B1191,"ddd")</f>
        <v>Wed</v>
      </c>
      <c r="H1191" t="str">
        <f>Raw_Data!D1191</f>
        <v>Invoiced</v>
      </c>
      <c r="I1191" t="str">
        <f>Raw_Data!F1191</f>
        <v>SMS/ Tele-Out</v>
      </c>
      <c r="J1191" t="str">
        <f>Raw_Data!G1191</f>
        <v>Database Activity(Teleout/SMS)</v>
      </c>
      <c r="K1191" t="str">
        <f>IFERROR(VLOOKUP(J1191,Source_Assumptions!$A:$C,2,0),"Unmapped")</f>
        <v>Outbound/Database</v>
      </c>
      <c r="L1191" t="str">
        <f>Raw_Data!H1191</f>
        <v>ELEVATE</v>
      </c>
      <c r="M1191" t="str">
        <f>IFERROR(VLOOKUP(L1191,Model_Assumptions!$A:$D,2,0),"Unmapped")</f>
        <v>Compact SUV</v>
      </c>
      <c r="N1191" t="str">
        <f>IFERROR(VLOOKUP(L1191,Model_Assumptions!$A:$D,3,0),"Unmapped")</f>
        <v>Petrol</v>
      </c>
      <c r="O1191">
        <f>IFERROR(VLOOKUP(L1191,Model_Assumptions!$A:$D,4,0),0)</f>
        <v>1300000</v>
      </c>
      <c r="P1191">
        <f>IFERROR(VLOOKUP(J1191,Source_Assumptions!$A:$C,3,0),0)</f>
        <v>250</v>
      </c>
    </row>
    <row r="1192" spans="1:16" x14ac:dyDescent="0.3">
      <c r="A1192">
        <f>Raw_Data!A1192</f>
        <v>1191</v>
      </c>
      <c r="B1192" s="2">
        <f>Raw_Data!B1192</f>
        <v>45518.685937499999</v>
      </c>
      <c r="C1192">
        <f>YEAR(Raw_Data!B1192)</f>
        <v>2024</v>
      </c>
      <c r="D1192" t="str">
        <f>IF(MONTH(Raw_Data!B1192)&gt;=4,YEAR(Raw_Data!B1192)&amp;"-"&amp;RIGHT(YEAR(Raw_Data!B1192)+1,2),YEAR(Raw_Data!B1192)-1&amp;"-"&amp;RIGHT(YEAR(Raw_Data!B1192),2))</f>
        <v>2024-25</v>
      </c>
      <c r="E1192" t="str">
        <f>"Q"&amp;ROUNDUP(MONTH(Raw_Data!B1192)/3,0)</f>
        <v>Q3</v>
      </c>
      <c r="F1192" t="str">
        <f>TEXT(Raw_Data!B1192,"mmm")</f>
        <v>Aug</v>
      </c>
      <c r="G1192" t="str">
        <f>TEXT(Raw_Data!B1192,"ddd")</f>
        <v>Wed</v>
      </c>
      <c r="H1192" t="str">
        <f>Raw_Data!D1192</f>
        <v>Invoiced</v>
      </c>
      <c r="I1192" t="str">
        <f>Raw_Data!F1192</f>
        <v>Tele-in</v>
      </c>
      <c r="J1192" t="str">
        <f>Raw_Data!G1192</f>
        <v>Dealer Webpage Tele-In</v>
      </c>
      <c r="K1192" t="str">
        <f>IFERROR(VLOOKUP(J1192,Source_Assumptions!$A:$C,2,0),"Unmapped")</f>
        <v>Digital - Owned</v>
      </c>
      <c r="L1192" t="str">
        <f>Raw_Data!H1192</f>
        <v>5TH GEN CITY PE</v>
      </c>
      <c r="M1192" t="str">
        <f>IFERROR(VLOOKUP(L1192,Model_Assumptions!$A:$D,2,0),"Unmapped")</f>
        <v>Mid-size Sedan</v>
      </c>
      <c r="N1192" t="str">
        <f>IFERROR(VLOOKUP(L1192,Model_Assumptions!$A:$D,3,0),"Unmapped")</f>
        <v>Petrol</v>
      </c>
      <c r="O1192">
        <f>IFERROR(VLOOKUP(L1192,Model_Assumptions!$A:$D,4,0),0)</f>
        <v>1250000</v>
      </c>
      <c r="P1192">
        <f>IFERROR(VLOOKUP(J1192,Source_Assumptions!$A:$C,3,0),0)</f>
        <v>300</v>
      </c>
    </row>
    <row r="1193" spans="1:16" x14ac:dyDescent="0.3">
      <c r="A1193">
        <f>Raw_Data!A1193</f>
        <v>1192</v>
      </c>
      <c r="B1193" s="2">
        <f>Raw_Data!B1193</f>
        <v>45518.7128703704</v>
      </c>
      <c r="C1193">
        <f>YEAR(Raw_Data!B1193)</f>
        <v>2024</v>
      </c>
      <c r="D1193" t="str">
        <f>IF(MONTH(Raw_Data!B1193)&gt;=4,YEAR(Raw_Data!B1193)&amp;"-"&amp;RIGHT(YEAR(Raw_Data!B1193)+1,2),YEAR(Raw_Data!B1193)-1&amp;"-"&amp;RIGHT(YEAR(Raw_Data!B1193),2))</f>
        <v>2024-25</v>
      </c>
      <c r="E1193" t="str">
        <f>"Q"&amp;ROUNDUP(MONTH(Raw_Data!B1193)/3,0)</f>
        <v>Q3</v>
      </c>
      <c r="F1193" t="str">
        <f>TEXT(Raw_Data!B1193,"mmm")</f>
        <v>Aug</v>
      </c>
      <c r="G1193" t="str">
        <f>TEXT(Raw_Data!B1193,"ddd")</f>
        <v>Wed</v>
      </c>
      <c r="H1193" t="str">
        <f>Raw_Data!D1193</f>
        <v>Invoiced</v>
      </c>
      <c r="I1193" t="str">
        <f>Raw_Data!F1193</f>
        <v>SMS/ Tele-Out</v>
      </c>
      <c r="J1193" t="str">
        <f>Raw_Data!G1193</f>
        <v>Referral-CAM</v>
      </c>
      <c r="K1193" t="str">
        <f>IFERROR(VLOOKUP(J1193,Source_Assumptions!$A:$C,2,0),"Unmapped")</f>
        <v>Referral</v>
      </c>
      <c r="L1193" t="str">
        <f>Raw_Data!H1193</f>
        <v>5TH GEN CITY PE</v>
      </c>
      <c r="M1193" t="str">
        <f>IFERROR(VLOOKUP(L1193,Model_Assumptions!$A:$D,2,0),"Unmapped")</f>
        <v>Mid-size Sedan</v>
      </c>
      <c r="N1193" t="str">
        <f>IFERROR(VLOOKUP(L1193,Model_Assumptions!$A:$D,3,0),"Unmapped")</f>
        <v>Petrol</v>
      </c>
      <c r="O1193">
        <f>IFERROR(VLOOKUP(L1193,Model_Assumptions!$A:$D,4,0),0)</f>
        <v>1250000</v>
      </c>
      <c r="P1193">
        <f>IFERROR(VLOOKUP(J1193,Source_Assumptions!$A:$C,3,0),0)</f>
        <v>150</v>
      </c>
    </row>
    <row r="1194" spans="1:16" x14ac:dyDescent="0.3">
      <c r="A1194">
        <f>Raw_Data!A1194</f>
        <v>1193</v>
      </c>
      <c r="B1194" s="2">
        <f>Raw_Data!B1194</f>
        <v>45526.586574074099</v>
      </c>
      <c r="C1194">
        <f>YEAR(Raw_Data!B1194)</f>
        <v>2024</v>
      </c>
      <c r="D1194" t="str">
        <f>IF(MONTH(Raw_Data!B1194)&gt;=4,YEAR(Raw_Data!B1194)&amp;"-"&amp;RIGHT(YEAR(Raw_Data!B1194)+1,2),YEAR(Raw_Data!B1194)-1&amp;"-"&amp;RIGHT(YEAR(Raw_Data!B1194),2))</f>
        <v>2024-25</v>
      </c>
      <c r="E1194" t="str">
        <f>"Q"&amp;ROUNDUP(MONTH(Raw_Data!B1194)/3,0)</f>
        <v>Q3</v>
      </c>
      <c r="F1194" t="str">
        <f>TEXT(Raw_Data!B1194,"mmm")</f>
        <v>Aug</v>
      </c>
      <c r="G1194" t="str">
        <f>TEXT(Raw_Data!B1194,"ddd")</f>
        <v>Thu</v>
      </c>
      <c r="H1194" t="str">
        <f>Raw_Data!D1194</f>
        <v>Invoiced</v>
      </c>
      <c r="I1194" t="str">
        <f>Raw_Data!F1194</f>
        <v>SMS/ Tele-Out</v>
      </c>
      <c r="J1194" t="str">
        <f>Raw_Data!G1194</f>
        <v>Database Activity(Teleout/SMS)</v>
      </c>
      <c r="K1194" t="str">
        <f>IFERROR(VLOOKUP(J1194,Source_Assumptions!$A:$C,2,0),"Unmapped")</f>
        <v>Outbound/Database</v>
      </c>
      <c r="L1194" t="str">
        <f>Raw_Data!H1194</f>
        <v>ELEVATE</v>
      </c>
      <c r="M1194" t="str">
        <f>IFERROR(VLOOKUP(L1194,Model_Assumptions!$A:$D,2,0),"Unmapped")</f>
        <v>Compact SUV</v>
      </c>
      <c r="N1194" t="str">
        <f>IFERROR(VLOOKUP(L1194,Model_Assumptions!$A:$D,3,0),"Unmapped")</f>
        <v>Petrol</v>
      </c>
      <c r="O1194">
        <f>IFERROR(VLOOKUP(L1194,Model_Assumptions!$A:$D,4,0),0)</f>
        <v>1300000</v>
      </c>
      <c r="P1194">
        <f>IFERROR(VLOOKUP(J1194,Source_Assumptions!$A:$C,3,0),0)</f>
        <v>250</v>
      </c>
    </row>
    <row r="1195" spans="1:16" x14ac:dyDescent="0.3">
      <c r="A1195">
        <f>Raw_Data!A1195</f>
        <v>1194</v>
      </c>
      <c r="B1195" s="2">
        <f>Raw_Data!B1195</f>
        <v>45528.590682870403</v>
      </c>
      <c r="C1195">
        <f>YEAR(Raw_Data!B1195)</f>
        <v>2024</v>
      </c>
      <c r="D1195" t="str">
        <f>IF(MONTH(Raw_Data!B1195)&gt;=4,YEAR(Raw_Data!B1195)&amp;"-"&amp;RIGHT(YEAR(Raw_Data!B1195)+1,2),YEAR(Raw_Data!B1195)-1&amp;"-"&amp;RIGHT(YEAR(Raw_Data!B1195),2))</f>
        <v>2024-25</v>
      </c>
      <c r="E1195" t="str">
        <f>"Q"&amp;ROUNDUP(MONTH(Raw_Data!B1195)/3,0)</f>
        <v>Q3</v>
      </c>
      <c r="F1195" t="str">
        <f>TEXT(Raw_Data!B1195,"mmm")</f>
        <v>Aug</v>
      </c>
      <c r="G1195" t="str">
        <f>TEXT(Raw_Data!B1195,"ddd")</f>
        <v>Sat</v>
      </c>
      <c r="H1195" t="str">
        <f>Raw_Data!D1195</f>
        <v>Invoiced</v>
      </c>
      <c r="I1195" t="str">
        <f>Raw_Data!F1195</f>
        <v>Tele-in</v>
      </c>
      <c r="J1195" t="str">
        <f>Raw_Data!G1195</f>
        <v>Referral-CAM</v>
      </c>
      <c r="K1195" t="str">
        <f>IFERROR(VLOOKUP(J1195,Source_Assumptions!$A:$C,2,0),"Unmapped")</f>
        <v>Referral</v>
      </c>
      <c r="L1195" t="str">
        <f>Raw_Data!H1195</f>
        <v>ELEVATE</v>
      </c>
      <c r="M1195" t="str">
        <f>IFERROR(VLOOKUP(L1195,Model_Assumptions!$A:$D,2,0),"Unmapped")</f>
        <v>Compact SUV</v>
      </c>
      <c r="N1195" t="str">
        <f>IFERROR(VLOOKUP(L1195,Model_Assumptions!$A:$D,3,0),"Unmapped")</f>
        <v>Petrol</v>
      </c>
      <c r="O1195">
        <f>IFERROR(VLOOKUP(L1195,Model_Assumptions!$A:$D,4,0),0)</f>
        <v>1300000</v>
      </c>
      <c r="P1195">
        <f>IFERROR(VLOOKUP(J1195,Source_Assumptions!$A:$C,3,0),0)</f>
        <v>150</v>
      </c>
    </row>
    <row r="1196" spans="1:16" x14ac:dyDescent="0.3">
      <c r="A1196">
        <f>Raw_Data!A1196</f>
        <v>1195</v>
      </c>
      <c r="B1196" s="2">
        <f>Raw_Data!B1196</f>
        <v>45528.5924884259</v>
      </c>
      <c r="C1196">
        <f>YEAR(Raw_Data!B1196)</f>
        <v>2024</v>
      </c>
      <c r="D1196" t="str">
        <f>IF(MONTH(Raw_Data!B1196)&gt;=4,YEAR(Raw_Data!B1196)&amp;"-"&amp;RIGHT(YEAR(Raw_Data!B1196)+1,2),YEAR(Raw_Data!B1196)-1&amp;"-"&amp;RIGHT(YEAR(Raw_Data!B1196),2))</f>
        <v>2024-25</v>
      </c>
      <c r="E1196" t="str">
        <f>"Q"&amp;ROUNDUP(MONTH(Raw_Data!B1196)/3,0)</f>
        <v>Q3</v>
      </c>
      <c r="F1196" t="str">
        <f>TEXT(Raw_Data!B1196,"mmm")</f>
        <v>Aug</v>
      </c>
      <c r="G1196" t="str">
        <f>TEXT(Raw_Data!B1196,"ddd")</f>
        <v>Sat</v>
      </c>
      <c r="H1196" t="str">
        <f>Raw_Data!D1196</f>
        <v>Invoiced</v>
      </c>
      <c r="I1196" t="str">
        <f>Raw_Data!F1196</f>
        <v>Tele-in</v>
      </c>
      <c r="J1196" t="str">
        <f>Raw_Data!G1196</f>
        <v>Referral (HC/HBLP)</v>
      </c>
      <c r="K1196" t="str">
        <f>IFERROR(VLOOKUP(J1196,Source_Assumptions!$A:$C,2,0),"Unmapped")</f>
        <v>Referral (Happy Customer)</v>
      </c>
      <c r="L1196" t="str">
        <f>Raw_Data!H1196</f>
        <v>AMAZE Petrol</v>
      </c>
      <c r="M1196" t="str">
        <f>IFERROR(VLOOKUP(L1196,Model_Assumptions!$A:$D,2,0),"Unmapped")</f>
        <v>Sub-4m Sedan</v>
      </c>
      <c r="N1196" t="str">
        <f>IFERROR(VLOOKUP(L1196,Model_Assumptions!$A:$D,3,0),"Unmapped")</f>
        <v>Petrol</v>
      </c>
      <c r="O1196">
        <f>IFERROR(VLOOKUP(L1196,Model_Assumptions!$A:$D,4,0),0)</f>
        <v>850000</v>
      </c>
      <c r="P1196">
        <f>IFERROR(VLOOKUP(J1196,Source_Assumptions!$A:$C,3,0),0)</f>
        <v>100</v>
      </c>
    </row>
    <row r="1197" spans="1:16" x14ac:dyDescent="0.3">
      <c r="A1197">
        <f>Raw_Data!A1197</f>
        <v>1196</v>
      </c>
      <c r="B1197" s="2">
        <f>Raw_Data!B1197</f>
        <v>45528.611400463</v>
      </c>
      <c r="C1197">
        <f>YEAR(Raw_Data!B1197)</f>
        <v>2024</v>
      </c>
      <c r="D1197" t="str">
        <f>IF(MONTH(Raw_Data!B1197)&gt;=4,YEAR(Raw_Data!B1197)&amp;"-"&amp;RIGHT(YEAR(Raw_Data!B1197)+1,2),YEAR(Raw_Data!B1197)-1&amp;"-"&amp;RIGHT(YEAR(Raw_Data!B1197),2))</f>
        <v>2024-25</v>
      </c>
      <c r="E1197" t="str">
        <f>"Q"&amp;ROUNDUP(MONTH(Raw_Data!B1197)/3,0)</f>
        <v>Q3</v>
      </c>
      <c r="F1197" t="str">
        <f>TEXT(Raw_Data!B1197,"mmm")</f>
        <v>Aug</v>
      </c>
      <c r="G1197" t="str">
        <f>TEXT(Raw_Data!B1197,"ddd")</f>
        <v>Sat</v>
      </c>
      <c r="H1197" t="str">
        <f>Raw_Data!D1197</f>
        <v>Invoiced</v>
      </c>
      <c r="I1197" t="str">
        <f>Raw_Data!F1197</f>
        <v>Web Lead</v>
      </c>
      <c r="J1197" t="str">
        <f>Raw_Data!G1197</f>
        <v>Web</v>
      </c>
      <c r="K1197" t="str">
        <f>IFERROR(VLOOKUP(J1197,Source_Assumptions!$A:$C,2,0),"Unmapped")</f>
        <v>Digital - Owned</v>
      </c>
      <c r="L1197" t="str">
        <f>Raw_Data!H1197</f>
        <v>ELEVATE</v>
      </c>
      <c r="M1197" t="str">
        <f>IFERROR(VLOOKUP(L1197,Model_Assumptions!$A:$D,2,0),"Unmapped")</f>
        <v>Compact SUV</v>
      </c>
      <c r="N1197" t="str">
        <f>IFERROR(VLOOKUP(L1197,Model_Assumptions!$A:$D,3,0),"Unmapped")</f>
        <v>Petrol</v>
      </c>
      <c r="O1197">
        <f>IFERROR(VLOOKUP(L1197,Model_Assumptions!$A:$D,4,0),0)</f>
        <v>1300000</v>
      </c>
      <c r="P1197">
        <f>IFERROR(VLOOKUP(J1197,Source_Assumptions!$A:$C,3,0),0)</f>
        <v>300</v>
      </c>
    </row>
    <row r="1198" spans="1:16" x14ac:dyDescent="0.3">
      <c r="A1198">
        <f>Raw_Data!A1198</f>
        <v>1197</v>
      </c>
      <c r="B1198" s="2">
        <f>Raw_Data!B1198</f>
        <v>45528.612662036998</v>
      </c>
      <c r="C1198">
        <f>YEAR(Raw_Data!B1198)</f>
        <v>2024</v>
      </c>
      <c r="D1198" t="str">
        <f>IF(MONTH(Raw_Data!B1198)&gt;=4,YEAR(Raw_Data!B1198)&amp;"-"&amp;RIGHT(YEAR(Raw_Data!B1198)+1,2),YEAR(Raw_Data!B1198)-1&amp;"-"&amp;RIGHT(YEAR(Raw_Data!B1198),2))</f>
        <v>2024-25</v>
      </c>
      <c r="E1198" t="str">
        <f>"Q"&amp;ROUNDUP(MONTH(Raw_Data!B1198)/3,0)</f>
        <v>Q3</v>
      </c>
      <c r="F1198" t="str">
        <f>TEXT(Raw_Data!B1198,"mmm")</f>
        <v>Aug</v>
      </c>
      <c r="G1198" t="str">
        <f>TEXT(Raw_Data!B1198,"ddd")</f>
        <v>Sat</v>
      </c>
      <c r="H1198" t="str">
        <f>Raw_Data!D1198</f>
        <v>Invoiced</v>
      </c>
      <c r="I1198" t="str">
        <f>Raw_Data!F1198</f>
        <v>Tele-in</v>
      </c>
      <c r="J1198" t="str">
        <f>Raw_Data!G1198</f>
        <v>Dealer Webpage Tele-In</v>
      </c>
      <c r="K1198" t="str">
        <f>IFERROR(VLOOKUP(J1198,Source_Assumptions!$A:$C,2,0),"Unmapped")</f>
        <v>Digital - Owned</v>
      </c>
      <c r="L1198" t="str">
        <f>Raw_Data!H1198</f>
        <v>ELEVATE</v>
      </c>
      <c r="M1198" t="str">
        <f>IFERROR(VLOOKUP(L1198,Model_Assumptions!$A:$D,2,0),"Unmapped")</f>
        <v>Compact SUV</v>
      </c>
      <c r="N1198" t="str">
        <f>IFERROR(VLOOKUP(L1198,Model_Assumptions!$A:$D,3,0),"Unmapped")</f>
        <v>Petrol</v>
      </c>
      <c r="O1198">
        <f>IFERROR(VLOOKUP(L1198,Model_Assumptions!$A:$D,4,0),0)</f>
        <v>1300000</v>
      </c>
      <c r="P1198">
        <f>IFERROR(VLOOKUP(J1198,Source_Assumptions!$A:$C,3,0),0)</f>
        <v>300</v>
      </c>
    </row>
    <row r="1199" spans="1:16" x14ac:dyDescent="0.3">
      <c r="A1199">
        <f>Raw_Data!A1199</f>
        <v>1198</v>
      </c>
      <c r="B1199" s="2">
        <f>Raw_Data!B1199</f>
        <v>45530.759305555599</v>
      </c>
      <c r="C1199">
        <f>YEAR(Raw_Data!B1199)</f>
        <v>2024</v>
      </c>
      <c r="D1199" t="str">
        <f>IF(MONTH(Raw_Data!B1199)&gt;=4,YEAR(Raw_Data!B1199)&amp;"-"&amp;RIGHT(YEAR(Raw_Data!B1199)+1,2),YEAR(Raw_Data!B1199)-1&amp;"-"&amp;RIGHT(YEAR(Raw_Data!B1199),2))</f>
        <v>2024-25</v>
      </c>
      <c r="E1199" t="str">
        <f>"Q"&amp;ROUNDUP(MONTH(Raw_Data!B1199)/3,0)</f>
        <v>Q3</v>
      </c>
      <c r="F1199" t="str">
        <f>TEXT(Raw_Data!B1199,"mmm")</f>
        <v>Aug</v>
      </c>
      <c r="G1199" t="str">
        <f>TEXT(Raw_Data!B1199,"ddd")</f>
        <v>Mon</v>
      </c>
      <c r="H1199" t="str">
        <f>Raw_Data!D1199</f>
        <v>Invoiced</v>
      </c>
      <c r="I1199" t="str">
        <f>Raw_Data!F1199</f>
        <v>Walk-in Showroom</v>
      </c>
      <c r="J1199" t="str">
        <f>Raw_Data!G1199</f>
        <v>Referral (HC/HBLP)</v>
      </c>
      <c r="K1199" t="str">
        <f>IFERROR(VLOOKUP(J1199,Source_Assumptions!$A:$C,2,0),"Unmapped")</f>
        <v>Referral (Happy Customer)</v>
      </c>
      <c r="L1199" t="str">
        <f>Raw_Data!H1199</f>
        <v>ELEVATE</v>
      </c>
      <c r="M1199" t="str">
        <f>IFERROR(VLOOKUP(L1199,Model_Assumptions!$A:$D,2,0),"Unmapped")</f>
        <v>Compact SUV</v>
      </c>
      <c r="N1199" t="str">
        <f>IFERROR(VLOOKUP(L1199,Model_Assumptions!$A:$D,3,0),"Unmapped")</f>
        <v>Petrol</v>
      </c>
      <c r="O1199">
        <f>IFERROR(VLOOKUP(L1199,Model_Assumptions!$A:$D,4,0),0)</f>
        <v>1300000</v>
      </c>
      <c r="P1199">
        <f>IFERROR(VLOOKUP(J1199,Source_Assumptions!$A:$C,3,0),0)</f>
        <v>100</v>
      </c>
    </row>
    <row r="1200" spans="1:16" x14ac:dyDescent="0.3">
      <c r="A1200">
        <f>Raw_Data!A1200</f>
        <v>1199</v>
      </c>
      <c r="B1200" s="2">
        <f>Raw_Data!B1200</f>
        <v>45530.7653125</v>
      </c>
      <c r="C1200">
        <f>YEAR(Raw_Data!B1200)</f>
        <v>2024</v>
      </c>
      <c r="D1200" t="str">
        <f>IF(MONTH(Raw_Data!B1200)&gt;=4,YEAR(Raw_Data!B1200)&amp;"-"&amp;RIGHT(YEAR(Raw_Data!B1200)+1,2),YEAR(Raw_Data!B1200)-1&amp;"-"&amp;RIGHT(YEAR(Raw_Data!B1200),2))</f>
        <v>2024-25</v>
      </c>
      <c r="E1200" t="str">
        <f>"Q"&amp;ROUNDUP(MONTH(Raw_Data!B1200)/3,0)</f>
        <v>Q3</v>
      </c>
      <c r="F1200" t="str">
        <f>TEXT(Raw_Data!B1200,"mmm")</f>
        <v>Aug</v>
      </c>
      <c r="G1200" t="str">
        <f>TEXT(Raw_Data!B1200,"ddd")</f>
        <v>Mon</v>
      </c>
      <c r="H1200" t="str">
        <f>Raw_Data!D1200</f>
        <v>Invoiced</v>
      </c>
      <c r="I1200" t="str">
        <f>Raw_Data!F1200</f>
        <v>Tele-in</v>
      </c>
      <c r="J1200" t="str">
        <f>Raw_Data!G1200</f>
        <v>Referral-CAM</v>
      </c>
      <c r="K1200" t="str">
        <f>IFERROR(VLOOKUP(J1200,Source_Assumptions!$A:$C,2,0),"Unmapped")</f>
        <v>Referral</v>
      </c>
      <c r="L1200" t="str">
        <f>Raw_Data!H1200</f>
        <v>AMAZE Petrol</v>
      </c>
      <c r="M1200" t="str">
        <f>IFERROR(VLOOKUP(L1200,Model_Assumptions!$A:$D,2,0),"Unmapped")</f>
        <v>Sub-4m Sedan</v>
      </c>
      <c r="N1200" t="str">
        <f>IFERROR(VLOOKUP(L1200,Model_Assumptions!$A:$D,3,0),"Unmapped")</f>
        <v>Petrol</v>
      </c>
      <c r="O1200">
        <f>IFERROR(VLOOKUP(L1200,Model_Assumptions!$A:$D,4,0),0)</f>
        <v>850000</v>
      </c>
      <c r="P1200">
        <f>IFERROR(VLOOKUP(J1200,Source_Assumptions!$A:$C,3,0),0)</f>
        <v>150</v>
      </c>
    </row>
    <row r="1201" spans="1:16" x14ac:dyDescent="0.3">
      <c r="A1201">
        <f>Raw_Data!A1201</f>
        <v>1200</v>
      </c>
      <c r="B1201" s="2">
        <f>Raw_Data!B1201</f>
        <v>45530.766145833302</v>
      </c>
      <c r="C1201">
        <f>YEAR(Raw_Data!B1201)</f>
        <v>2024</v>
      </c>
      <c r="D1201" t="str">
        <f>IF(MONTH(Raw_Data!B1201)&gt;=4,YEAR(Raw_Data!B1201)&amp;"-"&amp;RIGHT(YEAR(Raw_Data!B1201)+1,2),YEAR(Raw_Data!B1201)-1&amp;"-"&amp;RIGHT(YEAR(Raw_Data!B1201),2))</f>
        <v>2024-25</v>
      </c>
      <c r="E1201" t="str">
        <f>"Q"&amp;ROUNDUP(MONTH(Raw_Data!B1201)/3,0)</f>
        <v>Q3</v>
      </c>
      <c r="F1201" t="str">
        <f>TEXT(Raw_Data!B1201,"mmm")</f>
        <v>Aug</v>
      </c>
      <c r="G1201" t="str">
        <f>TEXT(Raw_Data!B1201,"ddd")</f>
        <v>Mon</v>
      </c>
      <c r="H1201" t="str">
        <f>Raw_Data!D1201</f>
        <v>Invoiced</v>
      </c>
      <c r="I1201" t="str">
        <f>Raw_Data!F1201</f>
        <v>Tele-in</v>
      </c>
      <c r="J1201" t="str">
        <f>Raw_Data!G1201</f>
        <v>Dealer Webpage Tele-In</v>
      </c>
      <c r="K1201" t="str">
        <f>IFERROR(VLOOKUP(J1201,Source_Assumptions!$A:$C,2,0),"Unmapped")</f>
        <v>Digital - Owned</v>
      </c>
      <c r="L1201" t="str">
        <f>Raw_Data!H1201</f>
        <v>AMAZE Petrol</v>
      </c>
      <c r="M1201" t="str">
        <f>IFERROR(VLOOKUP(L1201,Model_Assumptions!$A:$D,2,0),"Unmapped")</f>
        <v>Sub-4m Sedan</v>
      </c>
      <c r="N1201" t="str">
        <f>IFERROR(VLOOKUP(L1201,Model_Assumptions!$A:$D,3,0),"Unmapped")</f>
        <v>Petrol</v>
      </c>
      <c r="O1201">
        <f>IFERROR(VLOOKUP(L1201,Model_Assumptions!$A:$D,4,0),0)</f>
        <v>850000</v>
      </c>
      <c r="P1201">
        <f>IFERROR(VLOOKUP(J1201,Source_Assumptions!$A:$C,3,0),0)</f>
        <v>300</v>
      </c>
    </row>
    <row r="1202" spans="1:16" x14ac:dyDescent="0.3">
      <c r="A1202">
        <f>Raw_Data!A1202</f>
        <v>1201</v>
      </c>
      <c r="B1202" s="2">
        <f>Raw_Data!B1202</f>
        <v>45530.7746990741</v>
      </c>
      <c r="C1202">
        <f>YEAR(Raw_Data!B1202)</f>
        <v>2024</v>
      </c>
      <c r="D1202" t="str">
        <f>IF(MONTH(Raw_Data!B1202)&gt;=4,YEAR(Raw_Data!B1202)&amp;"-"&amp;RIGHT(YEAR(Raw_Data!B1202)+1,2),YEAR(Raw_Data!B1202)-1&amp;"-"&amp;RIGHT(YEAR(Raw_Data!B1202),2))</f>
        <v>2024-25</v>
      </c>
      <c r="E1202" t="str">
        <f>"Q"&amp;ROUNDUP(MONTH(Raw_Data!B1202)/3,0)</f>
        <v>Q3</v>
      </c>
      <c r="F1202" t="str">
        <f>TEXT(Raw_Data!B1202,"mmm")</f>
        <v>Aug</v>
      </c>
      <c r="G1202" t="str">
        <f>TEXT(Raw_Data!B1202,"ddd")</f>
        <v>Mon</v>
      </c>
      <c r="H1202" t="str">
        <f>Raw_Data!D1202</f>
        <v>Invoiced</v>
      </c>
      <c r="I1202" t="str">
        <f>Raw_Data!F1202</f>
        <v>SMS/ Tele-Out</v>
      </c>
      <c r="J1202" t="str">
        <f>Raw_Data!G1202</f>
        <v>Database Activity(Teleout/SMS)</v>
      </c>
      <c r="K1202" t="str">
        <f>IFERROR(VLOOKUP(J1202,Source_Assumptions!$A:$C,2,0),"Unmapped")</f>
        <v>Outbound/Database</v>
      </c>
      <c r="L1202" t="str">
        <f>Raw_Data!H1202</f>
        <v>ELEVATE</v>
      </c>
      <c r="M1202" t="str">
        <f>IFERROR(VLOOKUP(L1202,Model_Assumptions!$A:$D,2,0),"Unmapped")</f>
        <v>Compact SUV</v>
      </c>
      <c r="N1202" t="str">
        <f>IFERROR(VLOOKUP(L1202,Model_Assumptions!$A:$D,3,0),"Unmapped")</f>
        <v>Petrol</v>
      </c>
      <c r="O1202">
        <f>IFERROR(VLOOKUP(L1202,Model_Assumptions!$A:$D,4,0),0)</f>
        <v>1300000</v>
      </c>
      <c r="P1202">
        <f>IFERROR(VLOOKUP(J1202,Source_Assumptions!$A:$C,3,0),0)</f>
        <v>250</v>
      </c>
    </row>
    <row r="1203" spans="1:16" x14ac:dyDescent="0.3">
      <c r="A1203">
        <f>Raw_Data!A1203</f>
        <v>1202</v>
      </c>
      <c r="B1203" s="2">
        <f>Raw_Data!B1203</f>
        <v>45531.718900462998</v>
      </c>
      <c r="C1203">
        <f>YEAR(Raw_Data!B1203)</f>
        <v>2024</v>
      </c>
      <c r="D1203" t="str">
        <f>IF(MONTH(Raw_Data!B1203)&gt;=4,YEAR(Raw_Data!B1203)&amp;"-"&amp;RIGHT(YEAR(Raw_Data!B1203)+1,2),YEAR(Raw_Data!B1203)-1&amp;"-"&amp;RIGHT(YEAR(Raw_Data!B1203),2))</f>
        <v>2024-25</v>
      </c>
      <c r="E1203" t="str">
        <f>"Q"&amp;ROUNDUP(MONTH(Raw_Data!B1203)/3,0)</f>
        <v>Q3</v>
      </c>
      <c r="F1203" t="str">
        <f>TEXT(Raw_Data!B1203,"mmm")</f>
        <v>Aug</v>
      </c>
      <c r="G1203" t="str">
        <f>TEXT(Raw_Data!B1203,"ddd")</f>
        <v>Tue</v>
      </c>
      <c r="H1203" t="str">
        <f>Raw_Data!D1203</f>
        <v>Invoiced</v>
      </c>
      <c r="I1203" t="str">
        <f>Raw_Data!F1203</f>
        <v>Tele-in</v>
      </c>
      <c r="J1203" t="str">
        <f>Raw_Data!G1203</f>
        <v>Dealer Webpage Tele-In</v>
      </c>
      <c r="K1203" t="str">
        <f>IFERROR(VLOOKUP(J1203,Source_Assumptions!$A:$C,2,0),"Unmapped")</f>
        <v>Digital - Owned</v>
      </c>
      <c r="L1203" t="str">
        <f>Raw_Data!H1203</f>
        <v>ELEVATE</v>
      </c>
      <c r="M1203" t="str">
        <f>IFERROR(VLOOKUP(L1203,Model_Assumptions!$A:$D,2,0),"Unmapped")</f>
        <v>Compact SUV</v>
      </c>
      <c r="N1203" t="str">
        <f>IFERROR(VLOOKUP(L1203,Model_Assumptions!$A:$D,3,0),"Unmapped")</f>
        <v>Petrol</v>
      </c>
      <c r="O1203">
        <f>IFERROR(VLOOKUP(L1203,Model_Assumptions!$A:$D,4,0),0)</f>
        <v>1300000</v>
      </c>
      <c r="P1203">
        <f>IFERROR(VLOOKUP(J1203,Source_Assumptions!$A:$C,3,0),0)</f>
        <v>300</v>
      </c>
    </row>
    <row r="1204" spans="1:16" x14ac:dyDescent="0.3">
      <c r="A1204">
        <f>Raw_Data!A1204</f>
        <v>1203</v>
      </c>
      <c r="B1204" s="2">
        <f>Raw_Data!B1204</f>
        <v>45531.760185185201</v>
      </c>
      <c r="C1204">
        <f>YEAR(Raw_Data!B1204)</f>
        <v>2024</v>
      </c>
      <c r="D1204" t="str">
        <f>IF(MONTH(Raw_Data!B1204)&gt;=4,YEAR(Raw_Data!B1204)&amp;"-"&amp;RIGHT(YEAR(Raw_Data!B1204)+1,2),YEAR(Raw_Data!B1204)-1&amp;"-"&amp;RIGHT(YEAR(Raw_Data!B1204),2))</f>
        <v>2024-25</v>
      </c>
      <c r="E1204" t="str">
        <f>"Q"&amp;ROUNDUP(MONTH(Raw_Data!B1204)/3,0)</f>
        <v>Q3</v>
      </c>
      <c r="F1204" t="str">
        <f>TEXT(Raw_Data!B1204,"mmm")</f>
        <v>Aug</v>
      </c>
      <c r="G1204" t="str">
        <f>TEXT(Raw_Data!B1204,"ddd")</f>
        <v>Tue</v>
      </c>
      <c r="H1204" t="str">
        <f>Raw_Data!D1204</f>
        <v>Invoiced</v>
      </c>
      <c r="I1204" t="str">
        <f>Raw_Data!F1204</f>
        <v>Tele-in</v>
      </c>
      <c r="J1204" t="str">
        <f>Raw_Data!G1204</f>
        <v>Dealer Webpage Tele-In</v>
      </c>
      <c r="K1204" t="str">
        <f>IFERROR(VLOOKUP(J1204,Source_Assumptions!$A:$C,2,0),"Unmapped")</f>
        <v>Digital - Owned</v>
      </c>
      <c r="L1204" t="str">
        <f>Raw_Data!H1204</f>
        <v>AMAZE Petrol</v>
      </c>
      <c r="M1204" t="str">
        <f>IFERROR(VLOOKUP(L1204,Model_Assumptions!$A:$D,2,0),"Unmapped")</f>
        <v>Sub-4m Sedan</v>
      </c>
      <c r="N1204" t="str">
        <f>IFERROR(VLOOKUP(L1204,Model_Assumptions!$A:$D,3,0),"Unmapped")</f>
        <v>Petrol</v>
      </c>
      <c r="O1204">
        <f>IFERROR(VLOOKUP(L1204,Model_Assumptions!$A:$D,4,0),0)</f>
        <v>850000</v>
      </c>
      <c r="P1204">
        <f>IFERROR(VLOOKUP(J1204,Source_Assumptions!$A:$C,3,0),0)</f>
        <v>300</v>
      </c>
    </row>
    <row r="1205" spans="1:16" x14ac:dyDescent="0.3">
      <c r="A1205">
        <f>Raw_Data!A1205</f>
        <v>1204</v>
      </c>
      <c r="B1205" s="2">
        <f>Raw_Data!B1205</f>
        <v>45533.6968402778</v>
      </c>
      <c r="C1205">
        <f>YEAR(Raw_Data!B1205)</f>
        <v>2024</v>
      </c>
      <c r="D1205" t="str">
        <f>IF(MONTH(Raw_Data!B1205)&gt;=4,YEAR(Raw_Data!B1205)&amp;"-"&amp;RIGHT(YEAR(Raw_Data!B1205)+1,2),YEAR(Raw_Data!B1205)-1&amp;"-"&amp;RIGHT(YEAR(Raw_Data!B1205),2))</f>
        <v>2024-25</v>
      </c>
      <c r="E1205" t="str">
        <f>"Q"&amp;ROUNDUP(MONTH(Raw_Data!B1205)/3,0)</f>
        <v>Q3</v>
      </c>
      <c r="F1205" t="str">
        <f>TEXT(Raw_Data!B1205,"mmm")</f>
        <v>Aug</v>
      </c>
      <c r="G1205" t="str">
        <f>TEXT(Raw_Data!B1205,"ddd")</f>
        <v>Thu</v>
      </c>
      <c r="H1205" t="str">
        <f>Raw_Data!D1205</f>
        <v>Invoiced</v>
      </c>
      <c r="I1205" t="str">
        <f>Raw_Data!F1205</f>
        <v>Tele-in</v>
      </c>
      <c r="J1205" t="str">
        <f>Raw_Data!G1205</f>
        <v>I-BAP Referral</v>
      </c>
      <c r="K1205" t="str">
        <f>IFERROR(VLOOKUP(J1205,Source_Assumptions!$A:$C,2,0),"Unmapped")</f>
        <v>Referral (Insurance/Banking Partner)</v>
      </c>
      <c r="L1205" t="str">
        <f>Raw_Data!H1205</f>
        <v>5TH GEN CITY PE</v>
      </c>
      <c r="M1205" t="str">
        <f>IFERROR(VLOOKUP(L1205,Model_Assumptions!$A:$D,2,0),"Unmapped")</f>
        <v>Mid-size Sedan</v>
      </c>
      <c r="N1205" t="str">
        <f>IFERROR(VLOOKUP(L1205,Model_Assumptions!$A:$D,3,0),"Unmapped")</f>
        <v>Petrol</v>
      </c>
      <c r="O1205">
        <f>IFERROR(VLOOKUP(L1205,Model_Assumptions!$A:$D,4,0),0)</f>
        <v>1250000</v>
      </c>
      <c r="P1205">
        <f>IFERROR(VLOOKUP(J1205,Source_Assumptions!$A:$C,3,0),0)</f>
        <v>150</v>
      </c>
    </row>
    <row r="1206" spans="1:16" x14ac:dyDescent="0.3">
      <c r="A1206">
        <f>Raw_Data!A1206</f>
        <v>1205</v>
      </c>
      <c r="B1206" s="2">
        <f>Raw_Data!B1206</f>
        <v>45533.711863425902</v>
      </c>
      <c r="C1206">
        <f>YEAR(Raw_Data!B1206)</f>
        <v>2024</v>
      </c>
      <c r="D1206" t="str">
        <f>IF(MONTH(Raw_Data!B1206)&gt;=4,YEAR(Raw_Data!B1206)&amp;"-"&amp;RIGHT(YEAR(Raw_Data!B1206)+1,2),YEAR(Raw_Data!B1206)-1&amp;"-"&amp;RIGHT(YEAR(Raw_Data!B1206),2))</f>
        <v>2024-25</v>
      </c>
      <c r="E1206" t="str">
        <f>"Q"&amp;ROUNDUP(MONTH(Raw_Data!B1206)/3,0)</f>
        <v>Q3</v>
      </c>
      <c r="F1206" t="str">
        <f>TEXT(Raw_Data!B1206,"mmm")</f>
        <v>Aug</v>
      </c>
      <c r="G1206" t="str">
        <f>TEXT(Raw_Data!B1206,"ddd")</f>
        <v>Thu</v>
      </c>
      <c r="H1206" t="str">
        <f>Raw_Data!D1206</f>
        <v>Invoiced</v>
      </c>
      <c r="I1206" t="str">
        <f>Raw_Data!F1206</f>
        <v>Tele-in</v>
      </c>
      <c r="J1206" t="str">
        <f>Raw_Data!G1206</f>
        <v>Referral-CAM</v>
      </c>
      <c r="K1206" t="str">
        <f>IFERROR(VLOOKUP(J1206,Source_Assumptions!$A:$C,2,0),"Unmapped")</f>
        <v>Referral</v>
      </c>
      <c r="L1206" t="str">
        <f>Raw_Data!H1206</f>
        <v>ELEVATE</v>
      </c>
      <c r="M1206" t="str">
        <f>IFERROR(VLOOKUP(L1206,Model_Assumptions!$A:$D,2,0),"Unmapped")</f>
        <v>Compact SUV</v>
      </c>
      <c r="N1206" t="str">
        <f>IFERROR(VLOOKUP(L1206,Model_Assumptions!$A:$D,3,0),"Unmapped")</f>
        <v>Petrol</v>
      </c>
      <c r="O1206">
        <f>IFERROR(VLOOKUP(L1206,Model_Assumptions!$A:$D,4,0),0)</f>
        <v>1300000</v>
      </c>
      <c r="P1206">
        <f>IFERROR(VLOOKUP(J1206,Source_Assumptions!$A:$C,3,0),0)</f>
        <v>150</v>
      </c>
    </row>
    <row r="1207" spans="1:16" x14ac:dyDescent="0.3">
      <c r="A1207">
        <f>Raw_Data!A1207</f>
        <v>1206</v>
      </c>
      <c r="B1207" s="2">
        <f>Raw_Data!B1207</f>
        <v>45534.681412037004</v>
      </c>
      <c r="C1207">
        <f>YEAR(Raw_Data!B1207)</f>
        <v>2024</v>
      </c>
      <c r="D1207" t="str">
        <f>IF(MONTH(Raw_Data!B1207)&gt;=4,YEAR(Raw_Data!B1207)&amp;"-"&amp;RIGHT(YEAR(Raw_Data!B1207)+1,2),YEAR(Raw_Data!B1207)-1&amp;"-"&amp;RIGHT(YEAR(Raw_Data!B1207),2))</f>
        <v>2024-25</v>
      </c>
      <c r="E1207" t="str">
        <f>"Q"&amp;ROUNDUP(MONTH(Raw_Data!B1207)/3,0)</f>
        <v>Q3</v>
      </c>
      <c r="F1207" t="str">
        <f>TEXT(Raw_Data!B1207,"mmm")</f>
        <v>Aug</v>
      </c>
      <c r="G1207" t="str">
        <f>TEXT(Raw_Data!B1207,"ddd")</f>
        <v>Fri</v>
      </c>
      <c r="H1207" t="str">
        <f>Raw_Data!D1207</f>
        <v>Invoiced</v>
      </c>
      <c r="I1207" t="str">
        <f>Raw_Data!F1207</f>
        <v>Tele-in</v>
      </c>
      <c r="J1207" t="str">
        <f>Raw_Data!G1207</f>
        <v>Referral-CAM</v>
      </c>
      <c r="K1207" t="str">
        <f>IFERROR(VLOOKUP(J1207,Source_Assumptions!$A:$C,2,0),"Unmapped")</f>
        <v>Referral</v>
      </c>
      <c r="L1207" t="str">
        <f>Raw_Data!H1207</f>
        <v>ELEVATE</v>
      </c>
      <c r="M1207" t="str">
        <f>IFERROR(VLOOKUP(L1207,Model_Assumptions!$A:$D,2,0),"Unmapped")</f>
        <v>Compact SUV</v>
      </c>
      <c r="N1207" t="str">
        <f>IFERROR(VLOOKUP(L1207,Model_Assumptions!$A:$D,3,0),"Unmapped")</f>
        <v>Petrol</v>
      </c>
      <c r="O1207">
        <f>IFERROR(VLOOKUP(L1207,Model_Assumptions!$A:$D,4,0),0)</f>
        <v>1300000</v>
      </c>
      <c r="P1207">
        <f>IFERROR(VLOOKUP(J1207,Source_Assumptions!$A:$C,3,0),0)</f>
        <v>150</v>
      </c>
    </row>
    <row r="1208" spans="1:16" x14ac:dyDescent="0.3">
      <c r="A1208">
        <f>Raw_Data!A1208</f>
        <v>1207</v>
      </c>
      <c r="B1208" s="2">
        <f>Raw_Data!B1208</f>
        <v>45534.689490740697</v>
      </c>
      <c r="C1208">
        <f>YEAR(Raw_Data!B1208)</f>
        <v>2024</v>
      </c>
      <c r="D1208" t="str">
        <f>IF(MONTH(Raw_Data!B1208)&gt;=4,YEAR(Raw_Data!B1208)&amp;"-"&amp;RIGHT(YEAR(Raw_Data!B1208)+1,2),YEAR(Raw_Data!B1208)-1&amp;"-"&amp;RIGHT(YEAR(Raw_Data!B1208),2))</f>
        <v>2024-25</v>
      </c>
      <c r="E1208" t="str">
        <f>"Q"&amp;ROUNDUP(MONTH(Raw_Data!B1208)/3,0)</f>
        <v>Q3</v>
      </c>
      <c r="F1208" t="str">
        <f>TEXT(Raw_Data!B1208,"mmm")</f>
        <v>Aug</v>
      </c>
      <c r="G1208" t="str">
        <f>TEXT(Raw_Data!B1208,"ddd")</f>
        <v>Fri</v>
      </c>
      <c r="H1208" t="str">
        <f>Raw_Data!D1208</f>
        <v>Invoiced</v>
      </c>
      <c r="I1208" t="str">
        <f>Raw_Data!F1208</f>
        <v>SMS/ Tele-Out</v>
      </c>
      <c r="J1208" t="str">
        <f>Raw_Data!G1208</f>
        <v>Dealer Webpage Tele-In</v>
      </c>
      <c r="K1208" t="str">
        <f>IFERROR(VLOOKUP(J1208,Source_Assumptions!$A:$C,2,0),"Unmapped")</f>
        <v>Digital - Owned</v>
      </c>
      <c r="L1208" t="str">
        <f>Raw_Data!H1208</f>
        <v>5TH GEN CITY e:HEV</v>
      </c>
      <c r="M1208" t="str">
        <f>IFERROR(VLOOKUP(L1208,Model_Assumptions!$A:$D,2,0),"Unmapped")</f>
        <v>Mid-size Sedan</v>
      </c>
      <c r="N1208" t="str">
        <f>IFERROR(VLOOKUP(L1208,Model_Assumptions!$A:$D,3,0),"Unmapped")</f>
        <v>Hybrid</v>
      </c>
      <c r="O1208">
        <f>IFERROR(VLOOKUP(L1208,Model_Assumptions!$A:$D,4,0),0)</f>
        <v>1950000</v>
      </c>
      <c r="P1208">
        <f>IFERROR(VLOOKUP(J1208,Source_Assumptions!$A:$C,3,0),0)</f>
        <v>300</v>
      </c>
    </row>
    <row r="1209" spans="1:16" x14ac:dyDescent="0.3">
      <c r="A1209">
        <f>Raw_Data!A1209</f>
        <v>1208</v>
      </c>
      <c r="B1209" s="2">
        <f>Raw_Data!B1209</f>
        <v>45535.647870370398</v>
      </c>
      <c r="C1209">
        <f>YEAR(Raw_Data!B1209)</f>
        <v>2024</v>
      </c>
      <c r="D1209" t="str">
        <f>IF(MONTH(Raw_Data!B1209)&gt;=4,YEAR(Raw_Data!B1209)&amp;"-"&amp;RIGHT(YEAR(Raw_Data!B1209)+1,2),YEAR(Raw_Data!B1209)-1&amp;"-"&amp;RIGHT(YEAR(Raw_Data!B1209),2))</f>
        <v>2024-25</v>
      </c>
      <c r="E1209" t="str">
        <f>"Q"&amp;ROUNDUP(MONTH(Raw_Data!B1209)/3,0)</f>
        <v>Q3</v>
      </c>
      <c r="F1209" t="str">
        <f>TEXT(Raw_Data!B1209,"mmm")</f>
        <v>Aug</v>
      </c>
      <c r="G1209" t="str">
        <f>TEXT(Raw_Data!B1209,"ddd")</f>
        <v>Sat</v>
      </c>
      <c r="H1209" t="str">
        <f>Raw_Data!D1209</f>
        <v>Invoiced</v>
      </c>
      <c r="I1209" t="str">
        <f>Raw_Data!F1209</f>
        <v>SMS/ Tele-Out</v>
      </c>
      <c r="J1209" t="str">
        <f>Raw_Data!G1209</f>
        <v>I-BAP Self</v>
      </c>
      <c r="K1209" t="str">
        <f>IFERROR(VLOOKUP(J1209,Source_Assumptions!$A:$C,2,0),"Unmapped")</f>
        <v>Referral (Insurance/Banking Partner)</v>
      </c>
      <c r="L1209" t="str">
        <f>Raw_Data!H1209</f>
        <v>ELEVATE</v>
      </c>
      <c r="M1209" t="str">
        <f>IFERROR(VLOOKUP(L1209,Model_Assumptions!$A:$D,2,0),"Unmapped")</f>
        <v>Compact SUV</v>
      </c>
      <c r="N1209" t="str">
        <f>IFERROR(VLOOKUP(L1209,Model_Assumptions!$A:$D,3,0),"Unmapped")</f>
        <v>Petrol</v>
      </c>
      <c r="O1209">
        <f>IFERROR(VLOOKUP(L1209,Model_Assumptions!$A:$D,4,0),0)</f>
        <v>1300000</v>
      </c>
      <c r="P1209">
        <f>IFERROR(VLOOKUP(J1209,Source_Assumptions!$A:$C,3,0),0)</f>
        <v>100</v>
      </c>
    </row>
    <row r="1210" spans="1:16" x14ac:dyDescent="0.3">
      <c r="A1210">
        <f>Raw_Data!A1210</f>
        <v>1209</v>
      </c>
      <c r="B1210" s="2">
        <f>Raw_Data!B1210</f>
        <v>45535.668553240699</v>
      </c>
      <c r="C1210">
        <f>YEAR(Raw_Data!B1210)</f>
        <v>2024</v>
      </c>
      <c r="D1210" t="str">
        <f>IF(MONTH(Raw_Data!B1210)&gt;=4,YEAR(Raw_Data!B1210)&amp;"-"&amp;RIGHT(YEAR(Raw_Data!B1210)+1,2),YEAR(Raw_Data!B1210)-1&amp;"-"&amp;RIGHT(YEAR(Raw_Data!B1210),2))</f>
        <v>2024-25</v>
      </c>
      <c r="E1210" t="str">
        <f>"Q"&amp;ROUNDUP(MONTH(Raw_Data!B1210)/3,0)</f>
        <v>Q3</v>
      </c>
      <c r="F1210" t="str">
        <f>TEXT(Raw_Data!B1210,"mmm")</f>
        <v>Aug</v>
      </c>
      <c r="G1210" t="str">
        <f>TEXT(Raw_Data!B1210,"ddd")</f>
        <v>Sat</v>
      </c>
      <c r="H1210" t="str">
        <f>Raw_Data!D1210</f>
        <v>Invoiced</v>
      </c>
      <c r="I1210" t="str">
        <f>Raw_Data!F1210</f>
        <v>Tele-in</v>
      </c>
      <c r="J1210" t="str">
        <f>Raw_Data!G1210</f>
        <v>Dealer Webpage Lead</v>
      </c>
      <c r="K1210" t="str">
        <f>IFERROR(VLOOKUP(J1210,Source_Assumptions!$A:$C,2,0),"Unmapped")</f>
        <v>Digital - Owned</v>
      </c>
      <c r="L1210" t="str">
        <f>Raw_Data!H1210</f>
        <v>ELEVATE</v>
      </c>
      <c r="M1210" t="str">
        <f>IFERROR(VLOOKUP(L1210,Model_Assumptions!$A:$D,2,0),"Unmapped")</f>
        <v>Compact SUV</v>
      </c>
      <c r="N1210" t="str">
        <f>IFERROR(VLOOKUP(L1210,Model_Assumptions!$A:$D,3,0),"Unmapped")</f>
        <v>Petrol</v>
      </c>
      <c r="O1210">
        <f>IFERROR(VLOOKUP(L1210,Model_Assumptions!$A:$D,4,0),0)</f>
        <v>1300000</v>
      </c>
      <c r="P1210">
        <f>IFERROR(VLOOKUP(J1210,Source_Assumptions!$A:$C,3,0),0)</f>
        <v>300</v>
      </c>
    </row>
    <row r="1211" spans="1:16" x14ac:dyDescent="0.3">
      <c r="A1211">
        <f>Raw_Data!A1211</f>
        <v>1210</v>
      </c>
      <c r="B1211" s="2">
        <f>Raw_Data!B1211</f>
        <v>45535.785347222198</v>
      </c>
      <c r="C1211">
        <f>YEAR(Raw_Data!B1211)</f>
        <v>2024</v>
      </c>
      <c r="D1211" t="str">
        <f>IF(MONTH(Raw_Data!B1211)&gt;=4,YEAR(Raw_Data!B1211)&amp;"-"&amp;RIGHT(YEAR(Raw_Data!B1211)+1,2),YEAR(Raw_Data!B1211)-1&amp;"-"&amp;RIGHT(YEAR(Raw_Data!B1211),2))</f>
        <v>2024-25</v>
      </c>
      <c r="E1211" t="str">
        <f>"Q"&amp;ROUNDUP(MONTH(Raw_Data!B1211)/3,0)</f>
        <v>Q3</v>
      </c>
      <c r="F1211" t="str">
        <f>TEXT(Raw_Data!B1211,"mmm")</f>
        <v>Aug</v>
      </c>
      <c r="G1211" t="str">
        <f>TEXT(Raw_Data!B1211,"ddd")</f>
        <v>Sat</v>
      </c>
      <c r="H1211" t="str">
        <f>Raw_Data!D1211</f>
        <v>Invoiced</v>
      </c>
      <c r="I1211" t="str">
        <f>Raw_Data!F1211</f>
        <v>SMS/ Tele-Out</v>
      </c>
      <c r="J1211" t="str">
        <f>Raw_Data!G1211</f>
        <v>Missed Call</v>
      </c>
      <c r="K1211" t="str">
        <f>IFERROR(VLOOKUP(J1211,Source_Assumptions!$A:$C,2,0),"Unmapped")</f>
        <v>Outbound/Database</v>
      </c>
      <c r="L1211" t="str">
        <f>Raw_Data!H1211</f>
        <v>5TH GEN CITY PE</v>
      </c>
      <c r="M1211" t="str">
        <f>IFERROR(VLOOKUP(L1211,Model_Assumptions!$A:$D,2,0),"Unmapped")</f>
        <v>Mid-size Sedan</v>
      </c>
      <c r="N1211" t="str">
        <f>IFERROR(VLOOKUP(L1211,Model_Assumptions!$A:$D,3,0),"Unmapped")</f>
        <v>Petrol</v>
      </c>
      <c r="O1211">
        <f>IFERROR(VLOOKUP(L1211,Model_Assumptions!$A:$D,4,0),0)</f>
        <v>1250000</v>
      </c>
      <c r="P1211">
        <f>IFERROR(VLOOKUP(J1211,Source_Assumptions!$A:$C,3,0),0)</f>
        <v>150</v>
      </c>
    </row>
    <row r="1212" spans="1:16" x14ac:dyDescent="0.3">
      <c r="A1212">
        <f>Raw_Data!A1212</f>
        <v>1211</v>
      </c>
      <c r="B1212" s="2">
        <f>Raw_Data!B1212</f>
        <v>45535.787685185198</v>
      </c>
      <c r="C1212">
        <f>YEAR(Raw_Data!B1212)</f>
        <v>2024</v>
      </c>
      <c r="D1212" t="str">
        <f>IF(MONTH(Raw_Data!B1212)&gt;=4,YEAR(Raw_Data!B1212)&amp;"-"&amp;RIGHT(YEAR(Raw_Data!B1212)+1,2),YEAR(Raw_Data!B1212)-1&amp;"-"&amp;RIGHT(YEAR(Raw_Data!B1212),2))</f>
        <v>2024-25</v>
      </c>
      <c r="E1212" t="str">
        <f>"Q"&amp;ROUNDUP(MONTH(Raw_Data!B1212)/3,0)</f>
        <v>Q3</v>
      </c>
      <c r="F1212" t="str">
        <f>TEXT(Raw_Data!B1212,"mmm")</f>
        <v>Aug</v>
      </c>
      <c r="G1212" t="str">
        <f>TEXT(Raw_Data!B1212,"ddd")</f>
        <v>Sat</v>
      </c>
      <c r="H1212" t="str">
        <f>Raw_Data!D1212</f>
        <v>Invoiced</v>
      </c>
      <c r="I1212" t="str">
        <f>Raw_Data!F1212</f>
        <v>Tele-in</v>
      </c>
      <c r="J1212" t="str">
        <f>Raw_Data!G1212</f>
        <v>Dealer Webpage Tele-In</v>
      </c>
      <c r="K1212" t="str">
        <f>IFERROR(VLOOKUP(J1212,Source_Assumptions!$A:$C,2,0),"Unmapped")</f>
        <v>Digital - Owned</v>
      </c>
      <c r="L1212" t="str">
        <f>Raw_Data!H1212</f>
        <v>AMAZE Petrol</v>
      </c>
      <c r="M1212" t="str">
        <f>IFERROR(VLOOKUP(L1212,Model_Assumptions!$A:$D,2,0),"Unmapped")</f>
        <v>Sub-4m Sedan</v>
      </c>
      <c r="N1212" t="str">
        <f>IFERROR(VLOOKUP(L1212,Model_Assumptions!$A:$D,3,0),"Unmapped")</f>
        <v>Petrol</v>
      </c>
      <c r="O1212">
        <f>IFERROR(VLOOKUP(L1212,Model_Assumptions!$A:$D,4,0),0)</f>
        <v>850000</v>
      </c>
      <c r="P1212">
        <f>IFERROR(VLOOKUP(J1212,Source_Assumptions!$A:$C,3,0),0)</f>
        <v>300</v>
      </c>
    </row>
    <row r="1213" spans="1:16" x14ac:dyDescent="0.3">
      <c r="A1213">
        <f>Raw_Data!A1213</f>
        <v>1212</v>
      </c>
      <c r="B1213" s="2">
        <f>Raw_Data!B1213</f>
        <v>45535.795729166697</v>
      </c>
      <c r="C1213">
        <f>YEAR(Raw_Data!B1213)</f>
        <v>2024</v>
      </c>
      <c r="D1213" t="str">
        <f>IF(MONTH(Raw_Data!B1213)&gt;=4,YEAR(Raw_Data!B1213)&amp;"-"&amp;RIGHT(YEAR(Raw_Data!B1213)+1,2),YEAR(Raw_Data!B1213)-1&amp;"-"&amp;RIGHT(YEAR(Raw_Data!B1213),2))</f>
        <v>2024-25</v>
      </c>
      <c r="E1213" t="str">
        <f>"Q"&amp;ROUNDUP(MONTH(Raw_Data!B1213)/3,0)</f>
        <v>Q3</v>
      </c>
      <c r="F1213" t="str">
        <f>TEXT(Raw_Data!B1213,"mmm")</f>
        <v>Aug</v>
      </c>
      <c r="G1213" t="str">
        <f>TEXT(Raw_Data!B1213,"ddd")</f>
        <v>Sat</v>
      </c>
      <c r="H1213" t="str">
        <f>Raw_Data!D1213</f>
        <v>Invoiced</v>
      </c>
      <c r="I1213" t="str">
        <f>Raw_Data!F1213</f>
        <v>Tele-in</v>
      </c>
      <c r="J1213" t="str">
        <f>Raw_Data!G1213</f>
        <v>Dealer Webpage Tele-In</v>
      </c>
      <c r="K1213" t="str">
        <f>IFERROR(VLOOKUP(J1213,Source_Assumptions!$A:$C,2,0),"Unmapped")</f>
        <v>Digital - Owned</v>
      </c>
      <c r="L1213" t="str">
        <f>Raw_Data!H1213</f>
        <v>ELEVATE</v>
      </c>
      <c r="M1213" t="str">
        <f>IFERROR(VLOOKUP(L1213,Model_Assumptions!$A:$D,2,0),"Unmapped")</f>
        <v>Compact SUV</v>
      </c>
      <c r="N1213" t="str">
        <f>IFERROR(VLOOKUP(L1213,Model_Assumptions!$A:$D,3,0),"Unmapped")</f>
        <v>Petrol</v>
      </c>
      <c r="O1213">
        <f>IFERROR(VLOOKUP(L1213,Model_Assumptions!$A:$D,4,0),0)</f>
        <v>1300000</v>
      </c>
      <c r="P1213">
        <f>IFERROR(VLOOKUP(J1213,Source_Assumptions!$A:$C,3,0),0)</f>
        <v>300</v>
      </c>
    </row>
    <row r="1214" spans="1:16" x14ac:dyDescent="0.3">
      <c r="A1214">
        <f>Raw_Data!A1214</f>
        <v>1213</v>
      </c>
      <c r="B1214" s="2">
        <f>Raw_Data!B1214</f>
        <v>45535.798877314803</v>
      </c>
      <c r="C1214">
        <f>YEAR(Raw_Data!B1214)</f>
        <v>2024</v>
      </c>
      <c r="D1214" t="str">
        <f>IF(MONTH(Raw_Data!B1214)&gt;=4,YEAR(Raw_Data!B1214)&amp;"-"&amp;RIGHT(YEAR(Raw_Data!B1214)+1,2),YEAR(Raw_Data!B1214)-1&amp;"-"&amp;RIGHT(YEAR(Raw_Data!B1214),2))</f>
        <v>2024-25</v>
      </c>
      <c r="E1214" t="str">
        <f>"Q"&amp;ROUNDUP(MONTH(Raw_Data!B1214)/3,0)</f>
        <v>Q3</v>
      </c>
      <c r="F1214" t="str">
        <f>TEXT(Raw_Data!B1214,"mmm")</f>
        <v>Aug</v>
      </c>
      <c r="G1214" t="str">
        <f>TEXT(Raw_Data!B1214,"ddd")</f>
        <v>Sat</v>
      </c>
      <c r="H1214" t="str">
        <f>Raw_Data!D1214</f>
        <v>Invoiced</v>
      </c>
      <c r="I1214" t="str">
        <f>Raw_Data!F1214</f>
        <v>SMS/ Tele-Out</v>
      </c>
      <c r="J1214" t="str">
        <f>Raw_Data!G1214</f>
        <v>Web_CarDekho</v>
      </c>
      <c r="K1214" t="str">
        <f>IFERROR(VLOOKUP(J1214,Source_Assumptions!$A:$C,2,0),"Unmapped")</f>
        <v>Digital - Aggregator (Paid)</v>
      </c>
      <c r="L1214" t="str">
        <f>Raw_Data!H1214</f>
        <v>5TH GEN CITY PE</v>
      </c>
      <c r="M1214" t="str">
        <f>IFERROR(VLOOKUP(L1214,Model_Assumptions!$A:$D,2,0),"Unmapped")</f>
        <v>Mid-size Sedan</v>
      </c>
      <c r="N1214" t="str">
        <f>IFERROR(VLOOKUP(L1214,Model_Assumptions!$A:$D,3,0),"Unmapped")</f>
        <v>Petrol</v>
      </c>
      <c r="O1214">
        <f>IFERROR(VLOOKUP(L1214,Model_Assumptions!$A:$D,4,0),0)</f>
        <v>1250000</v>
      </c>
      <c r="P1214">
        <f>IFERROR(VLOOKUP(J1214,Source_Assumptions!$A:$C,3,0),0)</f>
        <v>900</v>
      </c>
    </row>
    <row r="1215" spans="1:16" x14ac:dyDescent="0.3">
      <c r="A1215">
        <f>Raw_Data!A1215</f>
        <v>1214</v>
      </c>
      <c r="B1215" s="2">
        <f>Raw_Data!B1215</f>
        <v>45535.805682870399</v>
      </c>
      <c r="C1215">
        <f>YEAR(Raw_Data!B1215)</f>
        <v>2024</v>
      </c>
      <c r="D1215" t="str">
        <f>IF(MONTH(Raw_Data!B1215)&gt;=4,YEAR(Raw_Data!B1215)&amp;"-"&amp;RIGHT(YEAR(Raw_Data!B1215)+1,2),YEAR(Raw_Data!B1215)-1&amp;"-"&amp;RIGHT(YEAR(Raw_Data!B1215),2))</f>
        <v>2024-25</v>
      </c>
      <c r="E1215" t="str">
        <f>"Q"&amp;ROUNDUP(MONTH(Raw_Data!B1215)/3,0)</f>
        <v>Q3</v>
      </c>
      <c r="F1215" t="str">
        <f>TEXT(Raw_Data!B1215,"mmm")</f>
        <v>Aug</v>
      </c>
      <c r="G1215" t="str">
        <f>TEXT(Raw_Data!B1215,"ddd")</f>
        <v>Sat</v>
      </c>
      <c r="H1215" t="str">
        <f>Raw_Data!D1215</f>
        <v>Invoiced</v>
      </c>
      <c r="I1215" t="str">
        <f>Raw_Data!F1215</f>
        <v>Tele-in</v>
      </c>
      <c r="J1215" t="str">
        <f>Raw_Data!G1215</f>
        <v>Referral-CAM</v>
      </c>
      <c r="K1215" t="str">
        <f>IFERROR(VLOOKUP(J1215,Source_Assumptions!$A:$C,2,0),"Unmapped")</f>
        <v>Referral</v>
      </c>
      <c r="L1215" t="str">
        <f>Raw_Data!H1215</f>
        <v>5TH GEN CITY PE</v>
      </c>
      <c r="M1215" t="str">
        <f>IFERROR(VLOOKUP(L1215,Model_Assumptions!$A:$D,2,0),"Unmapped")</f>
        <v>Mid-size Sedan</v>
      </c>
      <c r="N1215" t="str">
        <f>IFERROR(VLOOKUP(L1215,Model_Assumptions!$A:$D,3,0),"Unmapped")</f>
        <v>Petrol</v>
      </c>
      <c r="O1215">
        <f>IFERROR(VLOOKUP(L1215,Model_Assumptions!$A:$D,4,0),0)</f>
        <v>1250000</v>
      </c>
      <c r="P1215">
        <f>IFERROR(VLOOKUP(J1215,Source_Assumptions!$A:$C,3,0),0)</f>
        <v>150</v>
      </c>
    </row>
    <row r="1216" spans="1:16" x14ac:dyDescent="0.3">
      <c r="A1216">
        <f>Raw_Data!A1216</f>
        <v>1215</v>
      </c>
      <c r="B1216" s="2">
        <f>Raw_Data!B1216</f>
        <v>45535.806701388901</v>
      </c>
      <c r="C1216">
        <f>YEAR(Raw_Data!B1216)</f>
        <v>2024</v>
      </c>
      <c r="D1216" t="str">
        <f>IF(MONTH(Raw_Data!B1216)&gt;=4,YEAR(Raw_Data!B1216)&amp;"-"&amp;RIGHT(YEAR(Raw_Data!B1216)+1,2),YEAR(Raw_Data!B1216)-1&amp;"-"&amp;RIGHT(YEAR(Raw_Data!B1216),2))</f>
        <v>2024-25</v>
      </c>
      <c r="E1216" t="str">
        <f>"Q"&amp;ROUNDUP(MONTH(Raw_Data!B1216)/3,0)</f>
        <v>Q3</v>
      </c>
      <c r="F1216" t="str">
        <f>TEXT(Raw_Data!B1216,"mmm")</f>
        <v>Aug</v>
      </c>
      <c r="G1216" t="str">
        <f>TEXT(Raw_Data!B1216,"ddd")</f>
        <v>Sat</v>
      </c>
      <c r="H1216" t="str">
        <f>Raw_Data!D1216</f>
        <v>Invoiced</v>
      </c>
      <c r="I1216" t="str">
        <f>Raw_Data!F1216</f>
        <v>Walk-in Showroom</v>
      </c>
      <c r="J1216" t="str">
        <f>Raw_Data!G1216</f>
        <v>Referral (HC/HBLP)</v>
      </c>
      <c r="K1216" t="str">
        <f>IFERROR(VLOOKUP(J1216,Source_Assumptions!$A:$C,2,0),"Unmapped")</f>
        <v>Referral (Happy Customer)</v>
      </c>
      <c r="L1216" t="str">
        <f>Raw_Data!H1216</f>
        <v>ELEVATE</v>
      </c>
      <c r="M1216" t="str">
        <f>IFERROR(VLOOKUP(L1216,Model_Assumptions!$A:$D,2,0),"Unmapped")</f>
        <v>Compact SUV</v>
      </c>
      <c r="N1216" t="str">
        <f>IFERROR(VLOOKUP(L1216,Model_Assumptions!$A:$D,3,0),"Unmapped")</f>
        <v>Petrol</v>
      </c>
      <c r="O1216">
        <f>IFERROR(VLOOKUP(L1216,Model_Assumptions!$A:$D,4,0),0)</f>
        <v>1300000</v>
      </c>
      <c r="P1216">
        <f>IFERROR(VLOOKUP(J1216,Source_Assumptions!$A:$C,3,0),0)</f>
        <v>100</v>
      </c>
    </row>
    <row r="1217" spans="1:16" x14ac:dyDescent="0.3">
      <c r="A1217">
        <f>Raw_Data!A1217</f>
        <v>1216</v>
      </c>
      <c r="B1217" s="2">
        <f>Raw_Data!B1217</f>
        <v>45535.835150462997</v>
      </c>
      <c r="C1217">
        <f>YEAR(Raw_Data!B1217)</f>
        <v>2024</v>
      </c>
      <c r="D1217" t="str">
        <f>IF(MONTH(Raw_Data!B1217)&gt;=4,YEAR(Raw_Data!B1217)&amp;"-"&amp;RIGHT(YEAR(Raw_Data!B1217)+1,2),YEAR(Raw_Data!B1217)-1&amp;"-"&amp;RIGHT(YEAR(Raw_Data!B1217),2))</f>
        <v>2024-25</v>
      </c>
      <c r="E1217" t="str">
        <f>"Q"&amp;ROUNDUP(MONTH(Raw_Data!B1217)/3,0)</f>
        <v>Q3</v>
      </c>
      <c r="F1217" t="str">
        <f>TEXT(Raw_Data!B1217,"mmm")</f>
        <v>Aug</v>
      </c>
      <c r="G1217" t="str">
        <f>TEXT(Raw_Data!B1217,"ddd")</f>
        <v>Sat</v>
      </c>
      <c r="H1217" t="str">
        <f>Raw_Data!D1217</f>
        <v>Invoiced</v>
      </c>
      <c r="I1217" t="str">
        <f>Raw_Data!F1217</f>
        <v>SMS/ Tele-Out</v>
      </c>
      <c r="J1217" t="str">
        <f>Raw_Data!G1217</f>
        <v>Database Activity(Teleout/SMS)</v>
      </c>
      <c r="K1217" t="str">
        <f>IFERROR(VLOOKUP(J1217,Source_Assumptions!$A:$C,2,0),"Unmapped")</f>
        <v>Outbound/Database</v>
      </c>
      <c r="L1217" t="str">
        <f>Raw_Data!H1217</f>
        <v>ELEVATE</v>
      </c>
      <c r="M1217" t="str">
        <f>IFERROR(VLOOKUP(L1217,Model_Assumptions!$A:$D,2,0),"Unmapped")</f>
        <v>Compact SUV</v>
      </c>
      <c r="N1217" t="str">
        <f>IFERROR(VLOOKUP(L1217,Model_Assumptions!$A:$D,3,0),"Unmapped")</f>
        <v>Petrol</v>
      </c>
      <c r="O1217">
        <f>IFERROR(VLOOKUP(L1217,Model_Assumptions!$A:$D,4,0),0)</f>
        <v>1300000</v>
      </c>
      <c r="P1217">
        <f>IFERROR(VLOOKUP(J1217,Source_Assumptions!$A:$C,3,0),0)</f>
        <v>250</v>
      </c>
    </row>
    <row r="1218" spans="1:16" x14ac:dyDescent="0.3">
      <c r="A1218">
        <f>Raw_Data!A1218</f>
        <v>1217</v>
      </c>
      <c r="B1218" s="2">
        <f>Raw_Data!B1218</f>
        <v>45535.836574074099</v>
      </c>
      <c r="C1218">
        <f>YEAR(Raw_Data!B1218)</f>
        <v>2024</v>
      </c>
      <c r="D1218" t="str">
        <f>IF(MONTH(Raw_Data!B1218)&gt;=4,YEAR(Raw_Data!B1218)&amp;"-"&amp;RIGHT(YEAR(Raw_Data!B1218)+1,2),YEAR(Raw_Data!B1218)-1&amp;"-"&amp;RIGHT(YEAR(Raw_Data!B1218),2))</f>
        <v>2024-25</v>
      </c>
      <c r="E1218" t="str">
        <f>"Q"&amp;ROUNDUP(MONTH(Raw_Data!B1218)/3,0)</f>
        <v>Q3</v>
      </c>
      <c r="F1218" t="str">
        <f>TEXT(Raw_Data!B1218,"mmm")</f>
        <v>Aug</v>
      </c>
      <c r="G1218" t="str">
        <f>TEXT(Raw_Data!B1218,"ddd")</f>
        <v>Sat</v>
      </c>
      <c r="H1218" t="str">
        <f>Raw_Data!D1218</f>
        <v>Invoiced</v>
      </c>
      <c r="I1218" t="str">
        <f>Raw_Data!F1218</f>
        <v>Tele-in</v>
      </c>
      <c r="J1218" t="str">
        <f>Raw_Data!G1218</f>
        <v>Referral-CAM</v>
      </c>
      <c r="K1218" t="str">
        <f>IFERROR(VLOOKUP(J1218,Source_Assumptions!$A:$C,2,0),"Unmapped")</f>
        <v>Referral</v>
      </c>
      <c r="L1218" t="str">
        <f>Raw_Data!H1218</f>
        <v>AMAZE Petrol</v>
      </c>
      <c r="M1218" t="str">
        <f>IFERROR(VLOOKUP(L1218,Model_Assumptions!$A:$D,2,0),"Unmapped")</f>
        <v>Sub-4m Sedan</v>
      </c>
      <c r="N1218" t="str">
        <f>IFERROR(VLOOKUP(L1218,Model_Assumptions!$A:$D,3,0),"Unmapped")</f>
        <v>Petrol</v>
      </c>
      <c r="O1218">
        <f>IFERROR(VLOOKUP(L1218,Model_Assumptions!$A:$D,4,0),0)</f>
        <v>850000</v>
      </c>
      <c r="P1218">
        <f>IFERROR(VLOOKUP(J1218,Source_Assumptions!$A:$C,3,0),0)</f>
        <v>150</v>
      </c>
    </row>
    <row r="1219" spans="1:16" x14ac:dyDescent="0.3">
      <c r="A1219">
        <f>Raw_Data!A1219</f>
        <v>1218</v>
      </c>
      <c r="B1219" s="2">
        <f>Raw_Data!B1219</f>
        <v>45535.8375578704</v>
      </c>
      <c r="C1219">
        <f>YEAR(Raw_Data!B1219)</f>
        <v>2024</v>
      </c>
      <c r="D1219" t="str">
        <f>IF(MONTH(Raw_Data!B1219)&gt;=4,YEAR(Raw_Data!B1219)&amp;"-"&amp;RIGHT(YEAR(Raw_Data!B1219)+1,2),YEAR(Raw_Data!B1219)-1&amp;"-"&amp;RIGHT(YEAR(Raw_Data!B1219),2))</f>
        <v>2024-25</v>
      </c>
      <c r="E1219" t="str">
        <f>"Q"&amp;ROUNDUP(MONTH(Raw_Data!B1219)/3,0)</f>
        <v>Q3</v>
      </c>
      <c r="F1219" t="str">
        <f>TEXT(Raw_Data!B1219,"mmm")</f>
        <v>Aug</v>
      </c>
      <c r="G1219" t="str">
        <f>TEXT(Raw_Data!B1219,"ddd")</f>
        <v>Sat</v>
      </c>
      <c r="H1219" t="str">
        <f>Raw_Data!D1219</f>
        <v>Invoiced</v>
      </c>
      <c r="I1219" t="str">
        <f>Raw_Data!F1219</f>
        <v>Tele-in</v>
      </c>
      <c r="J1219" t="str">
        <f>Raw_Data!G1219</f>
        <v>Referral-CAM</v>
      </c>
      <c r="K1219" t="str">
        <f>IFERROR(VLOOKUP(J1219,Source_Assumptions!$A:$C,2,0),"Unmapped")</f>
        <v>Referral</v>
      </c>
      <c r="L1219" t="str">
        <f>Raw_Data!H1219</f>
        <v>AMAZE Petrol</v>
      </c>
      <c r="M1219" t="str">
        <f>IFERROR(VLOOKUP(L1219,Model_Assumptions!$A:$D,2,0),"Unmapped")</f>
        <v>Sub-4m Sedan</v>
      </c>
      <c r="N1219" t="str">
        <f>IFERROR(VLOOKUP(L1219,Model_Assumptions!$A:$D,3,0),"Unmapped")</f>
        <v>Petrol</v>
      </c>
      <c r="O1219">
        <f>IFERROR(VLOOKUP(L1219,Model_Assumptions!$A:$D,4,0),0)</f>
        <v>850000</v>
      </c>
      <c r="P1219">
        <f>IFERROR(VLOOKUP(J1219,Source_Assumptions!$A:$C,3,0),0)</f>
        <v>150</v>
      </c>
    </row>
    <row r="1220" spans="1:16" x14ac:dyDescent="0.3">
      <c r="A1220">
        <f>Raw_Data!A1220</f>
        <v>1219</v>
      </c>
      <c r="B1220" s="2">
        <f>Raw_Data!B1220</f>
        <v>45535.841979166697</v>
      </c>
      <c r="C1220">
        <f>YEAR(Raw_Data!B1220)</f>
        <v>2024</v>
      </c>
      <c r="D1220" t="str">
        <f>IF(MONTH(Raw_Data!B1220)&gt;=4,YEAR(Raw_Data!B1220)&amp;"-"&amp;RIGHT(YEAR(Raw_Data!B1220)+1,2),YEAR(Raw_Data!B1220)-1&amp;"-"&amp;RIGHT(YEAR(Raw_Data!B1220),2))</f>
        <v>2024-25</v>
      </c>
      <c r="E1220" t="str">
        <f>"Q"&amp;ROUNDUP(MONTH(Raw_Data!B1220)/3,0)</f>
        <v>Q3</v>
      </c>
      <c r="F1220" t="str">
        <f>TEXT(Raw_Data!B1220,"mmm")</f>
        <v>Aug</v>
      </c>
      <c r="G1220" t="str">
        <f>TEXT(Raw_Data!B1220,"ddd")</f>
        <v>Sat</v>
      </c>
      <c r="H1220" t="str">
        <f>Raw_Data!D1220</f>
        <v>Invoiced</v>
      </c>
      <c r="I1220" t="str">
        <f>Raw_Data!F1220</f>
        <v>Tele-in</v>
      </c>
      <c r="J1220" t="str">
        <f>Raw_Data!G1220</f>
        <v>Dealer Webpage Tele-In</v>
      </c>
      <c r="K1220" t="str">
        <f>IFERROR(VLOOKUP(J1220,Source_Assumptions!$A:$C,2,0),"Unmapped")</f>
        <v>Digital - Owned</v>
      </c>
      <c r="L1220" t="str">
        <f>Raw_Data!H1220</f>
        <v>AMAZE Petrol</v>
      </c>
      <c r="M1220" t="str">
        <f>IFERROR(VLOOKUP(L1220,Model_Assumptions!$A:$D,2,0),"Unmapped")</f>
        <v>Sub-4m Sedan</v>
      </c>
      <c r="N1220" t="str">
        <f>IFERROR(VLOOKUP(L1220,Model_Assumptions!$A:$D,3,0),"Unmapped")</f>
        <v>Petrol</v>
      </c>
      <c r="O1220">
        <f>IFERROR(VLOOKUP(L1220,Model_Assumptions!$A:$D,4,0),0)</f>
        <v>850000</v>
      </c>
      <c r="P1220">
        <f>IFERROR(VLOOKUP(J1220,Source_Assumptions!$A:$C,3,0),0)</f>
        <v>300</v>
      </c>
    </row>
    <row r="1221" spans="1:16" x14ac:dyDescent="0.3">
      <c r="A1221">
        <f>Raw_Data!A1221</f>
        <v>1220</v>
      </c>
      <c r="B1221" s="2">
        <f>Raw_Data!B1221</f>
        <v>45535.853587963</v>
      </c>
      <c r="C1221">
        <f>YEAR(Raw_Data!B1221)</f>
        <v>2024</v>
      </c>
      <c r="D1221" t="str">
        <f>IF(MONTH(Raw_Data!B1221)&gt;=4,YEAR(Raw_Data!B1221)&amp;"-"&amp;RIGHT(YEAR(Raw_Data!B1221)+1,2),YEAR(Raw_Data!B1221)-1&amp;"-"&amp;RIGHT(YEAR(Raw_Data!B1221),2))</f>
        <v>2024-25</v>
      </c>
      <c r="E1221" t="str">
        <f>"Q"&amp;ROUNDUP(MONTH(Raw_Data!B1221)/3,0)</f>
        <v>Q3</v>
      </c>
      <c r="F1221" t="str">
        <f>TEXT(Raw_Data!B1221,"mmm")</f>
        <v>Aug</v>
      </c>
      <c r="G1221" t="str">
        <f>TEXT(Raw_Data!B1221,"ddd")</f>
        <v>Sat</v>
      </c>
      <c r="H1221" t="str">
        <f>Raw_Data!D1221</f>
        <v>Invoiced</v>
      </c>
      <c r="I1221" t="str">
        <f>Raw_Data!F1221</f>
        <v>Tele-in</v>
      </c>
      <c r="J1221" t="str">
        <f>Raw_Data!G1221</f>
        <v>Dealer Webpage Tele-In</v>
      </c>
      <c r="K1221" t="str">
        <f>IFERROR(VLOOKUP(J1221,Source_Assumptions!$A:$C,2,0),"Unmapped")</f>
        <v>Digital - Owned</v>
      </c>
      <c r="L1221" t="str">
        <f>Raw_Data!H1221</f>
        <v>ELEVATE</v>
      </c>
      <c r="M1221" t="str">
        <f>IFERROR(VLOOKUP(L1221,Model_Assumptions!$A:$D,2,0),"Unmapped")</f>
        <v>Compact SUV</v>
      </c>
      <c r="N1221" t="str">
        <f>IFERROR(VLOOKUP(L1221,Model_Assumptions!$A:$D,3,0),"Unmapped")</f>
        <v>Petrol</v>
      </c>
      <c r="O1221">
        <f>IFERROR(VLOOKUP(L1221,Model_Assumptions!$A:$D,4,0),0)</f>
        <v>1300000</v>
      </c>
      <c r="P1221">
        <f>IFERROR(VLOOKUP(J1221,Source_Assumptions!$A:$C,3,0),0)</f>
        <v>300</v>
      </c>
    </row>
    <row r="1222" spans="1:16" x14ac:dyDescent="0.3">
      <c r="A1222">
        <f>Raw_Data!A1222</f>
        <v>1221</v>
      </c>
      <c r="B1222" s="2">
        <f>Raw_Data!B1222</f>
        <v>45535.886666666702</v>
      </c>
      <c r="C1222">
        <f>YEAR(Raw_Data!B1222)</f>
        <v>2024</v>
      </c>
      <c r="D1222" t="str">
        <f>IF(MONTH(Raw_Data!B1222)&gt;=4,YEAR(Raw_Data!B1222)&amp;"-"&amp;RIGHT(YEAR(Raw_Data!B1222)+1,2),YEAR(Raw_Data!B1222)-1&amp;"-"&amp;RIGHT(YEAR(Raw_Data!B1222),2))</f>
        <v>2024-25</v>
      </c>
      <c r="E1222" t="str">
        <f>"Q"&amp;ROUNDUP(MONTH(Raw_Data!B1222)/3,0)</f>
        <v>Q3</v>
      </c>
      <c r="F1222" t="str">
        <f>TEXT(Raw_Data!B1222,"mmm")</f>
        <v>Aug</v>
      </c>
      <c r="G1222" t="str">
        <f>TEXT(Raw_Data!B1222,"ddd")</f>
        <v>Sat</v>
      </c>
      <c r="H1222" t="str">
        <f>Raw_Data!D1222</f>
        <v>Invoiced</v>
      </c>
      <c r="I1222" t="str">
        <f>Raw_Data!F1222</f>
        <v>Tele-in</v>
      </c>
      <c r="J1222" t="str">
        <f>Raw_Data!G1222</f>
        <v>Dealer Webpage Tele-In</v>
      </c>
      <c r="K1222" t="str">
        <f>IFERROR(VLOOKUP(J1222,Source_Assumptions!$A:$C,2,0),"Unmapped")</f>
        <v>Digital - Owned</v>
      </c>
      <c r="L1222" t="str">
        <f>Raw_Data!H1222</f>
        <v>ELEVATE</v>
      </c>
      <c r="M1222" t="str">
        <f>IFERROR(VLOOKUP(L1222,Model_Assumptions!$A:$D,2,0),"Unmapped")</f>
        <v>Compact SUV</v>
      </c>
      <c r="N1222" t="str">
        <f>IFERROR(VLOOKUP(L1222,Model_Assumptions!$A:$D,3,0),"Unmapped")</f>
        <v>Petrol</v>
      </c>
      <c r="O1222">
        <f>IFERROR(VLOOKUP(L1222,Model_Assumptions!$A:$D,4,0),0)</f>
        <v>1300000</v>
      </c>
      <c r="P1222">
        <f>IFERROR(VLOOKUP(J1222,Source_Assumptions!$A:$C,3,0),0)</f>
        <v>300</v>
      </c>
    </row>
    <row r="1223" spans="1:16" x14ac:dyDescent="0.3">
      <c r="A1223">
        <f>Raw_Data!A1223</f>
        <v>1222</v>
      </c>
      <c r="B1223" s="2">
        <f>Raw_Data!B1223</f>
        <v>45535.888842592598</v>
      </c>
      <c r="C1223">
        <f>YEAR(Raw_Data!B1223)</f>
        <v>2024</v>
      </c>
      <c r="D1223" t="str">
        <f>IF(MONTH(Raw_Data!B1223)&gt;=4,YEAR(Raw_Data!B1223)&amp;"-"&amp;RIGHT(YEAR(Raw_Data!B1223)+1,2),YEAR(Raw_Data!B1223)-1&amp;"-"&amp;RIGHT(YEAR(Raw_Data!B1223),2))</f>
        <v>2024-25</v>
      </c>
      <c r="E1223" t="str">
        <f>"Q"&amp;ROUNDUP(MONTH(Raw_Data!B1223)/3,0)</f>
        <v>Q3</v>
      </c>
      <c r="F1223" t="str">
        <f>TEXT(Raw_Data!B1223,"mmm")</f>
        <v>Aug</v>
      </c>
      <c r="G1223" t="str">
        <f>TEXT(Raw_Data!B1223,"ddd")</f>
        <v>Sat</v>
      </c>
      <c r="H1223" t="str">
        <f>Raw_Data!D1223</f>
        <v>Invoiced</v>
      </c>
      <c r="I1223" t="str">
        <f>Raw_Data!F1223</f>
        <v>Walk-in Showroom</v>
      </c>
      <c r="J1223" t="str">
        <f>Raw_Data!G1223</f>
        <v>Referral (HC/HBLP)</v>
      </c>
      <c r="K1223" t="str">
        <f>IFERROR(VLOOKUP(J1223,Source_Assumptions!$A:$C,2,0),"Unmapped")</f>
        <v>Referral (Happy Customer)</v>
      </c>
      <c r="L1223" t="str">
        <f>Raw_Data!H1223</f>
        <v>AMAZE Petrol</v>
      </c>
      <c r="M1223" t="str">
        <f>IFERROR(VLOOKUP(L1223,Model_Assumptions!$A:$D,2,0),"Unmapped")</f>
        <v>Sub-4m Sedan</v>
      </c>
      <c r="N1223" t="str">
        <f>IFERROR(VLOOKUP(L1223,Model_Assumptions!$A:$D,3,0),"Unmapped")</f>
        <v>Petrol</v>
      </c>
      <c r="O1223">
        <f>IFERROR(VLOOKUP(L1223,Model_Assumptions!$A:$D,4,0),0)</f>
        <v>850000</v>
      </c>
      <c r="P1223">
        <f>IFERROR(VLOOKUP(J1223,Source_Assumptions!$A:$C,3,0),0)</f>
        <v>100</v>
      </c>
    </row>
    <row r="1224" spans="1:16" x14ac:dyDescent="0.3">
      <c r="A1224">
        <f>Raw_Data!A1224</f>
        <v>1223</v>
      </c>
      <c r="B1224" s="2">
        <f>Raw_Data!B1224</f>
        <v>45535.890104166698</v>
      </c>
      <c r="C1224">
        <f>YEAR(Raw_Data!B1224)</f>
        <v>2024</v>
      </c>
      <c r="D1224" t="str">
        <f>IF(MONTH(Raw_Data!B1224)&gt;=4,YEAR(Raw_Data!B1224)&amp;"-"&amp;RIGHT(YEAR(Raw_Data!B1224)+1,2),YEAR(Raw_Data!B1224)-1&amp;"-"&amp;RIGHT(YEAR(Raw_Data!B1224),2))</f>
        <v>2024-25</v>
      </c>
      <c r="E1224" t="str">
        <f>"Q"&amp;ROUNDUP(MONTH(Raw_Data!B1224)/3,0)</f>
        <v>Q3</v>
      </c>
      <c r="F1224" t="str">
        <f>TEXT(Raw_Data!B1224,"mmm")</f>
        <v>Aug</v>
      </c>
      <c r="G1224" t="str">
        <f>TEXT(Raw_Data!B1224,"ddd")</f>
        <v>Sat</v>
      </c>
      <c r="H1224" t="str">
        <f>Raw_Data!D1224</f>
        <v>Invoiced</v>
      </c>
      <c r="I1224" t="str">
        <f>Raw_Data!F1224</f>
        <v>Web Lead</v>
      </c>
      <c r="J1224" t="str">
        <f>Raw_Data!G1224</f>
        <v>Web_Organic</v>
      </c>
      <c r="K1224" t="str">
        <f>IFERROR(VLOOKUP(J1224,Source_Assumptions!$A:$C,2,0),"Unmapped")</f>
        <v>Digital - Organic</v>
      </c>
      <c r="L1224" t="str">
        <f>Raw_Data!H1224</f>
        <v>5TH GEN CITY e:HEV</v>
      </c>
      <c r="M1224" t="str">
        <f>IFERROR(VLOOKUP(L1224,Model_Assumptions!$A:$D,2,0),"Unmapped")</f>
        <v>Mid-size Sedan</v>
      </c>
      <c r="N1224" t="str">
        <f>IFERROR(VLOOKUP(L1224,Model_Assumptions!$A:$D,3,0),"Unmapped")</f>
        <v>Hybrid</v>
      </c>
      <c r="O1224">
        <f>IFERROR(VLOOKUP(L1224,Model_Assumptions!$A:$D,4,0),0)</f>
        <v>1950000</v>
      </c>
      <c r="P1224">
        <f>IFERROR(VLOOKUP(J1224,Source_Assumptions!$A:$C,3,0),0)</f>
        <v>100</v>
      </c>
    </row>
    <row r="1225" spans="1:16" x14ac:dyDescent="0.3">
      <c r="A1225">
        <f>Raw_Data!A1225</f>
        <v>1224</v>
      </c>
      <c r="B1225" s="2">
        <f>Raw_Data!B1225</f>
        <v>45535.891597222202</v>
      </c>
      <c r="C1225">
        <f>YEAR(Raw_Data!B1225)</f>
        <v>2024</v>
      </c>
      <c r="D1225" t="str">
        <f>IF(MONTH(Raw_Data!B1225)&gt;=4,YEAR(Raw_Data!B1225)&amp;"-"&amp;RIGHT(YEAR(Raw_Data!B1225)+1,2),YEAR(Raw_Data!B1225)-1&amp;"-"&amp;RIGHT(YEAR(Raw_Data!B1225),2))</f>
        <v>2024-25</v>
      </c>
      <c r="E1225" t="str">
        <f>"Q"&amp;ROUNDUP(MONTH(Raw_Data!B1225)/3,0)</f>
        <v>Q3</v>
      </c>
      <c r="F1225" t="str">
        <f>TEXT(Raw_Data!B1225,"mmm")</f>
        <v>Aug</v>
      </c>
      <c r="G1225" t="str">
        <f>TEXT(Raw_Data!B1225,"ddd")</f>
        <v>Sat</v>
      </c>
      <c r="H1225" t="str">
        <f>Raw_Data!D1225</f>
        <v>Invoiced</v>
      </c>
      <c r="I1225" t="str">
        <f>Raw_Data!F1225</f>
        <v>Tele-in</v>
      </c>
      <c r="J1225" t="str">
        <f>Raw_Data!G1225</f>
        <v>Dealer Webpage Tele-In</v>
      </c>
      <c r="K1225" t="str">
        <f>IFERROR(VLOOKUP(J1225,Source_Assumptions!$A:$C,2,0),"Unmapped")</f>
        <v>Digital - Owned</v>
      </c>
      <c r="L1225" t="str">
        <f>Raw_Data!H1225</f>
        <v>5TH GEN CITY PE</v>
      </c>
      <c r="M1225" t="str">
        <f>IFERROR(VLOOKUP(L1225,Model_Assumptions!$A:$D,2,0),"Unmapped")</f>
        <v>Mid-size Sedan</v>
      </c>
      <c r="N1225" t="str">
        <f>IFERROR(VLOOKUP(L1225,Model_Assumptions!$A:$D,3,0),"Unmapped")</f>
        <v>Petrol</v>
      </c>
      <c r="O1225">
        <f>IFERROR(VLOOKUP(L1225,Model_Assumptions!$A:$D,4,0),0)</f>
        <v>1250000</v>
      </c>
      <c r="P1225">
        <f>IFERROR(VLOOKUP(J1225,Source_Assumptions!$A:$C,3,0),0)</f>
        <v>300</v>
      </c>
    </row>
    <row r="1226" spans="1:16" x14ac:dyDescent="0.3">
      <c r="A1226">
        <f>Raw_Data!A1226</f>
        <v>1225</v>
      </c>
      <c r="B1226" s="2">
        <f>Raw_Data!B1226</f>
        <v>45535.894745370402</v>
      </c>
      <c r="C1226">
        <f>YEAR(Raw_Data!B1226)</f>
        <v>2024</v>
      </c>
      <c r="D1226" t="str">
        <f>IF(MONTH(Raw_Data!B1226)&gt;=4,YEAR(Raw_Data!B1226)&amp;"-"&amp;RIGHT(YEAR(Raw_Data!B1226)+1,2),YEAR(Raw_Data!B1226)-1&amp;"-"&amp;RIGHT(YEAR(Raw_Data!B1226),2))</f>
        <v>2024-25</v>
      </c>
      <c r="E1226" t="str">
        <f>"Q"&amp;ROUNDUP(MONTH(Raw_Data!B1226)/3,0)</f>
        <v>Q3</v>
      </c>
      <c r="F1226" t="str">
        <f>TEXT(Raw_Data!B1226,"mmm")</f>
        <v>Aug</v>
      </c>
      <c r="G1226" t="str">
        <f>TEXT(Raw_Data!B1226,"ddd")</f>
        <v>Sat</v>
      </c>
      <c r="H1226" t="str">
        <f>Raw_Data!D1226</f>
        <v>Invoiced</v>
      </c>
      <c r="I1226" t="str">
        <f>Raw_Data!F1226</f>
        <v>SMS/ Tele-Out</v>
      </c>
      <c r="J1226" t="str">
        <f>Raw_Data!G1226</f>
        <v>Database Activity(Teleout/SMS)</v>
      </c>
      <c r="K1226" t="str">
        <f>IFERROR(VLOOKUP(J1226,Source_Assumptions!$A:$C,2,0),"Unmapped")</f>
        <v>Outbound/Database</v>
      </c>
      <c r="L1226" t="str">
        <f>Raw_Data!H1226</f>
        <v>5TH GEN CITY PE</v>
      </c>
      <c r="M1226" t="str">
        <f>IFERROR(VLOOKUP(L1226,Model_Assumptions!$A:$D,2,0),"Unmapped")</f>
        <v>Mid-size Sedan</v>
      </c>
      <c r="N1226" t="str">
        <f>IFERROR(VLOOKUP(L1226,Model_Assumptions!$A:$D,3,0),"Unmapped")</f>
        <v>Petrol</v>
      </c>
      <c r="O1226">
        <f>IFERROR(VLOOKUP(L1226,Model_Assumptions!$A:$D,4,0),0)</f>
        <v>1250000</v>
      </c>
      <c r="P1226">
        <f>IFERROR(VLOOKUP(J1226,Source_Assumptions!$A:$C,3,0),0)</f>
        <v>250</v>
      </c>
    </row>
    <row r="1227" spans="1:16" x14ac:dyDescent="0.3">
      <c r="A1227">
        <f>Raw_Data!A1227</f>
        <v>1226</v>
      </c>
      <c r="B1227" s="2">
        <f>Raw_Data!B1227</f>
        <v>45542.669398148202</v>
      </c>
      <c r="C1227">
        <f>YEAR(Raw_Data!B1227)</f>
        <v>2024</v>
      </c>
      <c r="D1227" t="str">
        <f>IF(MONTH(Raw_Data!B1227)&gt;=4,YEAR(Raw_Data!B1227)&amp;"-"&amp;RIGHT(YEAR(Raw_Data!B1227)+1,2),YEAR(Raw_Data!B1227)-1&amp;"-"&amp;RIGHT(YEAR(Raw_Data!B1227),2))</f>
        <v>2024-25</v>
      </c>
      <c r="E1227" t="str">
        <f>"Q"&amp;ROUNDUP(MONTH(Raw_Data!B1227)/3,0)</f>
        <v>Q3</v>
      </c>
      <c r="F1227" t="str">
        <f>TEXT(Raw_Data!B1227,"mmm")</f>
        <v>Sep</v>
      </c>
      <c r="G1227" t="str">
        <f>TEXT(Raw_Data!B1227,"ddd")</f>
        <v>Sat</v>
      </c>
      <c r="H1227" t="str">
        <f>Raw_Data!D1227</f>
        <v>Invoiced</v>
      </c>
      <c r="I1227" t="str">
        <f>Raw_Data!F1227</f>
        <v>SMS/ Tele-Out</v>
      </c>
      <c r="J1227" t="str">
        <f>Raw_Data!G1227</f>
        <v>I-BAP Referral</v>
      </c>
      <c r="K1227" t="str">
        <f>IFERROR(VLOOKUP(J1227,Source_Assumptions!$A:$C,2,0),"Unmapped")</f>
        <v>Referral (Insurance/Banking Partner)</v>
      </c>
      <c r="L1227" t="str">
        <f>Raw_Data!H1227</f>
        <v>ELEVATE</v>
      </c>
      <c r="M1227" t="str">
        <f>IFERROR(VLOOKUP(L1227,Model_Assumptions!$A:$D,2,0),"Unmapped")</f>
        <v>Compact SUV</v>
      </c>
      <c r="N1227" t="str">
        <f>IFERROR(VLOOKUP(L1227,Model_Assumptions!$A:$D,3,0),"Unmapped")</f>
        <v>Petrol</v>
      </c>
      <c r="O1227">
        <f>IFERROR(VLOOKUP(L1227,Model_Assumptions!$A:$D,4,0),0)</f>
        <v>1300000</v>
      </c>
      <c r="P1227">
        <f>IFERROR(VLOOKUP(J1227,Source_Assumptions!$A:$C,3,0),0)</f>
        <v>150</v>
      </c>
    </row>
    <row r="1228" spans="1:16" x14ac:dyDescent="0.3">
      <c r="A1228">
        <f>Raw_Data!A1228</f>
        <v>1227</v>
      </c>
      <c r="B1228" s="2">
        <f>Raw_Data!B1228</f>
        <v>45547.534479166701</v>
      </c>
      <c r="C1228">
        <f>YEAR(Raw_Data!B1228)</f>
        <v>2024</v>
      </c>
      <c r="D1228" t="str">
        <f>IF(MONTH(Raw_Data!B1228)&gt;=4,YEAR(Raw_Data!B1228)&amp;"-"&amp;RIGHT(YEAR(Raw_Data!B1228)+1,2),YEAR(Raw_Data!B1228)-1&amp;"-"&amp;RIGHT(YEAR(Raw_Data!B1228),2))</f>
        <v>2024-25</v>
      </c>
      <c r="E1228" t="str">
        <f>"Q"&amp;ROUNDUP(MONTH(Raw_Data!B1228)/3,0)</f>
        <v>Q3</v>
      </c>
      <c r="F1228" t="str">
        <f>TEXT(Raw_Data!B1228,"mmm")</f>
        <v>Sep</v>
      </c>
      <c r="G1228" t="str">
        <f>TEXT(Raw_Data!B1228,"ddd")</f>
        <v>Thu</v>
      </c>
      <c r="H1228" t="str">
        <f>Raw_Data!D1228</f>
        <v>Invoiced</v>
      </c>
      <c r="I1228" t="str">
        <f>Raw_Data!F1228</f>
        <v>Tele-in</v>
      </c>
      <c r="J1228" t="str">
        <f>Raw_Data!G1228</f>
        <v>Referral-CAM</v>
      </c>
      <c r="K1228" t="str">
        <f>IFERROR(VLOOKUP(J1228,Source_Assumptions!$A:$C,2,0),"Unmapped")</f>
        <v>Referral</v>
      </c>
      <c r="L1228" t="str">
        <f>Raw_Data!H1228</f>
        <v>5TH GEN CITY PE</v>
      </c>
      <c r="M1228" t="str">
        <f>IFERROR(VLOOKUP(L1228,Model_Assumptions!$A:$D,2,0),"Unmapped")</f>
        <v>Mid-size Sedan</v>
      </c>
      <c r="N1228" t="str">
        <f>IFERROR(VLOOKUP(L1228,Model_Assumptions!$A:$D,3,0),"Unmapped")</f>
        <v>Petrol</v>
      </c>
      <c r="O1228">
        <f>IFERROR(VLOOKUP(L1228,Model_Assumptions!$A:$D,4,0),0)</f>
        <v>1250000</v>
      </c>
      <c r="P1228">
        <f>IFERROR(VLOOKUP(J1228,Source_Assumptions!$A:$C,3,0),0)</f>
        <v>150</v>
      </c>
    </row>
    <row r="1229" spans="1:16" x14ac:dyDescent="0.3">
      <c r="A1229">
        <f>Raw_Data!A1229</f>
        <v>1228</v>
      </c>
      <c r="B1229" s="2">
        <f>Raw_Data!B1229</f>
        <v>45548.567314814798</v>
      </c>
      <c r="C1229">
        <f>YEAR(Raw_Data!B1229)</f>
        <v>2024</v>
      </c>
      <c r="D1229" t="str">
        <f>IF(MONTH(Raw_Data!B1229)&gt;=4,YEAR(Raw_Data!B1229)&amp;"-"&amp;RIGHT(YEAR(Raw_Data!B1229)+1,2),YEAR(Raw_Data!B1229)-1&amp;"-"&amp;RIGHT(YEAR(Raw_Data!B1229),2))</f>
        <v>2024-25</v>
      </c>
      <c r="E1229" t="str">
        <f>"Q"&amp;ROUNDUP(MONTH(Raw_Data!B1229)/3,0)</f>
        <v>Q3</v>
      </c>
      <c r="F1229" t="str">
        <f>TEXT(Raw_Data!B1229,"mmm")</f>
        <v>Sep</v>
      </c>
      <c r="G1229" t="str">
        <f>TEXT(Raw_Data!B1229,"ddd")</f>
        <v>Fri</v>
      </c>
      <c r="H1229" t="str">
        <f>Raw_Data!D1229</f>
        <v>Invoiced</v>
      </c>
      <c r="I1229" t="str">
        <f>Raw_Data!F1229</f>
        <v>Tele-in</v>
      </c>
      <c r="J1229" t="str">
        <f>Raw_Data!G1229</f>
        <v>Dealer Webpage Tele-In</v>
      </c>
      <c r="K1229" t="str">
        <f>IFERROR(VLOOKUP(J1229,Source_Assumptions!$A:$C,2,0),"Unmapped")</f>
        <v>Digital - Owned</v>
      </c>
      <c r="L1229" t="str">
        <f>Raw_Data!H1229</f>
        <v>AMAZE Petrol</v>
      </c>
      <c r="M1229" t="str">
        <f>IFERROR(VLOOKUP(L1229,Model_Assumptions!$A:$D,2,0),"Unmapped")</f>
        <v>Sub-4m Sedan</v>
      </c>
      <c r="N1229" t="str">
        <f>IFERROR(VLOOKUP(L1229,Model_Assumptions!$A:$D,3,0),"Unmapped")</f>
        <v>Petrol</v>
      </c>
      <c r="O1229">
        <f>IFERROR(VLOOKUP(L1229,Model_Assumptions!$A:$D,4,0),0)</f>
        <v>850000</v>
      </c>
      <c r="P1229">
        <f>IFERROR(VLOOKUP(J1229,Source_Assumptions!$A:$C,3,0),0)</f>
        <v>300</v>
      </c>
    </row>
    <row r="1230" spans="1:16" x14ac:dyDescent="0.3">
      <c r="A1230">
        <f>Raw_Data!A1230</f>
        <v>1229</v>
      </c>
      <c r="B1230" s="2">
        <f>Raw_Data!B1230</f>
        <v>45548.656018518501</v>
      </c>
      <c r="C1230">
        <f>YEAR(Raw_Data!B1230)</f>
        <v>2024</v>
      </c>
      <c r="D1230" t="str">
        <f>IF(MONTH(Raw_Data!B1230)&gt;=4,YEAR(Raw_Data!B1230)&amp;"-"&amp;RIGHT(YEAR(Raw_Data!B1230)+1,2),YEAR(Raw_Data!B1230)-1&amp;"-"&amp;RIGHT(YEAR(Raw_Data!B1230),2))</f>
        <v>2024-25</v>
      </c>
      <c r="E1230" t="str">
        <f>"Q"&amp;ROUNDUP(MONTH(Raw_Data!B1230)/3,0)</f>
        <v>Q3</v>
      </c>
      <c r="F1230" t="str">
        <f>TEXT(Raw_Data!B1230,"mmm")</f>
        <v>Sep</v>
      </c>
      <c r="G1230" t="str">
        <f>TEXT(Raw_Data!B1230,"ddd")</f>
        <v>Fri</v>
      </c>
      <c r="H1230" t="str">
        <f>Raw_Data!D1230</f>
        <v>Invoiced</v>
      </c>
      <c r="I1230" t="str">
        <f>Raw_Data!F1230</f>
        <v>SMS/ Tele-Out</v>
      </c>
      <c r="J1230" t="str">
        <f>Raw_Data!G1230</f>
        <v>Database Activity(Teleout/SMS)</v>
      </c>
      <c r="K1230" t="str">
        <f>IFERROR(VLOOKUP(J1230,Source_Assumptions!$A:$C,2,0),"Unmapped")</f>
        <v>Outbound/Database</v>
      </c>
      <c r="L1230" t="str">
        <f>Raw_Data!H1230</f>
        <v>ELEVATE</v>
      </c>
      <c r="M1230" t="str">
        <f>IFERROR(VLOOKUP(L1230,Model_Assumptions!$A:$D,2,0),"Unmapped")</f>
        <v>Compact SUV</v>
      </c>
      <c r="N1230" t="str">
        <f>IFERROR(VLOOKUP(L1230,Model_Assumptions!$A:$D,3,0),"Unmapped")</f>
        <v>Petrol</v>
      </c>
      <c r="O1230">
        <f>IFERROR(VLOOKUP(L1230,Model_Assumptions!$A:$D,4,0),0)</f>
        <v>1300000</v>
      </c>
      <c r="P1230">
        <f>IFERROR(VLOOKUP(J1230,Source_Assumptions!$A:$C,3,0),0)</f>
        <v>250</v>
      </c>
    </row>
    <row r="1231" spans="1:16" x14ac:dyDescent="0.3">
      <c r="A1231">
        <f>Raw_Data!A1231</f>
        <v>1230</v>
      </c>
      <c r="B1231" s="2">
        <f>Raw_Data!B1231</f>
        <v>45554.733171296299</v>
      </c>
      <c r="C1231">
        <f>YEAR(Raw_Data!B1231)</f>
        <v>2024</v>
      </c>
      <c r="D1231" t="str">
        <f>IF(MONTH(Raw_Data!B1231)&gt;=4,YEAR(Raw_Data!B1231)&amp;"-"&amp;RIGHT(YEAR(Raw_Data!B1231)+1,2),YEAR(Raw_Data!B1231)-1&amp;"-"&amp;RIGHT(YEAR(Raw_Data!B1231),2))</f>
        <v>2024-25</v>
      </c>
      <c r="E1231" t="str">
        <f>"Q"&amp;ROUNDUP(MONTH(Raw_Data!B1231)/3,0)</f>
        <v>Q3</v>
      </c>
      <c r="F1231" t="str">
        <f>TEXT(Raw_Data!B1231,"mmm")</f>
        <v>Sep</v>
      </c>
      <c r="G1231" t="str">
        <f>TEXT(Raw_Data!B1231,"ddd")</f>
        <v>Thu</v>
      </c>
      <c r="H1231" t="str">
        <f>Raw_Data!D1231</f>
        <v>Invoiced</v>
      </c>
      <c r="I1231" t="str">
        <f>Raw_Data!F1231</f>
        <v>Tele-in</v>
      </c>
      <c r="J1231" t="str">
        <f>Raw_Data!G1231</f>
        <v>Dealer Webpage Tele-In</v>
      </c>
      <c r="K1231" t="str">
        <f>IFERROR(VLOOKUP(J1231,Source_Assumptions!$A:$C,2,0),"Unmapped")</f>
        <v>Digital - Owned</v>
      </c>
      <c r="L1231" t="str">
        <f>Raw_Data!H1231</f>
        <v>AMAZE Petrol</v>
      </c>
      <c r="M1231" t="str">
        <f>IFERROR(VLOOKUP(L1231,Model_Assumptions!$A:$D,2,0),"Unmapped")</f>
        <v>Sub-4m Sedan</v>
      </c>
      <c r="N1231" t="str">
        <f>IFERROR(VLOOKUP(L1231,Model_Assumptions!$A:$D,3,0),"Unmapped")</f>
        <v>Petrol</v>
      </c>
      <c r="O1231">
        <f>IFERROR(VLOOKUP(L1231,Model_Assumptions!$A:$D,4,0),0)</f>
        <v>850000</v>
      </c>
      <c r="P1231">
        <f>IFERROR(VLOOKUP(J1231,Source_Assumptions!$A:$C,3,0),0)</f>
        <v>300</v>
      </c>
    </row>
    <row r="1232" spans="1:16" x14ac:dyDescent="0.3">
      <c r="A1232">
        <f>Raw_Data!A1232</f>
        <v>1231</v>
      </c>
      <c r="B1232" s="2">
        <f>Raw_Data!B1232</f>
        <v>45559.720219907402</v>
      </c>
      <c r="C1232">
        <f>YEAR(Raw_Data!B1232)</f>
        <v>2024</v>
      </c>
      <c r="D1232" t="str">
        <f>IF(MONTH(Raw_Data!B1232)&gt;=4,YEAR(Raw_Data!B1232)&amp;"-"&amp;RIGHT(YEAR(Raw_Data!B1232)+1,2),YEAR(Raw_Data!B1232)-1&amp;"-"&amp;RIGHT(YEAR(Raw_Data!B1232),2))</f>
        <v>2024-25</v>
      </c>
      <c r="E1232" t="str">
        <f>"Q"&amp;ROUNDUP(MONTH(Raw_Data!B1232)/3,0)</f>
        <v>Q3</v>
      </c>
      <c r="F1232" t="str">
        <f>TEXT(Raw_Data!B1232,"mmm")</f>
        <v>Sep</v>
      </c>
      <c r="G1232" t="str">
        <f>TEXT(Raw_Data!B1232,"ddd")</f>
        <v>Tue</v>
      </c>
      <c r="H1232" t="str">
        <f>Raw_Data!D1232</f>
        <v>Invoiced</v>
      </c>
      <c r="I1232" t="str">
        <f>Raw_Data!F1232</f>
        <v>SMS/ Tele-Out</v>
      </c>
      <c r="J1232" t="str">
        <f>Raw_Data!G1232</f>
        <v>Referral (HC/HBLP)</v>
      </c>
      <c r="K1232" t="str">
        <f>IFERROR(VLOOKUP(J1232,Source_Assumptions!$A:$C,2,0),"Unmapped")</f>
        <v>Referral (Happy Customer)</v>
      </c>
      <c r="L1232" t="str">
        <f>Raw_Data!H1232</f>
        <v>AMAZE Petrol</v>
      </c>
      <c r="M1232" t="str">
        <f>IFERROR(VLOOKUP(L1232,Model_Assumptions!$A:$D,2,0),"Unmapped")</f>
        <v>Sub-4m Sedan</v>
      </c>
      <c r="N1232" t="str">
        <f>IFERROR(VLOOKUP(L1232,Model_Assumptions!$A:$D,3,0),"Unmapped")</f>
        <v>Petrol</v>
      </c>
      <c r="O1232">
        <f>IFERROR(VLOOKUP(L1232,Model_Assumptions!$A:$D,4,0),0)</f>
        <v>850000</v>
      </c>
      <c r="P1232">
        <f>IFERROR(VLOOKUP(J1232,Source_Assumptions!$A:$C,3,0),0)</f>
        <v>100</v>
      </c>
    </row>
    <row r="1233" spans="1:16" x14ac:dyDescent="0.3">
      <c r="A1233">
        <f>Raw_Data!A1233</f>
        <v>1232</v>
      </c>
      <c r="B1233" s="2">
        <f>Raw_Data!B1233</f>
        <v>45560.6581365741</v>
      </c>
      <c r="C1233">
        <f>YEAR(Raw_Data!B1233)</f>
        <v>2024</v>
      </c>
      <c r="D1233" t="str">
        <f>IF(MONTH(Raw_Data!B1233)&gt;=4,YEAR(Raw_Data!B1233)&amp;"-"&amp;RIGHT(YEAR(Raw_Data!B1233)+1,2),YEAR(Raw_Data!B1233)-1&amp;"-"&amp;RIGHT(YEAR(Raw_Data!B1233),2))</f>
        <v>2024-25</v>
      </c>
      <c r="E1233" t="str">
        <f>"Q"&amp;ROUNDUP(MONTH(Raw_Data!B1233)/3,0)</f>
        <v>Q3</v>
      </c>
      <c r="F1233" t="str">
        <f>TEXT(Raw_Data!B1233,"mmm")</f>
        <v>Sep</v>
      </c>
      <c r="G1233" t="str">
        <f>TEXT(Raw_Data!B1233,"ddd")</f>
        <v>Wed</v>
      </c>
      <c r="H1233" t="str">
        <f>Raw_Data!D1233</f>
        <v>Invoiced</v>
      </c>
      <c r="I1233" t="str">
        <f>Raw_Data!F1233</f>
        <v>Web Lead</v>
      </c>
      <c r="J1233" t="str">
        <f>Raw_Data!G1233</f>
        <v>Web_CarDekho</v>
      </c>
      <c r="K1233" t="str">
        <f>IFERROR(VLOOKUP(J1233,Source_Assumptions!$A:$C,2,0),"Unmapped")</f>
        <v>Digital - Aggregator (Paid)</v>
      </c>
      <c r="L1233" t="str">
        <f>Raw_Data!H1233</f>
        <v>ELEVATE</v>
      </c>
      <c r="M1233" t="str">
        <f>IFERROR(VLOOKUP(L1233,Model_Assumptions!$A:$D,2,0),"Unmapped")</f>
        <v>Compact SUV</v>
      </c>
      <c r="N1233" t="str">
        <f>IFERROR(VLOOKUP(L1233,Model_Assumptions!$A:$D,3,0),"Unmapped")</f>
        <v>Petrol</v>
      </c>
      <c r="O1233">
        <f>IFERROR(VLOOKUP(L1233,Model_Assumptions!$A:$D,4,0),0)</f>
        <v>1300000</v>
      </c>
      <c r="P1233">
        <f>IFERROR(VLOOKUP(J1233,Source_Assumptions!$A:$C,3,0),0)</f>
        <v>900</v>
      </c>
    </row>
    <row r="1234" spans="1:16" x14ac:dyDescent="0.3">
      <c r="A1234">
        <f>Raw_Data!A1234</f>
        <v>1233</v>
      </c>
      <c r="B1234" s="2">
        <f>Raw_Data!B1234</f>
        <v>45561.687337962998</v>
      </c>
      <c r="C1234">
        <f>YEAR(Raw_Data!B1234)</f>
        <v>2024</v>
      </c>
      <c r="D1234" t="str">
        <f>IF(MONTH(Raw_Data!B1234)&gt;=4,YEAR(Raw_Data!B1234)&amp;"-"&amp;RIGHT(YEAR(Raw_Data!B1234)+1,2),YEAR(Raw_Data!B1234)-1&amp;"-"&amp;RIGHT(YEAR(Raw_Data!B1234),2))</f>
        <v>2024-25</v>
      </c>
      <c r="E1234" t="str">
        <f>"Q"&amp;ROUNDUP(MONTH(Raw_Data!B1234)/3,0)</f>
        <v>Q3</v>
      </c>
      <c r="F1234" t="str">
        <f>TEXT(Raw_Data!B1234,"mmm")</f>
        <v>Sep</v>
      </c>
      <c r="G1234" t="str">
        <f>TEXT(Raw_Data!B1234,"ddd")</f>
        <v>Thu</v>
      </c>
      <c r="H1234" t="str">
        <f>Raw_Data!D1234</f>
        <v>Invoiced</v>
      </c>
      <c r="I1234" t="str">
        <f>Raw_Data!F1234</f>
        <v>Tele-in</v>
      </c>
      <c r="J1234" t="str">
        <f>Raw_Data!G1234</f>
        <v>Referral-CAM</v>
      </c>
      <c r="K1234" t="str">
        <f>IFERROR(VLOOKUP(J1234,Source_Assumptions!$A:$C,2,0),"Unmapped")</f>
        <v>Referral</v>
      </c>
      <c r="L1234" t="str">
        <f>Raw_Data!H1234</f>
        <v>AMAZE Petrol</v>
      </c>
      <c r="M1234" t="str">
        <f>IFERROR(VLOOKUP(L1234,Model_Assumptions!$A:$D,2,0),"Unmapped")</f>
        <v>Sub-4m Sedan</v>
      </c>
      <c r="N1234" t="str">
        <f>IFERROR(VLOOKUP(L1234,Model_Assumptions!$A:$D,3,0),"Unmapped")</f>
        <v>Petrol</v>
      </c>
      <c r="O1234">
        <f>IFERROR(VLOOKUP(L1234,Model_Assumptions!$A:$D,4,0),0)</f>
        <v>850000</v>
      </c>
      <c r="P1234">
        <f>IFERROR(VLOOKUP(J1234,Source_Assumptions!$A:$C,3,0),0)</f>
        <v>150</v>
      </c>
    </row>
    <row r="1235" spans="1:16" x14ac:dyDescent="0.3">
      <c r="A1235">
        <f>Raw_Data!A1235</f>
        <v>1234</v>
      </c>
      <c r="B1235" s="2">
        <f>Raw_Data!B1235</f>
        <v>45561.718958333302</v>
      </c>
      <c r="C1235">
        <f>YEAR(Raw_Data!B1235)</f>
        <v>2024</v>
      </c>
      <c r="D1235" t="str">
        <f>IF(MONTH(Raw_Data!B1235)&gt;=4,YEAR(Raw_Data!B1235)&amp;"-"&amp;RIGHT(YEAR(Raw_Data!B1235)+1,2),YEAR(Raw_Data!B1235)-1&amp;"-"&amp;RIGHT(YEAR(Raw_Data!B1235),2))</f>
        <v>2024-25</v>
      </c>
      <c r="E1235" t="str">
        <f>"Q"&amp;ROUNDUP(MONTH(Raw_Data!B1235)/3,0)</f>
        <v>Q3</v>
      </c>
      <c r="F1235" t="str">
        <f>TEXT(Raw_Data!B1235,"mmm")</f>
        <v>Sep</v>
      </c>
      <c r="G1235" t="str">
        <f>TEXT(Raw_Data!B1235,"ddd")</f>
        <v>Thu</v>
      </c>
      <c r="H1235" t="str">
        <f>Raw_Data!D1235</f>
        <v>Invoiced</v>
      </c>
      <c r="I1235" t="str">
        <f>Raw_Data!F1235</f>
        <v>Tele-in</v>
      </c>
      <c r="J1235" t="str">
        <f>Raw_Data!G1235</f>
        <v>Dealer Webpage Tele-In</v>
      </c>
      <c r="K1235" t="str">
        <f>IFERROR(VLOOKUP(J1235,Source_Assumptions!$A:$C,2,0),"Unmapped")</f>
        <v>Digital - Owned</v>
      </c>
      <c r="L1235" t="str">
        <f>Raw_Data!H1235</f>
        <v>5TH GEN CITY PE</v>
      </c>
      <c r="M1235" t="str">
        <f>IFERROR(VLOOKUP(L1235,Model_Assumptions!$A:$D,2,0),"Unmapped")</f>
        <v>Mid-size Sedan</v>
      </c>
      <c r="N1235" t="str">
        <f>IFERROR(VLOOKUP(L1235,Model_Assumptions!$A:$D,3,0),"Unmapped")</f>
        <v>Petrol</v>
      </c>
      <c r="O1235">
        <f>IFERROR(VLOOKUP(L1235,Model_Assumptions!$A:$D,4,0),0)</f>
        <v>1250000</v>
      </c>
      <c r="P1235">
        <f>IFERROR(VLOOKUP(J1235,Source_Assumptions!$A:$C,3,0),0)</f>
        <v>300</v>
      </c>
    </row>
    <row r="1236" spans="1:16" x14ac:dyDescent="0.3">
      <c r="A1236">
        <f>Raw_Data!A1236</f>
        <v>1235</v>
      </c>
      <c r="B1236" s="2">
        <f>Raw_Data!B1236</f>
        <v>45561.720185185201</v>
      </c>
      <c r="C1236">
        <f>YEAR(Raw_Data!B1236)</f>
        <v>2024</v>
      </c>
      <c r="D1236" t="str">
        <f>IF(MONTH(Raw_Data!B1236)&gt;=4,YEAR(Raw_Data!B1236)&amp;"-"&amp;RIGHT(YEAR(Raw_Data!B1236)+1,2),YEAR(Raw_Data!B1236)-1&amp;"-"&amp;RIGHT(YEAR(Raw_Data!B1236),2))</f>
        <v>2024-25</v>
      </c>
      <c r="E1236" t="str">
        <f>"Q"&amp;ROUNDUP(MONTH(Raw_Data!B1236)/3,0)</f>
        <v>Q3</v>
      </c>
      <c r="F1236" t="str">
        <f>TEXT(Raw_Data!B1236,"mmm")</f>
        <v>Sep</v>
      </c>
      <c r="G1236" t="str">
        <f>TEXT(Raw_Data!B1236,"ddd")</f>
        <v>Thu</v>
      </c>
      <c r="H1236" t="str">
        <f>Raw_Data!D1236</f>
        <v>Invoiced</v>
      </c>
      <c r="I1236" t="str">
        <f>Raw_Data!F1236</f>
        <v>Web Lead</v>
      </c>
      <c r="J1236" t="str">
        <f>Raw_Data!G1236</f>
        <v>Web_Organic</v>
      </c>
      <c r="K1236" t="str">
        <f>IFERROR(VLOOKUP(J1236,Source_Assumptions!$A:$C,2,0),"Unmapped")</f>
        <v>Digital - Organic</v>
      </c>
      <c r="L1236" t="str">
        <f>Raw_Data!H1236</f>
        <v>ELEVATE</v>
      </c>
      <c r="M1236" t="str">
        <f>IFERROR(VLOOKUP(L1236,Model_Assumptions!$A:$D,2,0),"Unmapped")</f>
        <v>Compact SUV</v>
      </c>
      <c r="N1236" t="str">
        <f>IFERROR(VLOOKUP(L1236,Model_Assumptions!$A:$D,3,0),"Unmapped")</f>
        <v>Petrol</v>
      </c>
      <c r="O1236">
        <f>IFERROR(VLOOKUP(L1236,Model_Assumptions!$A:$D,4,0),0)</f>
        <v>1300000</v>
      </c>
      <c r="P1236">
        <f>IFERROR(VLOOKUP(J1236,Source_Assumptions!$A:$C,3,0),0)</f>
        <v>100</v>
      </c>
    </row>
    <row r="1237" spans="1:16" x14ac:dyDescent="0.3">
      <c r="A1237">
        <f>Raw_Data!A1237</f>
        <v>1236</v>
      </c>
      <c r="B1237" s="2">
        <f>Raw_Data!B1237</f>
        <v>45561.746666666702</v>
      </c>
      <c r="C1237">
        <f>YEAR(Raw_Data!B1237)</f>
        <v>2024</v>
      </c>
      <c r="D1237" t="str">
        <f>IF(MONTH(Raw_Data!B1237)&gt;=4,YEAR(Raw_Data!B1237)&amp;"-"&amp;RIGHT(YEAR(Raw_Data!B1237)+1,2),YEAR(Raw_Data!B1237)-1&amp;"-"&amp;RIGHT(YEAR(Raw_Data!B1237),2))</f>
        <v>2024-25</v>
      </c>
      <c r="E1237" t="str">
        <f>"Q"&amp;ROUNDUP(MONTH(Raw_Data!B1237)/3,0)</f>
        <v>Q3</v>
      </c>
      <c r="F1237" t="str">
        <f>TEXT(Raw_Data!B1237,"mmm")</f>
        <v>Sep</v>
      </c>
      <c r="G1237" t="str">
        <f>TEXT(Raw_Data!B1237,"ddd")</f>
        <v>Thu</v>
      </c>
      <c r="H1237" t="str">
        <f>Raw_Data!D1237</f>
        <v>Invoiced</v>
      </c>
      <c r="I1237" t="str">
        <f>Raw_Data!F1237</f>
        <v>Walk-in Showroom</v>
      </c>
      <c r="J1237" t="str">
        <f>Raw_Data!G1237</f>
        <v>Adver. (TVC/Print/Hoarding/FM)</v>
      </c>
      <c r="K1237" t="str">
        <f>IFERROR(VLOOKUP(J1237,Source_Assumptions!$A:$C,2,0),"Unmapped")</f>
        <v>Traditional Advertising</v>
      </c>
      <c r="L1237" t="str">
        <f>Raw_Data!H1237</f>
        <v>AMAZE Petrol</v>
      </c>
      <c r="M1237" t="str">
        <f>IFERROR(VLOOKUP(L1237,Model_Assumptions!$A:$D,2,0),"Unmapped")</f>
        <v>Sub-4m Sedan</v>
      </c>
      <c r="N1237" t="str">
        <f>IFERROR(VLOOKUP(L1237,Model_Assumptions!$A:$D,3,0),"Unmapped")</f>
        <v>Petrol</v>
      </c>
      <c r="O1237">
        <f>IFERROR(VLOOKUP(L1237,Model_Assumptions!$A:$D,4,0),0)</f>
        <v>850000</v>
      </c>
      <c r="P1237">
        <f>IFERROR(VLOOKUP(J1237,Source_Assumptions!$A:$C,3,0),0)</f>
        <v>1200</v>
      </c>
    </row>
    <row r="1238" spans="1:16" x14ac:dyDescent="0.3">
      <c r="A1238">
        <f>Raw_Data!A1238</f>
        <v>1237</v>
      </c>
      <c r="B1238" s="2">
        <f>Raw_Data!B1238</f>
        <v>45561.7488310185</v>
      </c>
      <c r="C1238">
        <f>YEAR(Raw_Data!B1238)</f>
        <v>2024</v>
      </c>
      <c r="D1238" t="str">
        <f>IF(MONTH(Raw_Data!B1238)&gt;=4,YEAR(Raw_Data!B1238)&amp;"-"&amp;RIGHT(YEAR(Raw_Data!B1238)+1,2),YEAR(Raw_Data!B1238)-1&amp;"-"&amp;RIGHT(YEAR(Raw_Data!B1238),2))</f>
        <v>2024-25</v>
      </c>
      <c r="E1238" t="str">
        <f>"Q"&amp;ROUNDUP(MONTH(Raw_Data!B1238)/3,0)</f>
        <v>Q3</v>
      </c>
      <c r="F1238" t="str">
        <f>TEXT(Raw_Data!B1238,"mmm")</f>
        <v>Sep</v>
      </c>
      <c r="G1238" t="str">
        <f>TEXT(Raw_Data!B1238,"ddd")</f>
        <v>Thu</v>
      </c>
      <c r="H1238" t="str">
        <f>Raw_Data!D1238</f>
        <v>Invoiced</v>
      </c>
      <c r="I1238" t="str">
        <f>Raw_Data!F1238</f>
        <v>SMS/ Tele-Out</v>
      </c>
      <c r="J1238" t="str">
        <f>Raw_Data!G1238</f>
        <v>UIO Re-purchase</v>
      </c>
      <c r="K1238" t="str">
        <f>IFERROR(VLOOKUP(J1238,Source_Assumptions!$A:$C,2,0),"Unmapped")</f>
        <v>Existing Customer</v>
      </c>
      <c r="L1238" t="str">
        <f>Raw_Data!H1238</f>
        <v>5TH GEN CITY PE</v>
      </c>
      <c r="M1238" t="str">
        <f>IFERROR(VLOOKUP(L1238,Model_Assumptions!$A:$D,2,0),"Unmapped")</f>
        <v>Mid-size Sedan</v>
      </c>
      <c r="N1238" t="str">
        <f>IFERROR(VLOOKUP(L1238,Model_Assumptions!$A:$D,3,0),"Unmapped")</f>
        <v>Petrol</v>
      </c>
      <c r="O1238">
        <f>IFERROR(VLOOKUP(L1238,Model_Assumptions!$A:$D,4,0),0)</f>
        <v>1250000</v>
      </c>
      <c r="P1238">
        <f>IFERROR(VLOOKUP(J1238,Source_Assumptions!$A:$C,3,0),0)</f>
        <v>50</v>
      </c>
    </row>
    <row r="1239" spans="1:16" x14ac:dyDescent="0.3">
      <c r="A1239">
        <f>Raw_Data!A1239</f>
        <v>1238</v>
      </c>
      <c r="B1239" s="2">
        <f>Raw_Data!B1239</f>
        <v>45561.752685185202</v>
      </c>
      <c r="C1239">
        <f>YEAR(Raw_Data!B1239)</f>
        <v>2024</v>
      </c>
      <c r="D1239" t="str">
        <f>IF(MONTH(Raw_Data!B1239)&gt;=4,YEAR(Raw_Data!B1239)&amp;"-"&amp;RIGHT(YEAR(Raw_Data!B1239)+1,2),YEAR(Raw_Data!B1239)-1&amp;"-"&amp;RIGHT(YEAR(Raw_Data!B1239),2))</f>
        <v>2024-25</v>
      </c>
      <c r="E1239" t="str">
        <f>"Q"&amp;ROUNDUP(MONTH(Raw_Data!B1239)/3,0)</f>
        <v>Q3</v>
      </c>
      <c r="F1239" t="str">
        <f>TEXT(Raw_Data!B1239,"mmm")</f>
        <v>Sep</v>
      </c>
      <c r="G1239" t="str">
        <f>TEXT(Raw_Data!B1239,"ddd")</f>
        <v>Thu</v>
      </c>
      <c r="H1239" t="str">
        <f>Raw_Data!D1239</f>
        <v>Invoiced</v>
      </c>
      <c r="I1239" t="str">
        <f>Raw_Data!F1239</f>
        <v>Walk-in Showroom</v>
      </c>
      <c r="J1239" t="str">
        <f>Raw_Data!G1239</f>
        <v>Referral (HC/HBLP)</v>
      </c>
      <c r="K1239" t="str">
        <f>IFERROR(VLOOKUP(J1239,Source_Assumptions!$A:$C,2,0),"Unmapped")</f>
        <v>Referral (Happy Customer)</v>
      </c>
      <c r="L1239" t="str">
        <f>Raw_Data!H1239</f>
        <v>ELEVATE</v>
      </c>
      <c r="M1239" t="str">
        <f>IFERROR(VLOOKUP(L1239,Model_Assumptions!$A:$D,2,0),"Unmapped")</f>
        <v>Compact SUV</v>
      </c>
      <c r="N1239" t="str">
        <f>IFERROR(VLOOKUP(L1239,Model_Assumptions!$A:$D,3,0),"Unmapped")</f>
        <v>Petrol</v>
      </c>
      <c r="O1239">
        <f>IFERROR(VLOOKUP(L1239,Model_Assumptions!$A:$D,4,0),0)</f>
        <v>1300000</v>
      </c>
      <c r="P1239">
        <f>IFERROR(VLOOKUP(J1239,Source_Assumptions!$A:$C,3,0),0)</f>
        <v>100</v>
      </c>
    </row>
    <row r="1240" spans="1:16" x14ac:dyDescent="0.3">
      <c r="A1240">
        <f>Raw_Data!A1240</f>
        <v>1239</v>
      </c>
      <c r="B1240" s="2">
        <f>Raw_Data!B1240</f>
        <v>45561.753564814797</v>
      </c>
      <c r="C1240">
        <f>YEAR(Raw_Data!B1240)</f>
        <v>2024</v>
      </c>
      <c r="D1240" t="str">
        <f>IF(MONTH(Raw_Data!B1240)&gt;=4,YEAR(Raw_Data!B1240)&amp;"-"&amp;RIGHT(YEAR(Raw_Data!B1240)+1,2),YEAR(Raw_Data!B1240)-1&amp;"-"&amp;RIGHT(YEAR(Raw_Data!B1240),2))</f>
        <v>2024-25</v>
      </c>
      <c r="E1240" t="str">
        <f>"Q"&amp;ROUNDUP(MONTH(Raw_Data!B1240)/3,0)</f>
        <v>Q3</v>
      </c>
      <c r="F1240" t="str">
        <f>TEXT(Raw_Data!B1240,"mmm")</f>
        <v>Sep</v>
      </c>
      <c r="G1240" t="str">
        <f>TEXT(Raw_Data!B1240,"ddd")</f>
        <v>Thu</v>
      </c>
      <c r="H1240" t="str">
        <f>Raw_Data!D1240</f>
        <v>Invoiced</v>
      </c>
      <c r="I1240" t="str">
        <f>Raw_Data!F1240</f>
        <v>SMS/ Tele-Out</v>
      </c>
      <c r="J1240" t="str">
        <f>Raw_Data!G1240</f>
        <v>Referral (HC/HBLP)</v>
      </c>
      <c r="K1240" t="str">
        <f>IFERROR(VLOOKUP(J1240,Source_Assumptions!$A:$C,2,0),"Unmapped")</f>
        <v>Referral (Happy Customer)</v>
      </c>
      <c r="L1240" t="str">
        <f>Raw_Data!H1240</f>
        <v>5TH GEN CITY PE</v>
      </c>
      <c r="M1240" t="str">
        <f>IFERROR(VLOOKUP(L1240,Model_Assumptions!$A:$D,2,0),"Unmapped")</f>
        <v>Mid-size Sedan</v>
      </c>
      <c r="N1240" t="str">
        <f>IFERROR(VLOOKUP(L1240,Model_Assumptions!$A:$D,3,0),"Unmapped")</f>
        <v>Petrol</v>
      </c>
      <c r="O1240">
        <f>IFERROR(VLOOKUP(L1240,Model_Assumptions!$A:$D,4,0),0)</f>
        <v>1250000</v>
      </c>
      <c r="P1240">
        <f>IFERROR(VLOOKUP(J1240,Source_Assumptions!$A:$C,3,0),0)</f>
        <v>100</v>
      </c>
    </row>
    <row r="1241" spans="1:16" x14ac:dyDescent="0.3">
      <c r="A1241">
        <f>Raw_Data!A1241</f>
        <v>1240</v>
      </c>
      <c r="B1241" s="2">
        <f>Raw_Data!B1241</f>
        <v>45561.770162036999</v>
      </c>
      <c r="C1241">
        <f>YEAR(Raw_Data!B1241)</f>
        <v>2024</v>
      </c>
      <c r="D1241" t="str">
        <f>IF(MONTH(Raw_Data!B1241)&gt;=4,YEAR(Raw_Data!B1241)&amp;"-"&amp;RIGHT(YEAR(Raw_Data!B1241)+1,2),YEAR(Raw_Data!B1241)-1&amp;"-"&amp;RIGHT(YEAR(Raw_Data!B1241),2))</f>
        <v>2024-25</v>
      </c>
      <c r="E1241" t="str">
        <f>"Q"&amp;ROUNDUP(MONTH(Raw_Data!B1241)/3,0)</f>
        <v>Q3</v>
      </c>
      <c r="F1241" t="str">
        <f>TEXT(Raw_Data!B1241,"mmm")</f>
        <v>Sep</v>
      </c>
      <c r="G1241" t="str">
        <f>TEXT(Raw_Data!B1241,"ddd")</f>
        <v>Thu</v>
      </c>
      <c r="H1241" t="str">
        <f>Raw_Data!D1241</f>
        <v>Invoiced</v>
      </c>
      <c r="I1241" t="str">
        <f>Raw_Data!F1241</f>
        <v>Tele-in</v>
      </c>
      <c r="J1241" t="str">
        <f>Raw_Data!G1241</f>
        <v>Referral-CAM</v>
      </c>
      <c r="K1241" t="str">
        <f>IFERROR(VLOOKUP(J1241,Source_Assumptions!$A:$C,2,0),"Unmapped")</f>
        <v>Referral</v>
      </c>
      <c r="L1241" t="str">
        <f>Raw_Data!H1241</f>
        <v>ELEVATE</v>
      </c>
      <c r="M1241" t="str">
        <f>IFERROR(VLOOKUP(L1241,Model_Assumptions!$A:$D,2,0),"Unmapped")</f>
        <v>Compact SUV</v>
      </c>
      <c r="N1241" t="str">
        <f>IFERROR(VLOOKUP(L1241,Model_Assumptions!$A:$D,3,0),"Unmapped")</f>
        <v>Petrol</v>
      </c>
      <c r="O1241">
        <f>IFERROR(VLOOKUP(L1241,Model_Assumptions!$A:$D,4,0),0)</f>
        <v>1300000</v>
      </c>
      <c r="P1241">
        <f>IFERROR(VLOOKUP(J1241,Source_Assumptions!$A:$C,3,0),0)</f>
        <v>150</v>
      </c>
    </row>
    <row r="1242" spans="1:16" x14ac:dyDescent="0.3">
      <c r="A1242">
        <f>Raw_Data!A1242</f>
        <v>1241</v>
      </c>
      <c r="B1242" s="2">
        <f>Raw_Data!B1242</f>
        <v>45561.771284722199</v>
      </c>
      <c r="C1242">
        <f>YEAR(Raw_Data!B1242)</f>
        <v>2024</v>
      </c>
      <c r="D1242" t="str">
        <f>IF(MONTH(Raw_Data!B1242)&gt;=4,YEAR(Raw_Data!B1242)&amp;"-"&amp;RIGHT(YEAR(Raw_Data!B1242)+1,2),YEAR(Raw_Data!B1242)-1&amp;"-"&amp;RIGHT(YEAR(Raw_Data!B1242),2))</f>
        <v>2024-25</v>
      </c>
      <c r="E1242" t="str">
        <f>"Q"&amp;ROUNDUP(MONTH(Raw_Data!B1242)/3,0)</f>
        <v>Q3</v>
      </c>
      <c r="F1242" t="str">
        <f>TEXT(Raw_Data!B1242,"mmm")</f>
        <v>Sep</v>
      </c>
      <c r="G1242" t="str">
        <f>TEXT(Raw_Data!B1242,"ddd")</f>
        <v>Thu</v>
      </c>
      <c r="H1242" t="str">
        <f>Raw_Data!D1242</f>
        <v>Invoiced</v>
      </c>
      <c r="I1242" t="str">
        <f>Raw_Data!F1242</f>
        <v>Walk-in Showroom</v>
      </c>
      <c r="J1242" t="str">
        <f>Raw_Data!G1242</f>
        <v>Referral (HC/HBLP)</v>
      </c>
      <c r="K1242" t="str">
        <f>IFERROR(VLOOKUP(J1242,Source_Assumptions!$A:$C,2,0),"Unmapped")</f>
        <v>Referral (Happy Customer)</v>
      </c>
      <c r="L1242" t="str">
        <f>Raw_Data!H1242</f>
        <v>ELEVATE</v>
      </c>
      <c r="M1242" t="str">
        <f>IFERROR(VLOOKUP(L1242,Model_Assumptions!$A:$D,2,0),"Unmapped")</f>
        <v>Compact SUV</v>
      </c>
      <c r="N1242" t="str">
        <f>IFERROR(VLOOKUP(L1242,Model_Assumptions!$A:$D,3,0),"Unmapped")</f>
        <v>Petrol</v>
      </c>
      <c r="O1242">
        <f>IFERROR(VLOOKUP(L1242,Model_Assumptions!$A:$D,4,0),0)</f>
        <v>1300000</v>
      </c>
      <c r="P1242">
        <f>IFERROR(VLOOKUP(J1242,Source_Assumptions!$A:$C,3,0),0)</f>
        <v>100</v>
      </c>
    </row>
    <row r="1243" spans="1:16" x14ac:dyDescent="0.3">
      <c r="A1243">
        <f>Raw_Data!A1243</f>
        <v>1242</v>
      </c>
      <c r="B1243" s="2">
        <f>Raw_Data!B1243</f>
        <v>45561.788217592599</v>
      </c>
      <c r="C1243">
        <f>YEAR(Raw_Data!B1243)</f>
        <v>2024</v>
      </c>
      <c r="D1243" t="str">
        <f>IF(MONTH(Raw_Data!B1243)&gt;=4,YEAR(Raw_Data!B1243)&amp;"-"&amp;RIGHT(YEAR(Raw_Data!B1243)+1,2),YEAR(Raw_Data!B1243)-1&amp;"-"&amp;RIGHT(YEAR(Raw_Data!B1243),2))</f>
        <v>2024-25</v>
      </c>
      <c r="E1243" t="str">
        <f>"Q"&amp;ROUNDUP(MONTH(Raw_Data!B1243)/3,0)</f>
        <v>Q3</v>
      </c>
      <c r="F1243" t="str">
        <f>TEXT(Raw_Data!B1243,"mmm")</f>
        <v>Sep</v>
      </c>
      <c r="G1243" t="str">
        <f>TEXT(Raw_Data!B1243,"ddd")</f>
        <v>Thu</v>
      </c>
      <c r="H1243" t="str">
        <f>Raw_Data!D1243</f>
        <v>Invoiced</v>
      </c>
      <c r="I1243" t="str">
        <f>Raw_Data!F1243</f>
        <v>Tele-in</v>
      </c>
      <c r="J1243" t="str">
        <f>Raw_Data!G1243</f>
        <v>Dealer Webpage Tele-In</v>
      </c>
      <c r="K1243" t="str">
        <f>IFERROR(VLOOKUP(J1243,Source_Assumptions!$A:$C,2,0),"Unmapped")</f>
        <v>Digital - Owned</v>
      </c>
      <c r="L1243" t="str">
        <f>Raw_Data!H1243</f>
        <v>ELEVATE</v>
      </c>
      <c r="M1243" t="str">
        <f>IFERROR(VLOOKUP(L1243,Model_Assumptions!$A:$D,2,0),"Unmapped")</f>
        <v>Compact SUV</v>
      </c>
      <c r="N1243" t="str">
        <f>IFERROR(VLOOKUP(L1243,Model_Assumptions!$A:$D,3,0),"Unmapped")</f>
        <v>Petrol</v>
      </c>
      <c r="O1243">
        <f>IFERROR(VLOOKUP(L1243,Model_Assumptions!$A:$D,4,0),0)</f>
        <v>1300000</v>
      </c>
      <c r="P1243">
        <f>IFERROR(VLOOKUP(J1243,Source_Assumptions!$A:$C,3,0),0)</f>
        <v>300</v>
      </c>
    </row>
    <row r="1244" spans="1:16" x14ac:dyDescent="0.3">
      <c r="A1244">
        <f>Raw_Data!A1244</f>
        <v>1243</v>
      </c>
      <c r="B1244" s="2">
        <f>Raw_Data!B1244</f>
        <v>45562.698530092603</v>
      </c>
      <c r="C1244">
        <f>YEAR(Raw_Data!B1244)</f>
        <v>2024</v>
      </c>
      <c r="D1244" t="str">
        <f>IF(MONTH(Raw_Data!B1244)&gt;=4,YEAR(Raw_Data!B1244)&amp;"-"&amp;RIGHT(YEAR(Raw_Data!B1244)+1,2),YEAR(Raw_Data!B1244)-1&amp;"-"&amp;RIGHT(YEAR(Raw_Data!B1244),2))</f>
        <v>2024-25</v>
      </c>
      <c r="E1244" t="str">
        <f>"Q"&amp;ROUNDUP(MONTH(Raw_Data!B1244)/3,0)</f>
        <v>Q3</v>
      </c>
      <c r="F1244" t="str">
        <f>TEXT(Raw_Data!B1244,"mmm")</f>
        <v>Sep</v>
      </c>
      <c r="G1244" t="str">
        <f>TEXT(Raw_Data!B1244,"ddd")</f>
        <v>Fri</v>
      </c>
      <c r="H1244" t="str">
        <f>Raw_Data!D1244</f>
        <v>Invoiced</v>
      </c>
      <c r="I1244" t="str">
        <f>Raw_Data!F1244</f>
        <v>Tele-in</v>
      </c>
      <c r="J1244" t="str">
        <f>Raw_Data!G1244</f>
        <v>Referral-CAM</v>
      </c>
      <c r="K1244" t="str">
        <f>IFERROR(VLOOKUP(J1244,Source_Assumptions!$A:$C,2,0),"Unmapped")</f>
        <v>Referral</v>
      </c>
      <c r="L1244" t="str">
        <f>Raw_Data!H1244</f>
        <v>AMAZE Petrol</v>
      </c>
      <c r="M1244" t="str">
        <f>IFERROR(VLOOKUP(L1244,Model_Assumptions!$A:$D,2,0),"Unmapped")</f>
        <v>Sub-4m Sedan</v>
      </c>
      <c r="N1244" t="str">
        <f>IFERROR(VLOOKUP(L1244,Model_Assumptions!$A:$D,3,0),"Unmapped")</f>
        <v>Petrol</v>
      </c>
      <c r="O1244">
        <f>IFERROR(VLOOKUP(L1244,Model_Assumptions!$A:$D,4,0),0)</f>
        <v>850000</v>
      </c>
      <c r="P1244">
        <f>IFERROR(VLOOKUP(J1244,Source_Assumptions!$A:$C,3,0),0)</f>
        <v>150</v>
      </c>
    </row>
    <row r="1245" spans="1:16" x14ac:dyDescent="0.3">
      <c r="A1245">
        <f>Raw_Data!A1245</f>
        <v>1244</v>
      </c>
      <c r="B1245" s="2">
        <f>Raw_Data!B1245</f>
        <v>45565.572939814803</v>
      </c>
      <c r="C1245">
        <f>YEAR(Raw_Data!B1245)</f>
        <v>2024</v>
      </c>
      <c r="D1245" t="str">
        <f>IF(MONTH(Raw_Data!B1245)&gt;=4,YEAR(Raw_Data!B1245)&amp;"-"&amp;RIGHT(YEAR(Raw_Data!B1245)+1,2),YEAR(Raw_Data!B1245)-1&amp;"-"&amp;RIGHT(YEAR(Raw_Data!B1245),2))</f>
        <v>2024-25</v>
      </c>
      <c r="E1245" t="str">
        <f>"Q"&amp;ROUNDUP(MONTH(Raw_Data!B1245)/3,0)</f>
        <v>Q3</v>
      </c>
      <c r="F1245" t="str">
        <f>TEXT(Raw_Data!B1245,"mmm")</f>
        <v>Sep</v>
      </c>
      <c r="G1245" t="str">
        <f>TEXT(Raw_Data!B1245,"ddd")</f>
        <v>Mon</v>
      </c>
      <c r="H1245" t="str">
        <f>Raw_Data!D1245</f>
        <v>Invoiced</v>
      </c>
      <c r="I1245" t="str">
        <f>Raw_Data!F1245</f>
        <v>Walk-in Showroom</v>
      </c>
      <c r="J1245" t="str">
        <f>Raw_Data!G1245</f>
        <v>Adver. (TVC/Print/Hoarding/FM)</v>
      </c>
      <c r="K1245" t="str">
        <f>IFERROR(VLOOKUP(J1245,Source_Assumptions!$A:$C,2,0),"Unmapped")</f>
        <v>Traditional Advertising</v>
      </c>
      <c r="L1245" t="str">
        <f>Raw_Data!H1245</f>
        <v>AMAZE Petrol</v>
      </c>
      <c r="M1245" t="str">
        <f>IFERROR(VLOOKUP(L1245,Model_Assumptions!$A:$D,2,0),"Unmapped")</f>
        <v>Sub-4m Sedan</v>
      </c>
      <c r="N1245" t="str">
        <f>IFERROR(VLOOKUP(L1245,Model_Assumptions!$A:$D,3,0),"Unmapped")</f>
        <v>Petrol</v>
      </c>
      <c r="O1245">
        <f>IFERROR(VLOOKUP(L1245,Model_Assumptions!$A:$D,4,0),0)</f>
        <v>850000</v>
      </c>
      <c r="P1245">
        <f>IFERROR(VLOOKUP(J1245,Source_Assumptions!$A:$C,3,0),0)</f>
        <v>1200</v>
      </c>
    </row>
    <row r="1246" spans="1:16" x14ac:dyDescent="0.3">
      <c r="A1246">
        <f>Raw_Data!A1246</f>
        <v>1245</v>
      </c>
      <c r="B1246" s="2">
        <f>Raw_Data!B1246</f>
        <v>45565.810347222199</v>
      </c>
      <c r="C1246">
        <f>YEAR(Raw_Data!B1246)</f>
        <v>2024</v>
      </c>
      <c r="D1246" t="str">
        <f>IF(MONTH(Raw_Data!B1246)&gt;=4,YEAR(Raw_Data!B1246)&amp;"-"&amp;RIGHT(YEAR(Raw_Data!B1246)+1,2),YEAR(Raw_Data!B1246)-1&amp;"-"&amp;RIGHT(YEAR(Raw_Data!B1246),2))</f>
        <v>2024-25</v>
      </c>
      <c r="E1246" t="str">
        <f>"Q"&amp;ROUNDUP(MONTH(Raw_Data!B1246)/3,0)</f>
        <v>Q3</v>
      </c>
      <c r="F1246" t="str">
        <f>TEXT(Raw_Data!B1246,"mmm")</f>
        <v>Sep</v>
      </c>
      <c r="G1246" t="str">
        <f>TEXT(Raw_Data!B1246,"ddd")</f>
        <v>Mon</v>
      </c>
      <c r="H1246" t="str">
        <f>Raw_Data!D1246</f>
        <v>Invoiced</v>
      </c>
      <c r="I1246" t="str">
        <f>Raw_Data!F1246</f>
        <v>SMS/ Tele-Out</v>
      </c>
      <c r="J1246" t="str">
        <f>Raw_Data!G1246</f>
        <v>Database Activity(Teleout/SMS)</v>
      </c>
      <c r="K1246" t="str">
        <f>IFERROR(VLOOKUP(J1246,Source_Assumptions!$A:$C,2,0),"Unmapped")</f>
        <v>Outbound/Database</v>
      </c>
      <c r="L1246" t="str">
        <f>Raw_Data!H1246</f>
        <v>ELEVATE</v>
      </c>
      <c r="M1246" t="str">
        <f>IFERROR(VLOOKUP(L1246,Model_Assumptions!$A:$D,2,0),"Unmapped")</f>
        <v>Compact SUV</v>
      </c>
      <c r="N1246" t="str">
        <f>IFERROR(VLOOKUP(L1246,Model_Assumptions!$A:$D,3,0),"Unmapped")</f>
        <v>Petrol</v>
      </c>
      <c r="O1246">
        <f>IFERROR(VLOOKUP(L1246,Model_Assumptions!$A:$D,4,0),0)</f>
        <v>1300000</v>
      </c>
      <c r="P1246">
        <f>IFERROR(VLOOKUP(J1246,Source_Assumptions!$A:$C,3,0),0)</f>
        <v>250</v>
      </c>
    </row>
    <row r="1247" spans="1:16" x14ac:dyDescent="0.3">
      <c r="A1247">
        <f>Raw_Data!A1247</f>
        <v>1246</v>
      </c>
      <c r="B1247" s="2">
        <f>Raw_Data!B1247</f>
        <v>45565.817696759303</v>
      </c>
      <c r="C1247">
        <f>YEAR(Raw_Data!B1247)</f>
        <v>2024</v>
      </c>
      <c r="D1247" t="str">
        <f>IF(MONTH(Raw_Data!B1247)&gt;=4,YEAR(Raw_Data!B1247)&amp;"-"&amp;RIGHT(YEAR(Raw_Data!B1247)+1,2),YEAR(Raw_Data!B1247)-1&amp;"-"&amp;RIGHT(YEAR(Raw_Data!B1247),2))</f>
        <v>2024-25</v>
      </c>
      <c r="E1247" t="str">
        <f>"Q"&amp;ROUNDUP(MONTH(Raw_Data!B1247)/3,0)</f>
        <v>Q3</v>
      </c>
      <c r="F1247" t="str">
        <f>TEXT(Raw_Data!B1247,"mmm")</f>
        <v>Sep</v>
      </c>
      <c r="G1247" t="str">
        <f>TEXT(Raw_Data!B1247,"ddd")</f>
        <v>Mon</v>
      </c>
      <c r="H1247" t="str">
        <f>Raw_Data!D1247</f>
        <v>Invoiced</v>
      </c>
      <c r="I1247" t="str">
        <f>Raw_Data!F1247</f>
        <v>Tele-in</v>
      </c>
      <c r="J1247" t="str">
        <f>Raw_Data!G1247</f>
        <v>I-BAP Referral</v>
      </c>
      <c r="K1247" t="str">
        <f>IFERROR(VLOOKUP(J1247,Source_Assumptions!$A:$C,2,0),"Unmapped")</f>
        <v>Referral (Insurance/Banking Partner)</v>
      </c>
      <c r="L1247" t="str">
        <f>Raw_Data!H1247</f>
        <v>AMAZE Petrol</v>
      </c>
      <c r="M1247" t="str">
        <f>IFERROR(VLOOKUP(L1247,Model_Assumptions!$A:$D,2,0),"Unmapped")</f>
        <v>Sub-4m Sedan</v>
      </c>
      <c r="N1247" t="str">
        <f>IFERROR(VLOOKUP(L1247,Model_Assumptions!$A:$D,3,0),"Unmapped")</f>
        <v>Petrol</v>
      </c>
      <c r="O1247">
        <f>IFERROR(VLOOKUP(L1247,Model_Assumptions!$A:$D,4,0),0)</f>
        <v>850000</v>
      </c>
      <c r="P1247">
        <f>IFERROR(VLOOKUP(J1247,Source_Assumptions!$A:$C,3,0),0)</f>
        <v>150</v>
      </c>
    </row>
    <row r="1248" spans="1:16" x14ac:dyDescent="0.3">
      <c r="A1248">
        <f>Raw_Data!A1248</f>
        <v>1247</v>
      </c>
      <c r="B1248" s="2">
        <f>Raw_Data!B1248</f>
        <v>45565.851504629602</v>
      </c>
      <c r="C1248">
        <f>YEAR(Raw_Data!B1248)</f>
        <v>2024</v>
      </c>
      <c r="D1248" t="str">
        <f>IF(MONTH(Raw_Data!B1248)&gt;=4,YEAR(Raw_Data!B1248)&amp;"-"&amp;RIGHT(YEAR(Raw_Data!B1248)+1,2),YEAR(Raw_Data!B1248)-1&amp;"-"&amp;RIGHT(YEAR(Raw_Data!B1248),2))</f>
        <v>2024-25</v>
      </c>
      <c r="E1248" t="str">
        <f>"Q"&amp;ROUNDUP(MONTH(Raw_Data!B1248)/3,0)</f>
        <v>Q3</v>
      </c>
      <c r="F1248" t="str">
        <f>TEXT(Raw_Data!B1248,"mmm")</f>
        <v>Sep</v>
      </c>
      <c r="G1248" t="str">
        <f>TEXT(Raw_Data!B1248,"ddd")</f>
        <v>Mon</v>
      </c>
      <c r="H1248" t="str">
        <f>Raw_Data!D1248</f>
        <v>Invoiced</v>
      </c>
      <c r="I1248" t="str">
        <f>Raw_Data!F1248</f>
        <v>Tele-in</v>
      </c>
      <c r="J1248" t="str">
        <f>Raw_Data!G1248</f>
        <v>Dealer Webpage Tele-In</v>
      </c>
      <c r="K1248" t="str">
        <f>IFERROR(VLOOKUP(J1248,Source_Assumptions!$A:$C,2,0),"Unmapped")</f>
        <v>Digital - Owned</v>
      </c>
      <c r="L1248" t="str">
        <f>Raw_Data!H1248</f>
        <v>5TH GEN CITY PE</v>
      </c>
      <c r="M1248" t="str">
        <f>IFERROR(VLOOKUP(L1248,Model_Assumptions!$A:$D,2,0),"Unmapped")</f>
        <v>Mid-size Sedan</v>
      </c>
      <c r="N1248" t="str">
        <f>IFERROR(VLOOKUP(L1248,Model_Assumptions!$A:$D,3,0),"Unmapped")</f>
        <v>Petrol</v>
      </c>
      <c r="O1248">
        <f>IFERROR(VLOOKUP(L1248,Model_Assumptions!$A:$D,4,0),0)</f>
        <v>1250000</v>
      </c>
      <c r="P1248">
        <f>IFERROR(VLOOKUP(J1248,Source_Assumptions!$A:$C,3,0),0)</f>
        <v>300</v>
      </c>
    </row>
    <row r="1249" spans="1:16" x14ac:dyDescent="0.3">
      <c r="A1249">
        <f>Raw_Data!A1249</f>
        <v>1248</v>
      </c>
      <c r="B1249" s="2">
        <f>Raw_Data!B1249</f>
        <v>45565.8566319444</v>
      </c>
      <c r="C1249">
        <f>YEAR(Raw_Data!B1249)</f>
        <v>2024</v>
      </c>
      <c r="D1249" t="str">
        <f>IF(MONTH(Raw_Data!B1249)&gt;=4,YEAR(Raw_Data!B1249)&amp;"-"&amp;RIGHT(YEAR(Raw_Data!B1249)+1,2),YEAR(Raw_Data!B1249)-1&amp;"-"&amp;RIGHT(YEAR(Raw_Data!B1249),2))</f>
        <v>2024-25</v>
      </c>
      <c r="E1249" t="str">
        <f>"Q"&amp;ROUNDUP(MONTH(Raw_Data!B1249)/3,0)</f>
        <v>Q3</v>
      </c>
      <c r="F1249" t="str">
        <f>TEXT(Raw_Data!B1249,"mmm")</f>
        <v>Sep</v>
      </c>
      <c r="G1249" t="str">
        <f>TEXT(Raw_Data!B1249,"ddd")</f>
        <v>Mon</v>
      </c>
      <c r="H1249" t="str">
        <f>Raw_Data!D1249</f>
        <v>Invoiced</v>
      </c>
      <c r="I1249" t="str">
        <f>Raw_Data!F1249</f>
        <v>Walk-in Showroom</v>
      </c>
      <c r="J1249" t="str">
        <f>Raw_Data!G1249</f>
        <v>I-BAP Referral</v>
      </c>
      <c r="K1249" t="str">
        <f>IFERROR(VLOOKUP(J1249,Source_Assumptions!$A:$C,2,0),"Unmapped")</f>
        <v>Referral (Insurance/Banking Partner)</v>
      </c>
      <c r="L1249" t="str">
        <f>Raw_Data!H1249</f>
        <v>AMAZE Petrol</v>
      </c>
      <c r="M1249" t="str">
        <f>IFERROR(VLOOKUP(L1249,Model_Assumptions!$A:$D,2,0),"Unmapped")</f>
        <v>Sub-4m Sedan</v>
      </c>
      <c r="N1249" t="str">
        <f>IFERROR(VLOOKUP(L1249,Model_Assumptions!$A:$D,3,0),"Unmapped")</f>
        <v>Petrol</v>
      </c>
      <c r="O1249">
        <f>IFERROR(VLOOKUP(L1249,Model_Assumptions!$A:$D,4,0),0)</f>
        <v>850000</v>
      </c>
      <c r="P1249">
        <f>IFERROR(VLOOKUP(J1249,Source_Assumptions!$A:$C,3,0),0)</f>
        <v>150</v>
      </c>
    </row>
    <row r="1250" spans="1:16" x14ac:dyDescent="0.3">
      <c r="A1250">
        <f>Raw_Data!A1250</f>
        <v>1249</v>
      </c>
      <c r="B1250" s="2">
        <f>Raw_Data!B1250</f>
        <v>45565.862731481502</v>
      </c>
      <c r="C1250">
        <f>YEAR(Raw_Data!B1250)</f>
        <v>2024</v>
      </c>
      <c r="D1250" t="str">
        <f>IF(MONTH(Raw_Data!B1250)&gt;=4,YEAR(Raw_Data!B1250)&amp;"-"&amp;RIGHT(YEAR(Raw_Data!B1250)+1,2),YEAR(Raw_Data!B1250)-1&amp;"-"&amp;RIGHT(YEAR(Raw_Data!B1250),2))</f>
        <v>2024-25</v>
      </c>
      <c r="E1250" t="str">
        <f>"Q"&amp;ROUNDUP(MONTH(Raw_Data!B1250)/3,0)</f>
        <v>Q3</v>
      </c>
      <c r="F1250" t="str">
        <f>TEXT(Raw_Data!B1250,"mmm")</f>
        <v>Sep</v>
      </c>
      <c r="G1250" t="str">
        <f>TEXT(Raw_Data!B1250,"ddd")</f>
        <v>Mon</v>
      </c>
      <c r="H1250" t="str">
        <f>Raw_Data!D1250</f>
        <v>Invoiced</v>
      </c>
      <c r="I1250" t="str">
        <f>Raw_Data!F1250</f>
        <v>Tele-in</v>
      </c>
      <c r="J1250" t="str">
        <f>Raw_Data!G1250</f>
        <v>Referral-CAM</v>
      </c>
      <c r="K1250" t="str">
        <f>IFERROR(VLOOKUP(J1250,Source_Assumptions!$A:$C,2,0),"Unmapped")</f>
        <v>Referral</v>
      </c>
      <c r="L1250" t="str">
        <f>Raw_Data!H1250</f>
        <v>AMAZE Petrol</v>
      </c>
      <c r="M1250" t="str">
        <f>IFERROR(VLOOKUP(L1250,Model_Assumptions!$A:$D,2,0),"Unmapped")</f>
        <v>Sub-4m Sedan</v>
      </c>
      <c r="N1250" t="str">
        <f>IFERROR(VLOOKUP(L1250,Model_Assumptions!$A:$D,3,0),"Unmapped")</f>
        <v>Petrol</v>
      </c>
      <c r="O1250">
        <f>IFERROR(VLOOKUP(L1250,Model_Assumptions!$A:$D,4,0),0)</f>
        <v>850000</v>
      </c>
      <c r="P1250">
        <f>IFERROR(VLOOKUP(J1250,Source_Assumptions!$A:$C,3,0),0)</f>
        <v>150</v>
      </c>
    </row>
    <row r="1251" spans="1:16" x14ac:dyDescent="0.3">
      <c r="A1251">
        <f>Raw_Data!A1251</f>
        <v>1250</v>
      </c>
      <c r="B1251" s="2">
        <f>Raw_Data!B1251</f>
        <v>45565.8694791667</v>
      </c>
      <c r="C1251">
        <f>YEAR(Raw_Data!B1251)</f>
        <v>2024</v>
      </c>
      <c r="D1251" t="str">
        <f>IF(MONTH(Raw_Data!B1251)&gt;=4,YEAR(Raw_Data!B1251)&amp;"-"&amp;RIGHT(YEAR(Raw_Data!B1251)+1,2),YEAR(Raw_Data!B1251)-1&amp;"-"&amp;RIGHT(YEAR(Raw_Data!B1251),2))</f>
        <v>2024-25</v>
      </c>
      <c r="E1251" t="str">
        <f>"Q"&amp;ROUNDUP(MONTH(Raw_Data!B1251)/3,0)</f>
        <v>Q3</v>
      </c>
      <c r="F1251" t="str">
        <f>TEXT(Raw_Data!B1251,"mmm")</f>
        <v>Sep</v>
      </c>
      <c r="G1251" t="str">
        <f>TEXT(Raw_Data!B1251,"ddd")</f>
        <v>Mon</v>
      </c>
      <c r="H1251" t="str">
        <f>Raw_Data!D1251</f>
        <v>Invoiced</v>
      </c>
      <c r="I1251" t="str">
        <f>Raw_Data!F1251</f>
        <v>Walk-in Showroom</v>
      </c>
      <c r="J1251" t="str">
        <f>Raw_Data!G1251</f>
        <v>I-BAP Referral</v>
      </c>
      <c r="K1251" t="str">
        <f>IFERROR(VLOOKUP(J1251,Source_Assumptions!$A:$C,2,0),"Unmapped")</f>
        <v>Referral (Insurance/Banking Partner)</v>
      </c>
      <c r="L1251" t="str">
        <f>Raw_Data!H1251</f>
        <v>ELEVATE</v>
      </c>
      <c r="M1251" t="str">
        <f>IFERROR(VLOOKUP(L1251,Model_Assumptions!$A:$D,2,0),"Unmapped")</f>
        <v>Compact SUV</v>
      </c>
      <c r="N1251" t="str">
        <f>IFERROR(VLOOKUP(L1251,Model_Assumptions!$A:$D,3,0),"Unmapped")</f>
        <v>Petrol</v>
      </c>
      <c r="O1251">
        <f>IFERROR(VLOOKUP(L1251,Model_Assumptions!$A:$D,4,0),0)</f>
        <v>1300000</v>
      </c>
      <c r="P1251">
        <f>IFERROR(VLOOKUP(J1251,Source_Assumptions!$A:$C,3,0),0)</f>
        <v>150</v>
      </c>
    </row>
    <row r="1252" spans="1:16" x14ac:dyDescent="0.3">
      <c r="A1252">
        <f>Raw_Data!A1252</f>
        <v>1251</v>
      </c>
      <c r="B1252" s="2">
        <f>Raw_Data!B1252</f>
        <v>45565.882418981499</v>
      </c>
      <c r="C1252">
        <f>YEAR(Raw_Data!B1252)</f>
        <v>2024</v>
      </c>
      <c r="D1252" t="str">
        <f>IF(MONTH(Raw_Data!B1252)&gt;=4,YEAR(Raw_Data!B1252)&amp;"-"&amp;RIGHT(YEAR(Raw_Data!B1252)+1,2),YEAR(Raw_Data!B1252)-1&amp;"-"&amp;RIGHT(YEAR(Raw_Data!B1252),2))</f>
        <v>2024-25</v>
      </c>
      <c r="E1252" t="str">
        <f>"Q"&amp;ROUNDUP(MONTH(Raw_Data!B1252)/3,0)</f>
        <v>Q3</v>
      </c>
      <c r="F1252" t="str">
        <f>TEXT(Raw_Data!B1252,"mmm")</f>
        <v>Sep</v>
      </c>
      <c r="G1252" t="str">
        <f>TEXT(Raw_Data!B1252,"ddd")</f>
        <v>Mon</v>
      </c>
      <c r="H1252" t="str">
        <f>Raw_Data!D1252</f>
        <v>Invoiced</v>
      </c>
      <c r="I1252" t="str">
        <f>Raw_Data!F1252</f>
        <v>Walk-in Showroom</v>
      </c>
      <c r="J1252" t="str">
        <f>Raw_Data!G1252</f>
        <v>Referral (HC/HBLP)</v>
      </c>
      <c r="K1252" t="str">
        <f>IFERROR(VLOOKUP(J1252,Source_Assumptions!$A:$C,2,0),"Unmapped")</f>
        <v>Referral (Happy Customer)</v>
      </c>
      <c r="L1252" t="str">
        <f>Raw_Data!H1252</f>
        <v>AMAZE Petrol</v>
      </c>
      <c r="M1252" t="str">
        <f>IFERROR(VLOOKUP(L1252,Model_Assumptions!$A:$D,2,0),"Unmapped")</f>
        <v>Sub-4m Sedan</v>
      </c>
      <c r="N1252" t="str">
        <f>IFERROR(VLOOKUP(L1252,Model_Assumptions!$A:$D,3,0),"Unmapped")</f>
        <v>Petrol</v>
      </c>
      <c r="O1252">
        <f>IFERROR(VLOOKUP(L1252,Model_Assumptions!$A:$D,4,0),0)</f>
        <v>850000</v>
      </c>
      <c r="P1252">
        <f>IFERROR(VLOOKUP(J1252,Source_Assumptions!$A:$C,3,0),0)</f>
        <v>100</v>
      </c>
    </row>
    <row r="1253" spans="1:16" x14ac:dyDescent="0.3">
      <c r="A1253">
        <f>Raw_Data!A1253</f>
        <v>1252</v>
      </c>
      <c r="B1253" s="2">
        <f>Raw_Data!B1253</f>
        <v>45565.886423611097</v>
      </c>
      <c r="C1253">
        <f>YEAR(Raw_Data!B1253)</f>
        <v>2024</v>
      </c>
      <c r="D1253" t="str">
        <f>IF(MONTH(Raw_Data!B1253)&gt;=4,YEAR(Raw_Data!B1253)&amp;"-"&amp;RIGHT(YEAR(Raw_Data!B1253)+1,2),YEAR(Raw_Data!B1253)-1&amp;"-"&amp;RIGHT(YEAR(Raw_Data!B1253),2))</f>
        <v>2024-25</v>
      </c>
      <c r="E1253" t="str">
        <f>"Q"&amp;ROUNDUP(MONTH(Raw_Data!B1253)/3,0)</f>
        <v>Q3</v>
      </c>
      <c r="F1253" t="str">
        <f>TEXT(Raw_Data!B1253,"mmm")</f>
        <v>Sep</v>
      </c>
      <c r="G1253" t="str">
        <f>TEXT(Raw_Data!B1253,"ddd")</f>
        <v>Mon</v>
      </c>
      <c r="H1253" t="str">
        <f>Raw_Data!D1253</f>
        <v>Invoiced</v>
      </c>
      <c r="I1253" t="str">
        <f>Raw_Data!F1253</f>
        <v>SMS/ Tele-Out</v>
      </c>
      <c r="J1253" t="str">
        <f>Raw_Data!G1253</f>
        <v>Database Activity(Teleout/SMS)</v>
      </c>
      <c r="K1253" t="str">
        <f>IFERROR(VLOOKUP(J1253,Source_Assumptions!$A:$C,2,0),"Unmapped")</f>
        <v>Outbound/Database</v>
      </c>
      <c r="L1253" t="str">
        <f>Raw_Data!H1253</f>
        <v>ELEVATE</v>
      </c>
      <c r="M1253" t="str">
        <f>IFERROR(VLOOKUP(L1253,Model_Assumptions!$A:$D,2,0),"Unmapped")</f>
        <v>Compact SUV</v>
      </c>
      <c r="N1253" t="str">
        <f>IFERROR(VLOOKUP(L1253,Model_Assumptions!$A:$D,3,0),"Unmapped")</f>
        <v>Petrol</v>
      </c>
      <c r="O1253">
        <f>IFERROR(VLOOKUP(L1253,Model_Assumptions!$A:$D,4,0),0)</f>
        <v>1300000</v>
      </c>
      <c r="P1253">
        <f>IFERROR(VLOOKUP(J1253,Source_Assumptions!$A:$C,3,0),0)</f>
        <v>250</v>
      </c>
    </row>
    <row r="1254" spans="1:16" x14ac:dyDescent="0.3">
      <c r="A1254">
        <f>Raw_Data!A1254</f>
        <v>1253</v>
      </c>
      <c r="B1254" s="2">
        <f>Raw_Data!B1254</f>
        <v>45565.912627314799</v>
      </c>
      <c r="C1254">
        <f>YEAR(Raw_Data!B1254)</f>
        <v>2024</v>
      </c>
      <c r="D1254" t="str">
        <f>IF(MONTH(Raw_Data!B1254)&gt;=4,YEAR(Raw_Data!B1254)&amp;"-"&amp;RIGHT(YEAR(Raw_Data!B1254)+1,2),YEAR(Raw_Data!B1254)-1&amp;"-"&amp;RIGHT(YEAR(Raw_Data!B1254),2))</f>
        <v>2024-25</v>
      </c>
      <c r="E1254" t="str">
        <f>"Q"&amp;ROUNDUP(MONTH(Raw_Data!B1254)/3,0)</f>
        <v>Q3</v>
      </c>
      <c r="F1254" t="str">
        <f>TEXT(Raw_Data!B1254,"mmm")</f>
        <v>Sep</v>
      </c>
      <c r="G1254" t="str">
        <f>TEXT(Raw_Data!B1254,"ddd")</f>
        <v>Mon</v>
      </c>
      <c r="H1254" t="str">
        <f>Raw_Data!D1254</f>
        <v>Invoiced</v>
      </c>
      <c r="I1254" t="str">
        <f>Raw_Data!F1254</f>
        <v>Tele-in</v>
      </c>
      <c r="J1254" t="str">
        <f>Raw_Data!G1254</f>
        <v>Dealer Webpage Tele-In</v>
      </c>
      <c r="K1254" t="str">
        <f>IFERROR(VLOOKUP(J1254,Source_Assumptions!$A:$C,2,0),"Unmapped")</f>
        <v>Digital - Owned</v>
      </c>
      <c r="L1254" t="str">
        <f>Raw_Data!H1254</f>
        <v>ELEVATE</v>
      </c>
      <c r="M1254" t="str">
        <f>IFERROR(VLOOKUP(L1254,Model_Assumptions!$A:$D,2,0),"Unmapped")</f>
        <v>Compact SUV</v>
      </c>
      <c r="N1254" t="str">
        <f>IFERROR(VLOOKUP(L1254,Model_Assumptions!$A:$D,3,0),"Unmapped")</f>
        <v>Petrol</v>
      </c>
      <c r="O1254">
        <f>IFERROR(VLOOKUP(L1254,Model_Assumptions!$A:$D,4,0),0)</f>
        <v>1300000</v>
      </c>
      <c r="P1254">
        <f>IFERROR(VLOOKUP(J1254,Source_Assumptions!$A:$C,3,0),0)</f>
        <v>300</v>
      </c>
    </row>
    <row r="1255" spans="1:16" x14ac:dyDescent="0.3">
      <c r="A1255">
        <f>Raw_Data!A1255</f>
        <v>1254</v>
      </c>
      <c r="B1255" s="2">
        <f>Raw_Data!B1255</f>
        <v>45565.912881944401</v>
      </c>
      <c r="C1255">
        <f>YEAR(Raw_Data!B1255)</f>
        <v>2024</v>
      </c>
      <c r="D1255" t="str">
        <f>IF(MONTH(Raw_Data!B1255)&gt;=4,YEAR(Raw_Data!B1255)&amp;"-"&amp;RIGHT(YEAR(Raw_Data!B1255)+1,2),YEAR(Raw_Data!B1255)-1&amp;"-"&amp;RIGHT(YEAR(Raw_Data!B1255),2))</f>
        <v>2024-25</v>
      </c>
      <c r="E1255" t="str">
        <f>"Q"&amp;ROUNDUP(MONTH(Raw_Data!B1255)/3,0)</f>
        <v>Q3</v>
      </c>
      <c r="F1255" t="str">
        <f>TEXT(Raw_Data!B1255,"mmm")</f>
        <v>Sep</v>
      </c>
      <c r="G1255" t="str">
        <f>TEXT(Raw_Data!B1255,"ddd")</f>
        <v>Mon</v>
      </c>
      <c r="H1255" t="str">
        <f>Raw_Data!D1255</f>
        <v>Invoiced</v>
      </c>
      <c r="I1255" t="str">
        <f>Raw_Data!F1255</f>
        <v>Tele-in</v>
      </c>
      <c r="J1255" t="str">
        <f>Raw_Data!G1255</f>
        <v>Dealer Webpage Tele-In</v>
      </c>
      <c r="K1255" t="str">
        <f>IFERROR(VLOOKUP(J1255,Source_Assumptions!$A:$C,2,0),"Unmapped")</f>
        <v>Digital - Owned</v>
      </c>
      <c r="L1255" t="str">
        <f>Raw_Data!H1255</f>
        <v>AMAZE Petrol</v>
      </c>
      <c r="M1255" t="str">
        <f>IFERROR(VLOOKUP(L1255,Model_Assumptions!$A:$D,2,0),"Unmapped")</f>
        <v>Sub-4m Sedan</v>
      </c>
      <c r="N1255" t="str">
        <f>IFERROR(VLOOKUP(L1255,Model_Assumptions!$A:$D,3,0),"Unmapped")</f>
        <v>Petrol</v>
      </c>
      <c r="O1255">
        <f>IFERROR(VLOOKUP(L1255,Model_Assumptions!$A:$D,4,0),0)</f>
        <v>850000</v>
      </c>
      <c r="P1255">
        <f>IFERROR(VLOOKUP(J1255,Source_Assumptions!$A:$C,3,0),0)</f>
        <v>300</v>
      </c>
    </row>
    <row r="1256" spans="1:16" x14ac:dyDescent="0.3">
      <c r="A1256">
        <f>Raw_Data!A1256</f>
        <v>1255</v>
      </c>
      <c r="B1256" s="2">
        <f>Raw_Data!B1256</f>
        <v>45565.9188194444</v>
      </c>
      <c r="C1256">
        <f>YEAR(Raw_Data!B1256)</f>
        <v>2024</v>
      </c>
      <c r="D1256" t="str">
        <f>IF(MONTH(Raw_Data!B1256)&gt;=4,YEAR(Raw_Data!B1256)&amp;"-"&amp;RIGHT(YEAR(Raw_Data!B1256)+1,2),YEAR(Raw_Data!B1256)-1&amp;"-"&amp;RIGHT(YEAR(Raw_Data!B1256),2))</f>
        <v>2024-25</v>
      </c>
      <c r="E1256" t="str">
        <f>"Q"&amp;ROUNDUP(MONTH(Raw_Data!B1256)/3,0)</f>
        <v>Q3</v>
      </c>
      <c r="F1256" t="str">
        <f>TEXT(Raw_Data!B1256,"mmm")</f>
        <v>Sep</v>
      </c>
      <c r="G1256" t="str">
        <f>TEXT(Raw_Data!B1256,"ddd")</f>
        <v>Mon</v>
      </c>
      <c r="H1256" t="str">
        <f>Raw_Data!D1256</f>
        <v>Invoiced</v>
      </c>
      <c r="I1256" t="str">
        <f>Raw_Data!F1256</f>
        <v>Tele-in</v>
      </c>
      <c r="J1256" t="str">
        <f>Raw_Data!G1256</f>
        <v>I-BAP Referral</v>
      </c>
      <c r="K1256" t="str">
        <f>IFERROR(VLOOKUP(J1256,Source_Assumptions!$A:$C,2,0),"Unmapped")</f>
        <v>Referral (Insurance/Banking Partner)</v>
      </c>
      <c r="L1256" t="str">
        <f>Raw_Data!H1256</f>
        <v>AMAZE Petrol</v>
      </c>
      <c r="M1256" t="str">
        <f>IFERROR(VLOOKUP(L1256,Model_Assumptions!$A:$D,2,0),"Unmapped")</f>
        <v>Sub-4m Sedan</v>
      </c>
      <c r="N1256" t="str">
        <f>IFERROR(VLOOKUP(L1256,Model_Assumptions!$A:$D,3,0),"Unmapped")</f>
        <v>Petrol</v>
      </c>
      <c r="O1256">
        <f>IFERROR(VLOOKUP(L1256,Model_Assumptions!$A:$D,4,0),0)</f>
        <v>850000</v>
      </c>
      <c r="P1256">
        <f>IFERROR(VLOOKUP(J1256,Source_Assumptions!$A:$C,3,0),0)</f>
        <v>150</v>
      </c>
    </row>
    <row r="1257" spans="1:16" x14ac:dyDescent="0.3">
      <c r="A1257">
        <f>Raw_Data!A1257</f>
        <v>1256</v>
      </c>
      <c r="B1257" s="2">
        <f>Raw_Data!B1257</f>
        <v>45565.937060185199</v>
      </c>
      <c r="C1257">
        <f>YEAR(Raw_Data!B1257)</f>
        <v>2024</v>
      </c>
      <c r="D1257" t="str">
        <f>IF(MONTH(Raw_Data!B1257)&gt;=4,YEAR(Raw_Data!B1257)&amp;"-"&amp;RIGHT(YEAR(Raw_Data!B1257)+1,2),YEAR(Raw_Data!B1257)-1&amp;"-"&amp;RIGHT(YEAR(Raw_Data!B1257),2))</f>
        <v>2024-25</v>
      </c>
      <c r="E1257" t="str">
        <f>"Q"&amp;ROUNDUP(MONTH(Raw_Data!B1257)/3,0)</f>
        <v>Q3</v>
      </c>
      <c r="F1257" t="str">
        <f>TEXT(Raw_Data!B1257,"mmm")</f>
        <v>Sep</v>
      </c>
      <c r="G1257" t="str">
        <f>TEXT(Raw_Data!B1257,"ddd")</f>
        <v>Mon</v>
      </c>
      <c r="H1257" t="str">
        <f>Raw_Data!D1257</f>
        <v>Invoiced</v>
      </c>
      <c r="I1257" t="str">
        <f>Raw_Data!F1257</f>
        <v>SMS/ Tele-Out</v>
      </c>
      <c r="J1257" t="str">
        <f>Raw_Data!G1257</f>
        <v>Database Activity(Teleout/SMS)</v>
      </c>
      <c r="K1257" t="str">
        <f>IFERROR(VLOOKUP(J1257,Source_Assumptions!$A:$C,2,0),"Unmapped")</f>
        <v>Outbound/Database</v>
      </c>
      <c r="L1257" t="str">
        <f>Raw_Data!H1257</f>
        <v>ELEVATE</v>
      </c>
      <c r="M1257" t="str">
        <f>IFERROR(VLOOKUP(L1257,Model_Assumptions!$A:$D,2,0),"Unmapped")</f>
        <v>Compact SUV</v>
      </c>
      <c r="N1257" t="str">
        <f>IFERROR(VLOOKUP(L1257,Model_Assumptions!$A:$D,3,0),"Unmapped")</f>
        <v>Petrol</v>
      </c>
      <c r="O1257">
        <f>IFERROR(VLOOKUP(L1257,Model_Assumptions!$A:$D,4,0),0)</f>
        <v>1300000</v>
      </c>
      <c r="P1257">
        <f>IFERROR(VLOOKUP(J1257,Source_Assumptions!$A:$C,3,0),0)</f>
        <v>250</v>
      </c>
    </row>
    <row r="1258" spans="1:16" x14ac:dyDescent="0.3">
      <c r="A1258">
        <f>Raw_Data!A1258</f>
        <v>1257</v>
      </c>
      <c r="B1258" s="2">
        <f>Raw_Data!B1258</f>
        <v>45579.740601851903</v>
      </c>
      <c r="C1258">
        <f>YEAR(Raw_Data!B1258)</f>
        <v>2024</v>
      </c>
      <c r="D1258" t="str">
        <f>IF(MONTH(Raw_Data!B1258)&gt;=4,YEAR(Raw_Data!B1258)&amp;"-"&amp;RIGHT(YEAR(Raw_Data!B1258)+1,2),YEAR(Raw_Data!B1258)-1&amp;"-"&amp;RIGHT(YEAR(Raw_Data!B1258),2))</f>
        <v>2024-25</v>
      </c>
      <c r="E1258" t="str">
        <f>"Q"&amp;ROUNDUP(MONTH(Raw_Data!B1258)/3,0)</f>
        <v>Q4</v>
      </c>
      <c r="F1258" t="str">
        <f>TEXT(Raw_Data!B1258,"mmm")</f>
        <v>Oct</v>
      </c>
      <c r="G1258" t="str">
        <f>TEXT(Raw_Data!B1258,"ddd")</f>
        <v>Mon</v>
      </c>
      <c r="H1258" t="str">
        <f>Raw_Data!D1258</f>
        <v>Invoiced</v>
      </c>
      <c r="I1258" t="str">
        <f>Raw_Data!F1258</f>
        <v>SMS/ Tele-Out</v>
      </c>
      <c r="J1258" t="str">
        <f>Raw_Data!G1258</f>
        <v>Database Activity(Teleout/SMS)</v>
      </c>
      <c r="K1258" t="str">
        <f>IFERROR(VLOOKUP(J1258,Source_Assumptions!$A:$C,2,0),"Unmapped")</f>
        <v>Outbound/Database</v>
      </c>
      <c r="L1258" t="str">
        <f>Raw_Data!H1258</f>
        <v>ELEVATE</v>
      </c>
      <c r="M1258" t="str">
        <f>IFERROR(VLOOKUP(L1258,Model_Assumptions!$A:$D,2,0),"Unmapped")</f>
        <v>Compact SUV</v>
      </c>
      <c r="N1258" t="str">
        <f>IFERROR(VLOOKUP(L1258,Model_Assumptions!$A:$D,3,0),"Unmapped")</f>
        <v>Petrol</v>
      </c>
      <c r="O1258">
        <f>IFERROR(VLOOKUP(L1258,Model_Assumptions!$A:$D,4,0),0)</f>
        <v>1300000</v>
      </c>
      <c r="P1258">
        <f>IFERROR(VLOOKUP(J1258,Source_Assumptions!$A:$C,3,0),0)</f>
        <v>250</v>
      </c>
    </row>
    <row r="1259" spans="1:16" x14ac:dyDescent="0.3">
      <c r="A1259">
        <f>Raw_Data!A1259</f>
        <v>1258</v>
      </c>
      <c r="B1259" s="2">
        <f>Raw_Data!B1259</f>
        <v>45580.691828703697</v>
      </c>
      <c r="C1259">
        <f>YEAR(Raw_Data!B1259)</f>
        <v>2024</v>
      </c>
      <c r="D1259" t="str">
        <f>IF(MONTH(Raw_Data!B1259)&gt;=4,YEAR(Raw_Data!B1259)&amp;"-"&amp;RIGHT(YEAR(Raw_Data!B1259)+1,2),YEAR(Raw_Data!B1259)-1&amp;"-"&amp;RIGHT(YEAR(Raw_Data!B1259),2))</f>
        <v>2024-25</v>
      </c>
      <c r="E1259" t="str">
        <f>"Q"&amp;ROUNDUP(MONTH(Raw_Data!B1259)/3,0)</f>
        <v>Q4</v>
      </c>
      <c r="F1259" t="str">
        <f>TEXT(Raw_Data!B1259,"mmm")</f>
        <v>Oct</v>
      </c>
      <c r="G1259" t="str">
        <f>TEXT(Raw_Data!B1259,"ddd")</f>
        <v>Tue</v>
      </c>
      <c r="H1259" t="str">
        <f>Raw_Data!D1259</f>
        <v>Invoiced</v>
      </c>
      <c r="I1259" t="str">
        <f>Raw_Data!F1259</f>
        <v>Walk-in Showroom</v>
      </c>
      <c r="J1259" t="str">
        <f>Raw_Data!G1259</f>
        <v>Referral (HC/HBLP)</v>
      </c>
      <c r="K1259" t="str">
        <f>IFERROR(VLOOKUP(J1259,Source_Assumptions!$A:$C,2,0),"Unmapped")</f>
        <v>Referral (Happy Customer)</v>
      </c>
      <c r="L1259" t="str">
        <f>Raw_Data!H1259</f>
        <v>ELEVATE</v>
      </c>
      <c r="M1259" t="str">
        <f>IFERROR(VLOOKUP(L1259,Model_Assumptions!$A:$D,2,0),"Unmapped")</f>
        <v>Compact SUV</v>
      </c>
      <c r="N1259" t="str">
        <f>IFERROR(VLOOKUP(L1259,Model_Assumptions!$A:$D,3,0),"Unmapped")</f>
        <v>Petrol</v>
      </c>
      <c r="O1259">
        <f>IFERROR(VLOOKUP(L1259,Model_Assumptions!$A:$D,4,0),0)</f>
        <v>1300000</v>
      </c>
      <c r="P1259">
        <f>IFERROR(VLOOKUP(J1259,Source_Assumptions!$A:$C,3,0),0)</f>
        <v>100</v>
      </c>
    </row>
    <row r="1260" spans="1:16" x14ac:dyDescent="0.3">
      <c r="A1260">
        <f>Raw_Data!A1260</f>
        <v>1259</v>
      </c>
      <c r="B1260" s="2">
        <f>Raw_Data!B1260</f>
        <v>45586.6824768519</v>
      </c>
      <c r="C1260">
        <f>YEAR(Raw_Data!B1260)</f>
        <v>2024</v>
      </c>
      <c r="D1260" t="str">
        <f>IF(MONTH(Raw_Data!B1260)&gt;=4,YEAR(Raw_Data!B1260)&amp;"-"&amp;RIGHT(YEAR(Raw_Data!B1260)+1,2),YEAR(Raw_Data!B1260)-1&amp;"-"&amp;RIGHT(YEAR(Raw_Data!B1260),2))</f>
        <v>2024-25</v>
      </c>
      <c r="E1260" t="str">
        <f>"Q"&amp;ROUNDUP(MONTH(Raw_Data!B1260)/3,0)</f>
        <v>Q4</v>
      </c>
      <c r="F1260" t="str">
        <f>TEXT(Raw_Data!B1260,"mmm")</f>
        <v>Oct</v>
      </c>
      <c r="G1260" t="str">
        <f>TEXT(Raw_Data!B1260,"ddd")</f>
        <v>Mon</v>
      </c>
      <c r="H1260" t="str">
        <f>Raw_Data!D1260</f>
        <v>Invoiced</v>
      </c>
      <c r="I1260" t="str">
        <f>Raw_Data!F1260</f>
        <v>Tele-in</v>
      </c>
      <c r="J1260" t="str">
        <f>Raw_Data!G1260</f>
        <v>Dealer Webpage Tele-In</v>
      </c>
      <c r="K1260" t="str">
        <f>IFERROR(VLOOKUP(J1260,Source_Assumptions!$A:$C,2,0),"Unmapped")</f>
        <v>Digital - Owned</v>
      </c>
      <c r="L1260" t="str">
        <f>Raw_Data!H1260</f>
        <v>ELEVATE</v>
      </c>
      <c r="M1260" t="str">
        <f>IFERROR(VLOOKUP(L1260,Model_Assumptions!$A:$D,2,0),"Unmapped")</f>
        <v>Compact SUV</v>
      </c>
      <c r="N1260" t="str">
        <f>IFERROR(VLOOKUP(L1260,Model_Assumptions!$A:$D,3,0),"Unmapped")</f>
        <v>Petrol</v>
      </c>
      <c r="O1260">
        <f>IFERROR(VLOOKUP(L1260,Model_Assumptions!$A:$D,4,0),0)</f>
        <v>1300000</v>
      </c>
      <c r="P1260">
        <f>IFERROR(VLOOKUP(J1260,Source_Assumptions!$A:$C,3,0),0)</f>
        <v>300</v>
      </c>
    </row>
    <row r="1261" spans="1:16" x14ac:dyDescent="0.3">
      <c r="A1261">
        <f>Raw_Data!A1261</f>
        <v>1260</v>
      </c>
      <c r="B1261" s="2">
        <f>Raw_Data!B1261</f>
        <v>45589.621562499997</v>
      </c>
      <c r="C1261">
        <f>YEAR(Raw_Data!B1261)</f>
        <v>2024</v>
      </c>
      <c r="D1261" t="str">
        <f>IF(MONTH(Raw_Data!B1261)&gt;=4,YEAR(Raw_Data!B1261)&amp;"-"&amp;RIGHT(YEAR(Raw_Data!B1261)+1,2),YEAR(Raw_Data!B1261)-1&amp;"-"&amp;RIGHT(YEAR(Raw_Data!B1261),2))</f>
        <v>2024-25</v>
      </c>
      <c r="E1261" t="str">
        <f>"Q"&amp;ROUNDUP(MONTH(Raw_Data!B1261)/3,0)</f>
        <v>Q4</v>
      </c>
      <c r="F1261" t="str">
        <f>TEXT(Raw_Data!B1261,"mmm")</f>
        <v>Oct</v>
      </c>
      <c r="G1261" t="str">
        <f>TEXT(Raw_Data!B1261,"ddd")</f>
        <v>Thu</v>
      </c>
      <c r="H1261" t="str">
        <f>Raw_Data!D1261</f>
        <v>Invoiced</v>
      </c>
      <c r="I1261" t="str">
        <f>Raw_Data!F1261</f>
        <v>Tele-in</v>
      </c>
      <c r="J1261" t="str">
        <f>Raw_Data!G1261</f>
        <v>Dealer Webpage Tele-In</v>
      </c>
      <c r="K1261" t="str">
        <f>IFERROR(VLOOKUP(J1261,Source_Assumptions!$A:$C,2,0),"Unmapped")</f>
        <v>Digital - Owned</v>
      </c>
      <c r="L1261" t="str">
        <f>Raw_Data!H1261</f>
        <v>AMAZE Petrol</v>
      </c>
      <c r="M1261" t="str">
        <f>IFERROR(VLOOKUP(L1261,Model_Assumptions!$A:$D,2,0),"Unmapped")</f>
        <v>Sub-4m Sedan</v>
      </c>
      <c r="N1261" t="str">
        <f>IFERROR(VLOOKUP(L1261,Model_Assumptions!$A:$D,3,0),"Unmapped")</f>
        <v>Petrol</v>
      </c>
      <c r="O1261">
        <f>IFERROR(VLOOKUP(L1261,Model_Assumptions!$A:$D,4,0),0)</f>
        <v>850000</v>
      </c>
      <c r="P1261">
        <f>IFERROR(VLOOKUP(J1261,Source_Assumptions!$A:$C,3,0),0)</f>
        <v>300</v>
      </c>
    </row>
    <row r="1262" spans="1:16" x14ac:dyDescent="0.3">
      <c r="A1262">
        <f>Raw_Data!A1262</f>
        <v>1261</v>
      </c>
      <c r="B1262" s="2">
        <f>Raw_Data!B1262</f>
        <v>45589.747511574104</v>
      </c>
      <c r="C1262">
        <f>YEAR(Raw_Data!B1262)</f>
        <v>2024</v>
      </c>
      <c r="D1262" t="str">
        <f>IF(MONTH(Raw_Data!B1262)&gt;=4,YEAR(Raw_Data!B1262)&amp;"-"&amp;RIGHT(YEAR(Raw_Data!B1262)+1,2),YEAR(Raw_Data!B1262)-1&amp;"-"&amp;RIGHT(YEAR(Raw_Data!B1262),2))</f>
        <v>2024-25</v>
      </c>
      <c r="E1262" t="str">
        <f>"Q"&amp;ROUNDUP(MONTH(Raw_Data!B1262)/3,0)</f>
        <v>Q4</v>
      </c>
      <c r="F1262" t="str">
        <f>TEXT(Raw_Data!B1262,"mmm")</f>
        <v>Oct</v>
      </c>
      <c r="G1262" t="str">
        <f>TEXT(Raw_Data!B1262,"ddd")</f>
        <v>Thu</v>
      </c>
      <c r="H1262" t="str">
        <f>Raw_Data!D1262</f>
        <v>Invoiced</v>
      </c>
      <c r="I1262" t="str">
        <f>Raw_Data!F1262</f>
        <v>Tele-in</v>
      </c>
      <c r="J1262" t="str">
        <f>Raw_Data!G1262</f>
        <v>Referral-CAM</v>
      </c>
      <c r="K1262" t="str">
        <f>IFERROR(VLOOKUP(J1262,Source_Assumptions!$A:$C,2,0),"Unmapped")</f>
        <v>Referral</v>
      </c>
      <c r="L1262" t="str">
        <f>Raw_Data!H1262</f>
        <v>ELEVATE</v>
      </c>
      <c r="M1262" t="str">
        <f>IFERROR(VLOOKUP(L1262,Model_Assumptions!$A:$D,2,0),"Unmapped")</f>
        <v>Compact SUV</v>
      </c>
      <c r="N1262" t="str">
        <f>IFERROR(VLOOKUP(L1262,Model_Assumptions!$A:$D,3,0),"Unmapped")</f>
        <v>Petrol</v>
      </c>
      <c r="O1262">
        <f>IFERROR(VLOOKUP(L1262,Model_Assumptions!$A:$D,4,0),0)</f>
        <v>1300000</v>
      </c>
      <c r="P1262">
        <f>IFERROR(VLOOKUP(J1262,Source_Assumptions!$A:$C,3,0),0)</f>
        <v>150</v>
      </c>
    </row>
    <row r="1263" spans="1:16" x14ac:dyDescent="0.3">
      <c r="A1263">
        <f>Raw_Data!A1263</f>
        <v>1262</v>
      </c>
      <c r="B1263" s="2">
        <f>Raw_Data!B1263</f>
        <v>45589.750069444497</v>
      </c>
      <c r="C1263">
        <f>YEAR(Raw_Data!B1263)</f>
        <v>2024</v>
      </c>
      <c r="D1263" t="str">
        <f>IF(MONTH(Raw_Data!B1263)&gt;=4,YEAR(Raw_Data!B1263)&amp;"-"&amp;RIGHT(YEAR(Raw_Data!B1263)+1,2),YEAR(Raw_Data!B1263)-1&amp;"-"&amp;RIGHT(YEAR(Raw_Data!B1263),2))</f>
        <v>2024-25</v>
      </c>
      <c r="E1263" t="str">
        <f>"Q"&amp;ROUNDUP(MONTH(Raw_Data!B1263)/3,0)</f>
        <v>Q4</v>
      </c>
      <c r="F1263" t="str">
        <f>TEXT(Raw_Data!B1263,"mmm")</f>
        <v>Oct</v>
      </c>
      <c r="G1263" t="str">
        <f>TEXT(Raw_Data!B1263,"ddd")</f>
        <v>Thu</v>
      </c>
      <c r="H1263" t="str">
        <f>Raw_Data!D1263</f>
        <v>Invoiced</v>
      </c>
      <c r="I1263" t="str">
        <f>Raw_Data!F1263</f>
        <v>SMS/ Tele-Out</v>
      </c>
      <c r="J1263" t="str">
        <f>Raw_Data!G1263</f>
        <v>I-BAP Referral</v>
      </c>
      <c r="K1263" t="str">
        <f>IFERROR(VLOOKUP(J1263,Source_Assumptions!$A:$C,2,0),"Unmapped")</f>
        <v>Referral (Insurance/Banking Partner)</v>
      </c>
      <c r="L1263" t="str">
        <f>Raw_Data!H1263</f>
        <v>ELEVATE</v>
      </c>
      <c r="M1263" t="str">
        <f>IFERROR(VLOOKUP(L1263,Model_Assumptions!$A:$D,2,0),"Unmapped")</f>
        <v>Compact SUV</v>
      </c>
      <c r="N1263" t="str">
        <f>IFERROR(VLOOKUP(L1263,Model_Assumptions!$A:$D,3,0),"Unmapped")</f>
        <v>Petrol</v>
      </c>
      <c r="O1263">
        <f>IFERROR(VLOOKUP(L1263,Model_Assumptions!$A:$D,4,0),0)</f>
        <v>1300000</v>
      </c>
      <c r="P1263">
        <f>IFERROR(VLOOKUP(J1263,Source_Assumptions!$A:$C,3,0),0)</f>
        <v>150</v>
      </c>
    </row>
    <row r="1264" spans="1:16" x14ac:dyDescent="0.3">
      <c r="A1264">
        <f>Raw_Data!A1264</f>
        <v>1263</v>
      </c>
      <c r="B1264" s="2">
        <f>Raw_Data!B1264</f>
        <v>45590.609814814801</v>
      </c>
      <c r="C1264">
        <f>YEAR(Raw_Data!B1264)</f>
        <v>2024</v>
      </c>
      <c r="D1264" t="str">
        <f>IF(MONTH(Raw_Data!B1264)&gt;=4,YEAR(Raw_Data!B1264)&amp;"-"&amp;RIGHT(YEAR(Raw_Data!B1264)+1,2),YEAR(Raw_Data!B1264)-1&amp;"-"&amp;RIGHT(YEAR(Raw_Data!B1264),2))</f>
        <v>2024-25</v>
      </c>
      <c r="E1264" t="str">
        <f>"Q"&amp;ROUNDUP(MONTH(Raw_Data!B1264)/3,0)</f>
        <v>Q4</v>
      </c>
      <c r="F1264" t="str">
        <f>TEXT(Raw_Data!B1264,"mmm")</f>
        <v>Oct</v>
      </c>
      <c r="G1264" t="str">
        <f>TEXT(Raw_Data!B1264,"ddd")</f>
        <v>Fri</v>
      </c>
      <c r="H1264" t="str">
        <f>Raw_Data!D1264</f>
        <v>Invoiced</v>
      </c>
      <c r="I1264" t="str">
        <f>Raw_Data!F1264</f>
        <v>SMS/ Tele-Out</v>
      </c>
      <c r="J1264" t="str">
        <f>Raw_Data!G1264</f>
        <v>I-BAP Referral</v>
      </c>
      <c r="K1264" t="str">
        <f>IFERROR(VLOOKUP(J1264,Source_Assumptions!$A:$C,2,0),"Unmapped")</f>
        <v>Referral (Insurance/Banking Partner)</v>
      </c>
      <c r="L1264" t="str">
        <f>Raw_Data!H1264</f>
        <v>ELEVATE</v>
      </c>
      <c r="M1264" t="str">
        <f>IFERROR(VLOOKUP(L1264,Model_Assumptions!$A:$D,2,0),"Unmapped")</f>
        <v>Compact SUV</v>
      </c>
      <c r="N1264" t="str">
        <f>IFERROR(VLOOKUP(L1264,Model_Assumptions!$A:$D,3,0),"Unmapped")</f>
        <v>Petrol</v>
      </c>
      <c r="O1264">
        <f>IFERROR(VLOOKUP(L1264,Model_Assumptions!$A:$D,4,0),0)</f>
        <v>1300000</v>
      </c>
      <c r="P1264">
        <f>IFERROR(VLOOKUP(J1264,Source_Assumptions!$A:$C,3,0),0)</f>
        <v>150</v>
      </c>
    </row>
    <row r="1265" spans="1:16" x14ac:dyDescent="0.3">
      <c r="A1265">
        <f>Raw_Data!A1265</f>
        <v>1264</v>
      </c>
      <c r="B1265" s="2">
        <f>Raw_Data!B1265</f>
        <v>45591.4941203704</v>
      </c>
      <c r="C1265">
        <f>YEAR(Raw_Data!B1265)</f>
        <v>2024</v>
      </c>
      <c r="D1265" t="str">
        <f>IF(MONTH(Raw_Data!B1265)&gt;=4,YEAR(Raw_Data!B1265)&amp;"-"&amp;RIGHT(YEAR(Raw_Data!B1265)+1,2),YEAR(Raw_Data!B1265)-1&amp;"-"&amp;RIGHT(YEAR(Raw_Data!B1265),2))</f>
        <v>2024-25</v>
      </c>
      <c r="E1265" t="str">
        <f>"Q"&amp;ROUNDUP(MONTH(Raw_Data!B1265)/3,0)</f>
        <v>Q4</v>
      </c>
      <c r="F1265" t="str">
        <f>TEXT(Raw_Data!B1265,"mmm")</f>
        <v>Oct</v>
      </c>
      <c r="G1265" t="str">
        <f>TEXT(Raw_Data!B1265,"ddd")</f>
        <v>Sat</v>
      </c>
      <c r="H1265" t="str">
        <f>Raw_Data!D1265</f>
        <v>Invoiced</v>
      </c>
      <c r="I1265" t="str">
        <f>Raw_Data!F1265</f>
        <v>Tele-in</v>
      </c>
      <c r="J1265" t="str">
        <f>Raw_Data!G1265</f>
        <v>Referral-CAM</v>
      </c>
      <c r="K1265" t="str">
        <f>IFERROR(VLOOKUP(J1265,Source_Assumptions!$A:$C,2,0),"Unmapped")</f>
        <v>Referral</v>
      </c>
      <c r="L1265" t="str">
        <f>Raw_Data!H1265</f>
        <v>ELEVATE</v>
      </c>
      <c r="M1265" t="str">
        <f>IFERROR(VLOOKUP(L1265,Model_Assumptions!$A:$D,2,0),"Unmapped")</f>
        <v>Compact SUV</v>
      </c>
      <c r="N1265" t="str">
        <f>IFERROR(VLOOKUP(L1265,Model_Assumptions!$A:$D,3,0),"Unmapped")</f>
        <v>Petrol</v>
      </c>
      <c r="O1265">
        <f>IFERROR(VLOOKUP(L1265,Model_Assumptions!$A:$D,4,0),0)</f>
        <v>1300000</v>
      </c>
      <c r="P1265">
        <f>IFERROR(VLOOKUP(J1265,Source_Assumptions!$A:$C,3,0),0)</f>
        <v>150</v>
      </c>
    </row>
    <row r="1266" spans="1:16" x14ac:dyDescent="0.3">
      <c r="A1266">
        <f>Raw_Data!A1266</f>
        <v>1265</v>
      </c>
      <c r="B1266" s="2">
        <f>Raw_Data!B1266</f>
        <v>45593.498912037001</v>
      </c>
      <c r="C1266">
        <f>YEAR(Raw_Data!B1266)</f>
        <v>2024</v>
      </c>
      <c r="D1266" t="str">
        <f>IF(MONTH(Raw_Data!B1266)&gt;=4,YEAR(Raw_Data!B1266)&amp;"-"&amp;RIGHT(YEAR(Raw_Data!B1266)+1,2),YEAR(Raw_Data!B1266)-1&amp;"-"&amp;RIGHT(YEAR(Raw_Data!B1266),2))</f>
        <v>2024-25</v>
      </c>
      <c r="E1266" t="str">
        <f>"Q"&amp;ROUNDUP(MONTH(Raw_Data!B1266)/3,0)</f>
        <v>Q4</v>
      </c>
      <c r="F1266" t="str">
        <f>TEXT(Raw_Data!B1266,"mmm")</f>
        <v>Oct</v>
      </c>
      <c r="G1266" t="str">
        <f>TEXT(Raw_Data!B1266,"ddd")</f>
        <v>Mon</v>
      </c>
      <c r="H1266" t="str">
        <f>Raw_Data!D1266</f>
        <v>Invoiced</v>
      </c>
      <c r="I1266" t="str">
        <f>Raw_Data!F1266</f>
        <v>Tele-in</v>
      </c>
      <c r="J1266" t="str">
        <f>Raw_Data!G1266</f>
        <v>I-BAP Referral</v>
      </c>
      <c r="K1266" t="str">
        <f>IFERROR(VLOOKUP(J1266,Source_Assumptions!$A:$C,2,0),"Unmapped")</f>
        <v>Referral (Insurance/Banking Partner)</v>
      </c>
      <c r="L1266" t="str">
        <f>Raw_Data!H1266</f>
        <v>ELEVATE</v>
      </c>
      <c r="M1266" t="str">
        <f>IFERROR(VLOOKUP(L1266,Model_Assumptions!$A:$D,2,0),"Unmapped")</f>
        <v>Compact SUV</v>
      </c>
      <c r="N1266" t="str">
        <f>IFERROR(VLOOKUP(L1266,Model_Assumptions!$A:$D,3,0),"Unmapped")</f>
        <v>Petrol</v>
      </c>
      <c r="O1266">
        <f>IFERROR(VLOOKUP(L1266,Model_Assumptions!$A:$D,4,0),0)</f>
        <v>1300000</v>
      </c>
      <c r="P1266">
        <f>IFERROR(VLOOKUP(J1266,Source_Assumptions!$A:$C,3,0),0)</f>
        <v>150</v>
      </c>
    </row>
    <row r="1267" spans="1:16" x14ac:dyDescent="0.3">
      <c r="A1267">
        <f>Raw_Data!A1267</f>
        <v>1266</v>
      </c>
      <c r="B1267" s="2">
        <f>Raw_Data!B1267</f>
        <v>45593.604131944398</v>
      </c>
      <c r="C1267">
        <f>YEAR(Raw_Data!B1267)</f>
        <v>2024</v>
      </c>
      <c r="D1267" t="str">
        <f>IF(MONTH(Raw_Data!B1267)&gt;=4,YEAR(Raw_Data!B1267)&amp;"-"&amp;RIGHT(YEAR(Raw_Data!B1267)+1,2),YEAR(Raw_Data!B1267)-1&amp;"-"&amp;RIGHT(YEAR(Raw_Data!B1267),2))</f>
        <v>2024-25</v>
      </c>
      <c r="E1267" t="str">
        <f>"Q"&amp;ROUNDUP(MONTH(Raw_Data!B1267)/3,0)</f>
        <v>Q4</v>
      </c>
      <c r="F1267" t="str">
        <f>TEXT(Raw_Data!B1267,"mmm")</f>
        <v>Oct</v>
      </c>
      <c r="G1267" t="str">
        <f>TEXT(Raw_Data!B1267,"ddd")</f>
        <v>Mon</v>
      </c>
      <c r="H1267" t="str">
        <f>Raw_Data!D1267</f>
        <v>Invoiced</v>
      </c>
      <c r="I1267" t="str">
        <f>Raw_Data!F1267</f>
        <v>Walk-in Showroom</v>
      </c>
      <c r="J1267" t="str">
        <f>Raw_Data!G1267</f>
        <v>I-BAP Self</v>
      </c>
      <c r="K1267" t="str">
        <f>IFERROR(VLOOKUP(J1267,Source_Assumptions!$A:$C,2,0),"Unmapped")</f>
        <v>Referral (Insurance/Banking Partner)</v>
      </c>
      <c r="L1267" t="str">
        <f>Raw_Data!H1267</f>
        <v>5TH GEN CITY PE</v>
      </c>
      <c r="M1267" t="str">
        <f>IFERROR(VLOOKUP(L1267,Model_Assumptions!$A:$D,2,0),"Unmapped")</f>
        <v>Mid-size Sedan</v>
      </c>
      <c r="N1267" t="str">
        <f>IFERROR(VLOOKUP(L1267,Model_Assumptions!$A:$D,3,0),"Unmapped")</f>
        <v>Petrol</v>
      </c>
      <c r="O1267">
        <f>IFERROR(VLOOKUP(L1267,Model_Assumptions!$A:$D,4,0),0)</f>
        <v>1250000</v>
      </c>
      <c r="P1267">
        <f>IFERROR(VLOOKUP(J1267,Source_Assumptions!$A:$C,3,0),0)</f>
        <v>100</v>
      </c>
    </row>
    <row r="1268" spans="1:16" x14ac:dyDescent="0.3">
      <c r="A1268">
        <f>Raw_Data!A1268</f>
        <v>1267</v>
      </c>
      <c r="B1268" s="2">
        <f>Raw_Data!B1268</f>
        <v>45594.661620370403</v>
      </c>
      <c r="C1268">
        <f>YEAR(Raw_Data!B1268)</f>
        <v>2024</v>
      </c>
      <c r="D1268" t="str">
        <f>IF(MONTH(Raw_Data!B1268)&gt;=4,YEAR(Raw_Data!B1268)&amp;"-"&amp;RIGHT(YEAR(Raw_Data!B1268)+1,2),YEAR(Raw_Data!B1268)-1&amp;"-"&amp;RIGHT(YEAR(Raw_Data!B1268),2))</f>
        <v>2024-25</v>
      </c>
      <c r="E1268" t="str">
        <f>"Q"&amp;ROUNDUP(MONTH(Raw_Data!B1268)/3,0)</f>
        <v>Q4</v>
      </c>
      <c r="F1268" t="str">
        <f>TEXT(Raw_Data!B1268,"mmm")</f>
        <v>Oct</v>
      </c>
      <c r="G1268" t="str">
        <f>TEXT(Raw_Data!B1268,"ddd")</f>
        <v>Tue</v>
      </c>
      <c r="H1268" t="str">
        <f>Raw_Data!D1268</f>
        <v>Invoiced</v>
      </c>
      <c r="I1268" t="str">
        <f>Raw_Data!F1268</f>
        <v>SMS/ Tele-Out</v>
      </c>
      <c r="J1268" t="str">
        <f>Raw_Data!G1268</f>
        <v>I-BAP Referral</v>
      </c>
      <c r="K1268" t="str">
        <f>IFERROR(VLOOKUP(J1268,Source_Assumptions!$A:$C,2,0),"Unmapped")</f>
        <v>Referral (Insurance/Banking Partner)</v>
      </c>
      <c r="L1268" t="str">
        <f>Raw_Data!H1268</f>
        <v>ELEVATE</v>
      </c>
      <c r="M1268" t="str">
        <f>IFERROR(VLOOKUP(L1268,Model_Assumptions!$A:$D,2,0),"Unmapped")</f>
        <v>Compact SUV</v>
      </c>
      <c r="N1268" t="str">
        <f>IFERROR(VLOOKUP(L1268,Model_Assumptions!$A:$D,3,0),"Unmapped")</f>
        <v>Petrol</v>
      </c>
      <c r="O1268">
        <f>IFERROR(VLOOKUP(L1268,Model_Assumptions!$A:$D,4,0),0)</f>
        <v>1300000</v>
      </c>
      <c r="P1268">
        <f>IFERROR(VLOOKUP(J1268,Source_Assumptions!$A:$C,3,0),0)</f>
        <v>150</v>
      </c>
    </row>
    <row r="1269" spans="1:16" x14ac:dyDescent="0.3">
      <c r="A1269">
        <f>Raw_Data!A1269</f>
        <v>1268</v>
      </c>
      <c r="B1269" s="2">
        <f>Raw_Data!B1269</f>
        <v>45594.6652314815</v>
      </c>
      <c r="C1269">
        <f>YEAR(Raw_Data!B1269)</f>
        <v>2024</v>
      </c>
      <c r="D1269" t="str">
        <f>IF(MONTH(Raw_Data!B1269)&gt;=4,YEAR(Raw_Data!B1269)&amp;"-"&amp;RIGHT(YEAR(Raw_Data!B1269)+1,2),YEAR(Raw_Data!B1269)-1&amp;"-"&amp;RIGHT(YEAR(Raw_Data!B1269),2))</f>
        <v>2024-25</v>
      </c>
      <c r="E1269" t="str">
        <f>"Q"&amp;ROUNDUP(MONTH(Raw_Data!B1269)/3,0)</f>
        <v>Q4</v>
      </c>
      <c r="F1269" t="str">
        <f>TEXT(Raw_Data!B1269,"mmm")</f>
        <v>Oct</v>
      </c>
      <c r="G1269" t="str">
        <f>TEXT(Raw_Data!B1269,"ddd")</f>
        <v>Tue</v>
      </c>
      <c r="H1269" t="str">
        <f>Raw_Data!D1269</f>
        <v>Invoiced</v>
      </c>
      <c r="I1269" t="str">
        <f>Raw_Data!F1269</f>
        <v>Tele-in</v>
      </c>
      <c r="J1269" t="str">
        <f>Raw_Data!G1269</f>
        <v>I-BAP Referral</v>
      </c>
      <c r="K1269" t="str">
        <f>IFERROR(VLOOKUP(J1269,Source_Assumptions!$A:$C,2,0),"Unmapped")</f>
        <v>Referral (Insurance/Banking Partner)</v>
      </c>
      <c r="L1269" t="str">
        <f>Raw_Data!H1269</f>
        <v>ELEVATE</v>
      </c>
      <c r="M1269" t="str">
        <f>IFERROR(VLOOKUP(L1269,Model_Assumptions!$A:$D,2,0),"Unmapped")</f>
        <v>Compact SUV</v>
      </c>
      <c r="N1269" t="str">
        <f>IFERROR(VLOOKUP(L1269,Model_Assumptions!$A:$D,3,0),"Unmapped")</f>
        <v>Petrol</v>
      </c>
      <c r="O1269">
        <f>IFERROR(VLOOKUP(L1269,Model_Assumptions!$A:$D,4,0),0)</f>
        <v>1300000</v>
      </c>
      <c r="P1269">
        <f>IFERROR(VLOOKUP(J1269,Source_Assumptions!$A:$C,3,0),0)</f>
        <v>150</v>
      </c>
    </row>
    <row r="1270" spans="1:16" x14ac:dyDescent="0.3">
      <c r="A1270">
        <f>Raw_Data!A1270</f>
        <v>1269</v>
      </c>
      <c r="B1270" s="2">
        <f>Raw_Data!B1270</f>
        <v>45594.730972222198</v>
      </c>
      <c r="C1270">
        <f>YEAR(Raw_Data!B1270)</f>
        <v>2024</v>
      </c>
      <c r="D1270" t="str">
        <f>IF(MONTH(Raw_Data!B1270)&gt;=4,YEAR(Raw_Data!B1270)&amp;"-"&amp;RIGHT(YEAR(Raw_Data!B1270)+1,2),YEAR(Raw_Data!B1270)-1&amp;"-"&amp;RIGHT(YEAR(Raw_Data!B1270),2))</f>
        <v>2024-25</v>
      </c>
      <c r="E1270" t="str">
        <f>"Q"&amp;ROUNDUP(MONTH(Raw_Data!B1270)/3,0)</f>
        <v>Q4</v>
      </c>
      <c r="F1270" t="str">
        <f>TEXT(Raw_Data!B1270,"mmm")</f>
        <v>Oct</v>
      </c>
      <c r="G1270" t="str">
        <f>TEXT(Raw_Data!B1270,"ddd")</f>
        <v>Tue</v>
      </c>
      <c r="H1270" t="str">
        <f>Raw_Data!D1270</f>
        <v>Invoiced</v>
      </c>
      <c r="I1270" t="str">
        <f>Raw_Data!F1270</f>
        <v>Tele-in</v>
      </c>
      <c r="J1270" t="str">
        <f>Raw_Data!G1270</f>
        <v>Dealer Webpage Tele-In</v>
      </c>
      <c r="K1270" t="str">
        <f>IFERROR(VLOOKUP(J1270,Source_Assumptions!$A:$C,2,0),"Unmapped")</f>
        <v>Digital - Owned</v>
      </c>
      <c r="L1270" t="str">
        <f>Raw_Data!H1270</f>
        <v>AMAZE Petrol</v>
      </c>
      <c r="M1270" t="str">
        <f>IFERROR(VLOOKUP(L1270,Model_Assumptions!$A:$D,2,0),"Unmapped")</f>
        <v>Sub-4m Sedan</v>
      </c>
      <c r="N1270" t="str">
        <f>IFERROR(VLOOKUP(L1270,Model_Assumptions!$A:$D,3,0),"Unmapped")</f>
        <v>Petrol</v>
      </c>
      <c r="O1270">
        <f>IFERROR(VLOOKUP(L1270,Model_Assumptions!$A:$D,4,0),0)</f>
        <v>850000</v>
      </c>
      <c r="P1270">
        <f>IFERROR(VLOOKUP(J1270,Source_Assumptions!$A:$C,3,0),0)</f>
        <v>300</v>
      </c>
    </row>
    <row r="1271" spans="1:16" x14ac:dyDescent="0.3">
      <c r="A1271">
        <f>Raw_Data!A1271</f>
        <v>1270</v>
      </c>
      <c r="B1271" s="2">
        <f>Raw_Data!B1271</f>
        <v>45594.739108796297</v>
      </c>
      <c r="C1271">
        <f>YEAR(Raw_Data!B1271)</f>
        <v>2024</v>
      </c>
      <c r="D1271" t="str">
        <f>IF(MONTH(Raw_Data!B1271)&gt;=4,YEAR(Raw_Data!B1271)&amp;"-"&amp;RIGHT(YEAR(Raw_Data!B1271)+1,2),YEAR(Raw_Data!B1271)-1&amp;"-"&amp;RIGHT(YEAR(Raw_Data!B1271),2))</f>
        <v>2024-25</v>
      </c>
      <c r="E1271" t="str">
        <f>"Q"&amp;ROUNDUP(MONTH(Raw_Data!B1271)/3,0)</f>
        <v>Q4</v>
      </c>
      <c r="F1271" t="str">
        <f>TEXT(Raw_Data!B1271,"mmm")</f>
        <v>Oct</v>
      </c>
      <c r="G1271" t="str">
        <f>TEXT(Raw_Data!B1271,"ddd")</f>
        <v>Tue</v>
      </c>
      <c r="H1271" t="str">
        <f>Raw_Data!D1271</f>
        <v>Invoiced</v>
      </c>
      <c r="I1271" t="str">
        <f>Raw_Data!F1271</f>
        <v>Walk-in Showroom</v>
      </c>
      <c r="J1271" t="str">
        <f>Raw_Data!G1271</f>
        <v>Adver. (TVC/Print/Hoarding/FM)</v>
      </c>
      <c r="K1271" t="str">
        <f>IFERROR(VLOOKUP(J1271,Source_Assumptions!$A:$C,2,0),"Unmapped")</f>
        <v>Traditional Advertising</v>
      </c>
      <c r="L1271" t="str">
        <f>Raw_Data!H1271</f>
        <v>ELEVATE</v>
      </c>
      <c r="M1271" t="str">
        <f>IFERROR(VLOOKUP(L1271,Model_Assumptions!$A:$D,2,0),"Unmapped")</f>
        <v>Compact SUV</v>
      </c>
      <c r="N1271" t="str">
        <f>IFERROR(VLOOKUP(L1271,Model_Assumptions!$A:$D,3,0),"Unmapped")</f>
        <v>Petrol</v>
      </c>
      <c r="O1271">
        <f>IFERROR(VLOOKUP(L1271,Model_Assumptions!$A:$D,4,0),0)</f>
        <v>1300000</v>
      </c>
      <c r="P1271">
        <f>IFERROR(VLOOKUP(J1271,Source_Assumptions!$A:$C,3,0),0)</f>
        <v>1200</v>
      </c>
    </row>
    <row r="1272" spans="1:16" x14ac:dyDescent="0.3">
      <c r="A1272">
        <f>Raw_Data!A1272</f>
        <v>1271</v>
      </c>
      <c r="B1272" s="2">
        <f>Raw_Data!B1272</f>
        <v>45595.6258564815</v>
      </c>
      <c r="C1272">
        <f>YEAR(Raw_Data!B1272)</f>
        <v>2024</v>
      </c>
      <c r="D1272" t="str">
        <f>IF(MONTH(Raw_Data!B1272)&gt;=4,YEAR(Raw_Data!B1272)&amp;"-"&amp;RIGHT(YEAR(Raw_Data!B1272)+1,2),YEAR(Raw_Data!B1272)-1&amp;"-"&amp;RIGHT(YEAR(Raw_Data!B1272),2))</f>
        <v>2024-25</v>
      </c>
      <c r="E1272" t="str">
        <f>"Q"&amp;ROUNDUP(MONTH(Raw_Data!B1272)/3,0)</f>
        <v>Q4</v>
      </c>
      <c r="F1272" t="str">
        <f>TEXT(Raw_Data!B1272,"mmm")</f>
        <v>Oct</v>
      </c>
      <c r="G1272" t="str">
        <f>TEXT(Raw_Data!B1272,"ddd")</f>
        <v>Wed</v>
      </c>
      <c r="H1272" t="str">
        <f>Raw_Data!D1272</f>
        <v>Invoiced</v>
      </c>
      <c r="I1272" t="str">
        <f>Raw_Data!F1272</f>
        <v>Tele-in</v>
      </c>
      <c r="J1272" t="str">
        <f>Raw_Data!G1272</f>
        <v>I-BAP Self</v>
      </c>
      <c r="K1272" t="str">
        <f>IFERROR(VLOOKUP(J1272,Source_Assumptions!$A:$C,2,0),"Unmapped")</f>
        <v>Referral (Insurance/Banking Partner)</v>
      </c>
      <c r="L1272" t="str">
        <f>Raw_Data!H1272</f>
        <v>ELEVATE</v>
      </c>
      <c r="M1272" t="str">
        <f>IFERROR(VLOOKUP(L1272,Model_Assumptions!$A:$D,2,0),"Unmapped")</f>
        <v>Compact SUV</v>
      </c>
      <c r="N1272" t="str">
        <f>IFERROR(VLOOKUP(L1272,Model_Assumptions!$A:$D,3,0),"Unmapped")</f>
        <v>Petrol</v>
      </c>
      <c r="O1272">
        <f>IFERROR(VLOOKUP(L1272,Model_Assumptions!$A:$D,4,0),0)</f>
        <v>1300000</v>
      </c>
      <c r="P1272">
        <f>IFERROR(VLOOKUP(J1272,Source_Assumptions!$A:$C,3,0),0)</f>
        <v>100</v>
      </c>
    </row>
    <row r="1273" spans="1:16" x14ac:dyDescent="0.3">
      <c r="A1273">
        <f>Raw_Data!A1273</f>
        <v>1272</v>
      </c>
      <c r="B1273" s="2">
        <f>Raw_Data!B1273</f>
        <v>45596.588101851899</v>
      </c>
      <c r="C1273">
        <f>YEAR(Raw_Data!B1273)</f>
        <v>2024</v>
      </c>
      <c r="D1273" t="str">
        <f>IF(MONTH(Raw_Data!B1273)&gt;=4,YEAR(Raw_Data!B1273)&amp;"-"&amp;RIGHT(YEAR(Raw_Data!B1273)+1,2),YEAR(Raw_Data!B1273)-1&amp;"-"&amp;RIGHT(YEAR(Raw_Data!B1273),2))</f>
        <v>2024-25</v>
      </c>
      <c r="E1273" t="str">
        <f>"Q"&amp;ROUNDUP(MONTH(Raw_Data!B1273)/3,0)</f>
        <v>Q4</v>
      </c>
      <c r="F1273" t="str">
        <f>TEXT(Raw_Data!B1273,"mmm")</f>
        <v>Oct</v>
      </c>
      <c r="G1273" t="str">
        <f>TEXT(Raw_Data!B1273,"ddd")</f>
        <v>Thu</v>
      </c>
      <c r="H1273" t="str">
        <f>Raw_Data!D1273</f>
        <v>Invoiced</v>
      </c>
      <c r="I1273" t="str">
        <f>Raw_Data!F1273</f>
        <v>Tele-in</v>
      </c>
      <c r="J1273" t="str">
        <f>Raw_Data!G1273</f>
        <v>Referral (HC/HBLP)</v>
      </c>
      <c r="K1273" t="str">
        <f>IFERROR(VLOOKUP(J1273,Source_Assumptions!$A:$C,2,0),"Unmapped")</f>
        <v>Referral (Happy Customer)</v>
      </c>
      <c r="L1273" t="str">
        <f>Raw_Data!H1273</f>
        <v>AMAZE Petrol</v>
      </c>
      <c r="M1273" t="str">
        <f>IFERROR(VLOOKUP(L1273,Model_Assumptions!$A:$D,2,0),"Unmapped")</f>
        <v>Sub-4m Sedan</v>
      </c>
      <c r="N1273" t="str">
        <f>IFERROR(VLOOKUP(L1273,Model_Assumptions!$A:$D,3,0),"Unmapped")</f>
        <v>Petrol</v>
      </c>
      <c r="O1273">
        <f>IFERROR(VLOOKUP(L1273,Model_Assumptions!$A:$D,4,0),0)</f>
        <v>850000</v>
      </c>
      <c r="P1273">
        <f>IFERROR(VLOOKUP(J1273,Source_Assumptions!$A:$C,3,0),0)</f>
        <v>100</v>
      </c>
    </row>
    <row r="1274" spans="1:16" x14ac:dyDescent="0.3">
      <c r="A1274">
        <f>Raw_Data!A1274</f>
        <v>1273</v>
      </c>
      <c r="B1274" s="2">
        <f>Raw_Data!B1274</f>
        <v>45596.632928240702</v>
      </c>
      <c r="C1274">
        <f>YEAR(Raw_Data!B1274)</f>
        <v>2024</v>
      </c>
      <c r="D1274" t="str">
        <f>IF(MONTH(Raw_Data!B1274)&gt;=4,YEAR(Raw_Data!B1274)&amp;"-"&amp;RIGHT(YEAR(Raw_Data!B1274)+1,2),YEAR(Raw_Data!B1274)-1&amp;"-"&amp;RIGHT(YEAR(Raw_Data!B1274),2))</f>
        <v>2024-25</v>
      </c>
      <c r="E1274" t="str">
        <f>"Q"&amp;ROUNDUP(MONTH(Raw_Data!B1274)/3,0)</f>
        <v>Q4</v>
      </c>
      <c r="F1274" t="str">
        <f>TEXT(Raw_Data!B1274,"mmm")</f>
        <v>Oct</v>
      </c>
      <c r="G1274" t="str">
        <f>TEXT(Raw_Data!B1274,"ddd")</f>
        <v>Thu</v>
      </c>
      <c r="H1274" t="str">
        <f>Raw_Data!D1274</f>
        <v>Invoiced</v>
      </c>
      <c r="I1274" t="str">
        <f>Raw_Data!F1274</f>
        <v>Walk-in Showroom</v>
      </c>
      <c r="J1274" t="str">
        <f>Raw_Data!G1274</f>
        <v>Referral (HC/HBLP)</v>
      </c>
      <c r="K1274" t="str">
        <f>IFERROR(VLOOKUP(J1274,Source_Assumptions!$A:$C,2,0),"Unmapped")</f>
        <v>Referral (Happy Customer)</v>
      </c>
      <c r="L1274" t="str">
        <f>Raw_Data!H1274</f>
        <v>AMAZE Petrol</v>
      </c>
      <c r="M1274" t="str">
        <f>IFERROR(VLOOKUP(L1274,Model_Assumptions!$A:$D,2,0),"Unmapped")</f>
        <v>Sub-4m Sedan</v>
      </c>
      <c r="N1274" t="str">
        <f>IFERROR(VLOOKUP(L1274,Model_Assumptions!$A:$D,3,0),"Unmapped")</f>
        <v>Petrol</v>
      </c>
      <c r="O1274">
        <f>IFERROR(VLOOKUP(L1274,Model_Assumptions!$A:$D,4,0),0)</f>
        <v>850000</v>
      </c>
      <c r="P1274">
        <f>IFERROR(VLOOKUP(J1274,Source_Assumptions!$A:$C,3,0),0)</f>
        <v>100</v>
      </c>
    </row>
    <row r="1275" spans="1:16" x14ac:dyDescent="0.3">
      <c r="A1275">
        <f>Raw_Data!A1275</f>
        <v>1274</v>
      </c>
      <c r="B1275" s="2">
        <f>Raw_Data!B1275</f>
        <v>45596.634918981501</v>
      </c>
      <c r="C1275">
        <f>YEAR(Raw_Data!B1275)</f>
        <v>2024</v>
      </c>
      <c r="D1275" t="str">
        <f>IF(MONTH(Raw_Data!B1275)&gt;=4,YEAR(Raw_Data!B1275)&amp;"-"&amp;RIGHT(YEAR(Raw_Data!B1275)+1,2),YEAR(Raw_Data!B1275)-1&amp;"-"&amp;RIGHT(YEAR(Raw_Data!B1275),2))</f>
        <v>2024-25</v>
      </c>
      <c r="E1275" t="str">
        <f>"Q"&amp;ROUNDUP(MONTH(Raw_Data!B1275)/3,0)</f>
        <v>Q4</v>
      </c>
      <c r="F1275" t="str">
        <f>TEXT(Raw_Data!B1275,"mmm")</f>
        <v>Oct</v>
      </c>
      <c r="G1275" t="str">
        <f>TEXT(Raw_Data!B1275,"ddd")</f>
        <v>Thu</v>
      </c>
      <c r="H1275" t="str">
        <f>Raw_Data!D1275</f>
        <v>Invoiced</v>
      </c>
      <c r="I1275" t="str">
        <f>Raw_Data!F1275</f>
        <v>Tele-in</v>
      </c>
      <c r="J1275" t="str">
        <f>Raw_Data!G1275</f>
        <v>Dealer Webpage Tele-In</v>
      </c>
      <c r="K1275" t="str">
        <f>IFERROR(VLOOKUP(J1275,Source_Assumptions!$A:$C,2,0),"Unmapped")</f>
        <v>Digital - Owned</v>
      </c>
      <c r="L1275" t="str">
        <f>Raw_Data!H1275</f>
        <v>AMAZE Petrol</v>
      </c>
      <c r="M1275" t="str">
        <f>IFERROR(VLOOKUP(L1275,Model_Assumptions!$A:$D,2,0),"Unmapped")</f>
        <v>Sub-4m Sedan</v>
      </c>
      <c r="N1275" t="str">
        <f>IFERROR(VLOOKUP(L1275,Model_Assumptions!$A:$D,3,0),"Unmapped")</f>
        <v>Petrol</v>
      </c>
      <c r="O1275">
        <f>IFERROR(VLOOKUP(L1275,Model_Assumptions!$A:$D,4,0),0)</f>
        <v>850000</v>
      </c>
      <c r="P1275">
        <f>IFERROR(VLOOKUP(J1275,Source_Assumptions!$A:$C,3,0),0)</f>
        <v>300</v>
      </c>
    </row>
    <row r="1276" spans="1:16" x14ac:dyDescent="0.3">
      <c r="A1276">
        <f>Raw_Data!A1276</f>
        <v>1275</v>
      </c>
      <c r="B1276" s="2">
        <f>Raw_Data!B1276</f>
        <v>45596.636168981502</v>
      </c>
      <c r="C1276">
        <f>YEAR(Raw_Data!B1276)</f>
        <v>2024</v>
      </c>
      <c r="D1276" t="str">
        <f>IF(MONTH(Raw_Data!B1276)&gt;=4,YEAR(Raw_Data!B1276)&amp;"-"&amp;RIGHT(YEAR(Raw_Data!B1276)+1,2),YEAR(Raw_Data!B1276)-1&amp;"-"&amp;RIGHT(YEAR(Raw_Data!B1276),2))</f>
        <v>2024-25</v>
      </c>
      <c r="E1276" t="str">
        <f>"Q"&amp;ROUNDUP(MONTH(Raw_Data!B1276)/3,0)</f>
        <v>Q4</v>
      </c>
      <c r="F1276" t="str">
        <f>TEXT(Raw_Data!B1276,"mmm")</f>
        <v>Oct</v>
      </c>
      <c r="G1276" t="str">
        <f>TEXT(Raw_Data!B1276,"ddd")</f>
        <v>Thu</v>
      </c>
      <c r="H1276" t="str">
        <f>Raw_Data!D1276</f>
        <v>Invoiced</v>
      </c>
      <c r="I1276" t="str">
        <f>Raw_Data!F1276</f>
        <v>SMS/ Tele-Out</v>
      </c>
      <c r="J1276" t="str">
        <f>Raw_Data!G1276</f>
        <v>Database Activity(Teleout/SMS)</v>
      </c>
      <c r="K1276" t="str">
        <f>IFERROR(VLOOKUP(J1276,Source_Assumptions!$A:$C,2,0),"Unmapped")</f>
        <v>Outbound/Database</v>
      </c>
      <c r="L1276" t="str">
        <f>Raw_Data!H1276</f>
        <v>AMAZE Petrol</v>
      </c>
      <c r="M1276" t="str">
        <f>IFERROR(VLOOKUP(L1276,Model_Assumptions!$A:$D,2,0),"Unmapped")</f>
        <v>Sub-4m Sedan</v>
      </c>
      <c r="N1276" t="str">
        <f>IFERROR(VLOOKUP(L1276,Model_Assumptions!$A:$D,3,0),"Unmapped")</f>
        <v>Petrol</v>
      </c>
      <c r="O1276">
        <f>IFERROR(VLOOKUP(L1276,Model_Assumptions!$A:$D,4,0),0)</f>
        <v>850000</v>
      </c>
      <c r="P1276">
        <f>IFERROR(VLOOKUP(J1276,Source_Assumptions!$A:$C,3,0),0)</f>
        <v>250</v>
      </c>
    </row>
    <row r="1277" spans="1:16" x14ac:dyDescent="0.3">
      <c r="A1277">
        <f>Raw_Data!A1277</f>
        <v>1276</v>
      </c>
      <c r="B1277" s="2">
        <f>Raw_Data!B1277</f>
        <v>45596.722106481502</v>
      </c>
      <c r="C1277">
        <f>YEAR(Raw_Data!B1277)</f>
        <v>2024</v>
      </c>
      <c r="D1277" t="str">
        <f>IF(MONTH(Raw_Data!B1277)&gt;=4,YEAR(Raw_Data!B1277)&amp;"-"&amp;RIGHT(YEAR(Raw_Data!B1277)+1,2),YEAR(Raw_Data!B1277)-1&amp;"-"&amp;RIGHT(YEAR(Raw_Data!B1277),2))</f>
        <v>2024-25</v>
      </c>
      <c r="E1277" t="str">
        <f>"Q"&amp;ROUNDUP(MONTH(Raw_Data!B1277)/3,0)</f>
        <v>Q4</v>
      </c>
      <c r="F1277" t="str">
        <f>TEXT(Raw_Data!B1277,"mmm")</f>
        <v>Oct</v>
      </c>
      <c r="G1277" t="str">
        <f>TEXT(Raw_Data!B1277,"ddd")</f>
        <v>Thu</v>
      </c>
      <c r="H1277" t="str">
        <f>Raw_Data!D1277</f>
        <v>Invoiced</v>
      </c>
      <c r="I1277" t="str">
        <f>Raw_Data!F1277</f>
        <v>Walk-in Showroom</v>
      </c>
      <c r="J1277" t="str">
        <f>Raw_Data!G1277</f>
        <v>Adver. (TVC/Print/Hoarding/FM)</v>
      </c>
      <c r="K1277" t="str">
        <f>IFERROR(VLOOKUP(J1277,Source_Assumptions!$A:$C,2,0),"Unmapped")</f>
        <v>Traditional Advertising</v>
      </c>
      <c r="L1277" t="str">
        <f>Raw_Data!H1277</f>
        <v>ELEVATE</v>
      </c>
      <c r="M1277" t="str">
        <f>IFERROR(VLOOKUP(L1277,Model_Assumptions!$A:$D,2,0),"Unmapped")</f>
        <v>Compact SUV</v>
      </c>
      <c r="N1277" t="str">
        <f>IFERROR(VLOOKUP(L1277,Model_Assumptions!$A:$D,3,0),"Unmapped")</f>
        <v>Petrol</v>
      </c>
      <c r="O1277">
        <f>IFERROR(VLOOKUP(L1277,Model_Assumptions!$A:$D,4,0),0)</f>
        <v>1300000</v>
      </c>
      <c r="P1277">
        <f>IFERROR(VLOOKUP(J1277,Source_Assumptions!$A:$C,3,0),0)</f>
        <v>1200</v>
      </c>
    </row>
    <row r="1278" spans="1:16" x14ac:dyDescent="0.3">
      <c r="A1278">
        <f>Raw_Data!A1278</f>
        <v>1277</v>
      </c>
      <c r="B1278" s="2">
        <f>Raw_Data!B1278</f>
        <v>45596.731331018498</v>
      </c>
      <c r="C1278">
        <f>YEAR(Raw_Data!B1278)</f>
        <v>2024</v>
      </c>
      <c r="D1278" t="str">
        <f>IF(MONTH(Raw_Data!B1278)&gt;=4,YEAR(Raw_Data!B1278)&amp;"-"&amp;RIGHT(YEAR(Raw_Data!B1278)+1,2),YEAR(Raw_Data!B1278)-1&amp;"-"&amp;RIGHT(YEAR(Raw_Data!B1278),2))</f>
        <v>2024-25</v>
      </c>
      <c r="E1278" t="str">
        <f>"Q"&amp;ROUNDUP(MONTH(Raw_Data!B1278)/3,0)</f>
        <v>Q4</v>
      </c>
      <c r="F1278" t="str">
        <f>TEXT(Raw_Data!B1278,"mmm")</f>
        <v>Oct</v>
      </c>
      <c r="G1278" t="str">
        <f>TEXT(Raw_Data!B1278,"ddd")</f>
        <v>Thu</v>
      </c>
      <c r="H1278" t="str">
        <f>Raw_Data!D1278</f>
        <v>Invoiced</v>
      </c>
      <c r="I1278" t="str">
        <f>Raw_Data!F1278</f>
        <v>Web Lead</v>
      </c>
      <c r="J1278" t="str">
        <f>Raw_Data!G1278</f>
        <v>Web_Carwale</v>
      </c>
      <c r="K1278" t="str">
        <f>IFERROR(VLOOKUP(J1278,Source_Assumptions!$A:$C,2,0),"Unmapped")</f>
        <v>Digital - Aggregator (Paid)</v>
      </c>
      <c r="L1278" t="str">
        <f>Raw_Data!H1278</f>
        <v>5TH GEN CITY PE</v>
      </c>
      <c r="M1278" t="str">
        <f>IFERROR(VLOOKUP(L1278,Model_Assumptions!$A:$D,2,0),"Unmapped")</f>
        <v>Mid-size Sedan</v>
      </c>
      <c r="N1278" t="str">
        <f>IFERROR(VLOOKUP(L1278,Model_Assumptions!$A:$D,3,0),"Unmapped")</f>
        <v>Petrol</v>
      </c>
      <c r="O1278">
        <f>IFERROR(VLOOKUP(L1278,Model_Assumptions!$A:$D,4,0),0)</f>
        <v>1250000</v>
      </c>
      <c r="P1278">
        <f>IFERROR(VLOOKUP(J1278,Source_Assumptions!$A:$C,3,0),0)</f>
        <v>900</v>
      </c>
    </row>
    <row r="1279" spans="1:16" x14ac:dyDescent="0.3">
      <c r="A1279">
        <f>Raw_Data!A1279</f>
        <v>1278</v>
      </c>
      <c r="B1279" s="2">
        <f>Raw_Data!B1279</f>
        <v>45596.769699074102</v>
      </c>
      <c r="C1279">
        <f>YEAR(Raw_Data!B1279)</f>
        <v>2024</v>
      </c>
      <c r="D1279" t="str">
        <f>IF(MONTH(Raw_Data!B1279)&gt;=4,YEAR(Raw_Data!B1279)&amp;"-"&amp;RIGHT(YEAR(Raw_Data!B1279)+1,2),YEAR(Raw_Data!B1279)-1&amp;"-"&amp;RIGHT(YEAR(Raw_Data!B1279),2))</f>
        <v>2024-25</v>
      </c>
      <c r="E1279" t="str">
        <f>"Q"&amp;ROUNDUP(MONTH(Raw_Data!B1279)/3,0)</f>
        <v>Q4</v>
      </c>
      <c r="F1279" t="str">
        <f>TEXT(Raw_Data!B1279,"mmm")</f>
        <v>Oct</v>
      </c>
      <c r="G1279" t="str">
        <f>TEXT(Raw_Data!B1279,"ddd")</f>
        <v>Thu</v>
      </c>
      <c r="H1279" t="str">
        <f>Raw_Data!D1279</f>
        <v>Invoiced</v>
      </c>
      <c r="I1279" t="str">
        <f>Raw_Data!F1279</f>
        <v>Walk-in Showroom</v>
      </c>
      <c r="J1279" t="str">
        <f>Raw_Data!G1279</f>
        <v>Adver. (TVC/Print/Hoarding/FM)</v>
      </c>
      <c r="K1279" t="str">
        <f>IFERROR(VLOOKUP(J1279,Source_Assumptions!$A:$C,2,0),"Unmapped")</f>
        <v>Traditional Advertising</v>
      </c>
      <c r="L1279" t="str">
        <f>Raw_Data!H1279</f>
        <v>AMAZE Petrol</v>
      </c>
      <c r="M1279" t="str">
        <f>IFERROR(VLOOKUP(L1279,Model_Assumptions!$A:$D,2,0),"Unmapped")</f>
        <v>Sub-4m Sedan</v>
      </c>
      <c r="N1279" t="str">
        <f>IFERROR(VLOOKUP(L1279,Model_Assumptions!$A:$D,3,0),"Unmapped")</f>
        <v>Petrol</v>
      </c>
      <c r="O1279">
        <f>IFERROR(VLOOKUP(L1279,Model_Assumptions!$A:$D,4,0),0)</f>
        <v>850000</v>
      </c>
      <c r="P1279">
        <f>IFERROR(VLOOKUP(J1279,Source_Assumptions!$A:$C,3,0),0)</f>
        <v>1200</v>
      </c>
    </row>
    <row r="1280" spans="1:16" x14ac:dyDescent="0.3">
      <c r="A1280">
        <f>Raw_Data!A1280</f>
        <v>1279</v>
      </c>
      <c r="B1280" s="2">
        <f>Raw_Data!B1280</f>
        <v>45596.8493171296</v>
      </c>
      <c r="C1280">
        <f>YEAR(Raw_Data!B1280)</f>
        <v>2024</v>
      </c>
      <c r="D1280" t="str">
        <f>IF(MONTH(Raw_Data!B1280)&gt;=4,YEAR(Raw_Data!B1280)&amp;"-"&amp;RIGHT(YEAR(Raw_Data!B1280)+1,2),YEAR(Raw_Data!B1280)-1&amp;"-"&amp;RIGHT(YEAR(Raw_Data!B1280),2))</f>
        <v>2024-25</v>
      </c>
      <c r="E1280" t="str">
        <f>"Q"&amp;ROUNDUP(MONTH(Raw_Data!B1280)/3,0)</f>
        <v>Q4</v>
      </c>
      <c r="F1280" t="str">
        <f>TEXT(Raw_Data!B1280,"mmm")</f>
        <v>Oct</v>
      </c>
      <c r="G1280" t="str">
        <f>TEXT(Raw_Data!B1280,"ddd")</f>
        <v>Thu</v>
      </c>
      <c r="H1280" t="str">
        <f>Raw_Data!D1280</f>
        <v>Invoiced</v>
      </c>
      <c r="I1280" t="str">
        <f>Raw_Data!F1280</f>
        <v>SMS/ Tele-Out</v>
      </c>
      <c r="J1280" t="str">
        <f>Raw_Data!G1280</f>
        <v>Database Activity(Teleout/SMS)</v>
      </c>
      <c r="K1280" t="str">
        <f>IFERROR(VLOOKUP(J1280,Source_Assumptions!$A:$C,2,0),"Unmapped")</f>
        <v>Outbound/Database</v>
      </c>
      <c r="L1280" t="str">
        <f>Raw_Data!H1280</f>
        <v>5TH GEN CITY PE</v>
      </c>
      <c r="M1280" t="str">
        <f>IFERROR(VLOOKUP(L1280,Model_Assumptions!$A:$D,2,0),"Unmapped")</f>
        <v>Mid-size Sedan</v>
      </c>
      <c r="N1280" t="str">
        <f>IFERROR(VLOOKUP(L1280,Model_Assumptions!$A:$D,3,0),"Unmapped")</f>
        <v>Petrol</v>
      </c>
      <c r="O1280">
        <f>IFERROR(VLOOKUP(L1280,Model_Assumptions!$A:$D,4,0),0)</f>
        <v>1250000</v>
      </c>
      <c r="P1280">
        <f>IFERROR(VLOOKUP(J1280,Source_Assumptions!$A:$C,3,0),0)</f>
        <v>250</v>
      </c>
    </row>
    <row r="1281" spans="1:16" x14ac:dyDescent="0.3">
      <c r="A1281">
        <f>Raw_Data!A1281</f>
        <v>1280</v>
      </c>
      <c r="B1281" s="2">
        <f>Raw_Data!B1281</f>
        <v>45596.923738425903</v>
      </c>
      <c r="C1281">
        <f>YEAR(Raw_Data!B1281)</f>
        <v>2024</v>
      </c>
      <c r="D1281" t="str">
        <f>IF(MONTH(Raw_Data!B1281)&gt;=4,YEAR(Raw_Data!B1281)&amp;"-"&amp;RIGHT(YEAR(Raw_Data!B1281)+1,2),YEAR(Raw_Data!B1281)-1&amp;"-"&amp;RIGHT(YEAR(Raw_Data!B1281),2))</f>
        <v>2024-25</v>
      </c>
      <c r="E1281" t="str">
        <f>"Q"&amp;ROUNDUP(MONTH(Raw_Data!B1281)/3,0)</f>
        <v>Q4</v>
      </c>
      <c r="F1281" t="str">
        <f>TEXT(Raw_Data!B1281,"mmm")</f>
        <v>Oct</v>
      </c>
      <c r="G1281" t="str">
        <f>TEXT(Raw_Data!B1281,"ddd")</f>
        <v>Thu</v>
      </c>
      <c r="H1281" t="str">
        <f>Raw_Data!D1281</f>
        <v>Invoiced</v>
      </c>
      <c r="I1281" t="str">
        <f>Raw_Data!F1281</f>
        <v>SMS/ Tele-Out</v>
      </c>
      <c r="J1281" t="str">
        <f>Raw_Data!G1281</f>
        <v>I-BAP Referral</v>
      </c>
      <c r="K1281" t="str">
        <f>IFERROR(VLOOKUP(J1281,Source_Assumptions!$A:$C,2,0),"Unmapped")</f>
        <v>Referral (Insurance/Banking Partner)</v>
      </c>
      <c r="L1281" t="str">
        <f>Raw_Data!H1281</f>
        <v>AMAZE Petrol</v>
      </c>
      <c r="M1281" t="str">
        <f>IFERROR(VLOOKUP(L1281,Model_Assumptions!$A:$D,2,0),"Unmapped")</f>
        <v>Sub-4m Sedan</v>
      </c>
      <c r="N1281" t="str">
        <f>IFERROR(VLOOKUP(L1281,Model_Assumptions!$A:$D,3,0),"Unmapped")</f>
        <v>Petrol</v>
      </c>
      <c r="O1281">
        <f>IFERROR(VLOOKUP(L1281,Model_Assumptions!$A:$D,4,0),0)</f>
        <v>850000</v>
      </c>
      <c r="P1281">
        <f>IFERROR(VLOOKUP(J1281,Source_Assumptions!$A:$C,3,0),0)</f>
        <v>150</v>
      </c>
    </row>
    <row r="1282" spans="1:16" x14ac:dyDescent="0.3">
      <c r="A1282">
        <f>Raw_Data!A1282</f>
        <v>1281</v>
      </c>
      <c r="B1282" s="2">
        <f>Raw_Data!B1282</f>
        <v>45596.924236111103</v>
      </c>
      <c r="C1282">
        <f>YEAR(Raw_Data!B1282)</f>
        <v>2024</v>
      </c>
      <c r="D1282" t="str">
        <f>IF(MONTH(Raw_Data!B1282)&gt;=4,YEAR(Raw_Data!B1282)&amp;"-"&amp;RIGHT(YEAR(Raw_Data!B1282)+1,2),YEAR(Raw_Data!B1282)-1&amp;"-"&amp;RIGHT(YEAR(Raw_Data!B1282),2))</f>
        <v>2024-25</v>
      </c>
      <c r="E1282" t="str">
        <f>"Q"&amp;ROUNDUP(MONTH(Raw_Data!B1282)/3,0)</f>
        <v>Q4</v>
      </c>
      <c r="F1282" t="str">
        <f>TEXT(Raw_Data!B1282,"mmm")</f>
        <v>Oct</v>
      </c>
      <c r="G1282" t="str">
        <f>TEXT(Raw_Data!B1282,"ddd")</f>
        <v>Thu</v>
      </c>
      <c r="H1282" t="str">
        <f>Raw_Data!D1282</f>
        <v>Invoiced</v>
      </c>
      <c r="I1282" t="str">
        <f>Raw_Data!F1282</f>
        <v>SMS/ Tele-Out</v>
      </c>
      <c r="J1282" t="str">
        <f>Raw_Data!G1282</f>
        <v>I-BAP Referral</v>
      </c>
      <c r="K1282" t="str">
        <f>IFERROR(VLOOKUP(J1282,Source_Assumptions!$A:$C,2,0),"Unmapped")</f>
        <v>Referral (Insurance/Banking Partner)</v>
      </c>
      <c r="L1282" t="str">
        <f>Raw_Data!H1282</f>
        <v>ELEVATE</v>
      </c>
      <c r="M1282" t="str">
        <f>IFERROR(VLOOKUP(L1282,Model_Assumptions!$A:$D,2,0),"Unmapped")</f>
        <v>Compact SUV</v>
      </c>
      <c r="N1282" t="str">
        <f>IFERROR(VLOOKUP(L1282,Model_Assumptions!$A:$D,3,0),"Unmapped")</f>
        <v>Petrol</v>
      </c>
      <c r="O1282">
        <f>IFERROR(VLOOKUP(L1282,Model_Assumptions!$A:$D,4,0),0)</f>
        <v>1300000</v>
      </c>
      <c r="P1282">
        <f>IFERROR(VLOOKUP(J1282,Source_Assumptions!$A:$C,3,0),0)</f>
        <v>150</v>
      </c>
    </row>
    <row r="1283" spans="1:16" x14ac:dyDescent="0.3">
      <c r="A1283">
        <f>Raw_Data!A1283</f>
        <v>1282</v>
      </c>
      <c r="B1283" s="2">
        <f>Raw_Data!B1283</f>
        <v>45596.928773148204</v>
      </c>
      <c r="C1283">
        <f>YEAR(Raw_Data!B1283)</f>
        <v>2024</v>
      </c>
      <c r="D1283" t="str">
        <f>IF(MONTH(Raw_Data!B1283)&gt;=4,YEAR(Raw_Data!B1283)&amp;"-"&amp;RIGHT(YEAR(Raw_Data!B1283)+1,2),YEAR(Raw_Data!B1283)-1&amp;"-"&amp;RIGHT(YEAR(Raw_Data!B1283),2))</f>
        <v>2024-25</v>
      </c>
      <c r="E1283" t="str">
        <f>"Q"&amp;ROUNDUP(MONTH(Raw_Data!B1283)/3,0)</f>
        <v>Q4</v>
      </c>
      <c r="F1283" t="str">
        <f>TEXT(Raw_Data!B1283,"mmm")</f>
        <v>Oct</v>
      </c>
      <c r="G1283" t="str">
        <f>TEXT(Raw_Data!B1283,"ddd")</f>
        <v>Thu</v>
      </c>
      <c r="H1283" t="str">
        <f>Raw_Data!D1283</f>
        <v>Invoiced</v>
      </c>
      <c r="I1283" t="str">
        <f>Raw_Data!F1283</f>
        <v>Walk-in Showroom</v>
      </c>
      <c r="J1283" t="str">
        <f>Raw_Data!G1283</f>
        <v>Adver. (TVC/Print/Hoarding/FM)</v>
      </c>
      <c r="K1283" t="str">
        <f>IFERROR(VLOOKUP(J1283,Source_Assumptions!$A:$C,2,0),"Unmapped")</f>
        <v>Traditional Advertising</v>
      </c>
      <c r="L1283" t="str">
        <f>Raw_Data!H1283</f>
        <v>AMAZE Petrol</v>
      </c>
      <c r="M1283" t="str">
        <f>IFERROR(VLOOKUP(L1283,Model_Assumptions!$A:$D,2,0),"Unmapped")</f>
        <v>Sub-4m Sedan</v>
      </c>
      <c r="N1283" t="str">
        <f>IFERROR(VLOOKUP(L1283,Model_Assumptions!$A:$D,3,0),"Unmapped")</f>
        <v>Petrol</v>
      </c>
      <c r="O1283">
        <f>IFERROR(VLOOKUP(L1283,Model_Assumptions!$A:$D,4,0),0)</f>
        <v>850000</v>
      </c>
      <c r="P1283">
        <f>IFERROR(VLOOKUP(J1283,Source_Assumptions!$A:$C,3,0),0)</f>
        <v>1200</v>
      </c>
    </row>
    <row r="1284" spans="1:16" x14ac:dyDescent="0.3">
      <c r="A1284">
        <f>Raw_Data!A1284</f>
        <v>1283</v>
      </c>
      <c r="B1284" s="2">
        <f>Raw_Data!B1284</f>
        <v>45600.577210648204</v>
      </c>
      <c r="C1284">
        <f>YEAR(Raw_Data!B1284)</f>
        <v>2024</v>
      </c>
      <c r="D1284" t="str">
        <f>IF(MONTH(Raw_Data!B1284)&gt;=4,YEAR(Raw_Data!B1284)&amp;"-"&amp;RIGHT(YEAR(Raw_Data!B1284)+1,2),YEAR(Raw_Data!B1284)-1&amp;"-"&amp;RIGHT(YEAR(Raw_Data!B1284),2))</f>
        <v>2024-25</v>
      </c>
      <c r="E1284" t="str">
        <f>"Q"&amp;ROUNDUP(MONTH(Raw_Data!B1284)/3,0)</f>
        <v>Q4</v>
      </c>
      <c r="F1284" t="str">
        <f>TEXT(Raw_Data!B1284,"mmm")</f>
        <v>Nov</v>
      </c>
      <c r="G1284" t="str">
        <f>TEXT(Raw_Data!B1284,"ddd")</f>
        <v>Mon</v>
      </c>
      <c r="H1284" t="str">
        <f>Raw_Data!D1284</f>
        <v>Invoiced</v>
      </c>
      <c r="I1284" t="str">
        <f>Raw_Data!F1284</f>
        <v>SMS/ Tele-Out</v>
      </c>
      <c r="J1284" t="str">
        <f>Raw_Data!G1284</f>
        <v>Database Activity(Teleout/SMS)</v>
      </c>
      <c r="K1284" t="str">
        <f>IFERROR(VLOOKUP(J1284,Source_Assumptions!$A:$C,2,0),"Unmapped")</f>
        <v>Outbound/Database</v>
      </c>
      <c r="L1284" t="str">
        <f>Raw_Data!H1284</f>
        <v>AMAZE Petrol</v>
      </c>
      <c r="M1284" t="str">
        <f>IFERROR(VLOOKUP(L1284,Model_Assumptions!$A:$D,2,0),"Unmapped")</f>
        <v>Sub-4m Sedan</v>
      </c>
      <c r="N1284" t="str">
        <f>IFERROR(VLOOKUP(L1284,Model_Assumptions!$A:$D,3,0),"Unmapped")</f>
        <v>Petrol</v>
      </c>
      <c r="O1284">
        <f>IFERROR(VLOOKUP(L1284,Model_Assumptions!$A:$D,4,0),0)</f>
        <v>850000</v>
      </c>
      <c r="P1284">
        <f>IFERROR(VLOOKUP(J1284,Source_Assumptions!$A:$C,3,0),0)</f>
        <v>250</v>
      </c>
    </row>
    <row r="1285" spans="1:16" x14ac:dyDescent="0.3">
      <c r="A1285">
        <f>Raw_Data!A1285</f>
        <v>1284</v>
      </c>
      <c r="B1285" s="2">
        <f>Raw_Data!B1285</f>
        <v>45602.732476851903</v>
      </c>
      <c r="C1285">
        <f>YEAR(Raw_Data!B1285)</f>
        <v>2024</v>
      </c>
      <c r="D1285" t="str">
        <f>IF(MONTH(Raw_Data!B1285)&gt;=4,YEAR(Raw_Data!B1285)&amp;"-"&amp;RIGHT(YEAR(Raw_Data!B1285)+1,2),YEAR(Raw_Data!B1285)-1&amp;"-"&amp;RIGHT(YEAR(Raw_Data!B1285),2))</f>
        <v>2024-25</v>
      </c>
      <c r="E1285" t="str">
        <f>"Q"&amp;ROUNDUP(MONTH(Raw_Data!B1285)/3,0)</f>
        <v>Q4</v>
      </c>
      <c r="F1285" t="str">
        <f>TEXT(Raw_Data!B1285,"mmm")</f>
        <v>Nov</v>
      </c>
      <c r="G1285" t="str">
        <f>TEXT(Raw_Data!B1285,"ddd")</f>
        <v>Wed</v>
      </c>
      <c r="H1285" t="str">
        <f>Raw_Data!D1285</f>
        <v>Invoiced</v>
      </c>
      <c r="I1285" t="str">
        <f>Raw_Data!F1285</f>
        <v>Tele-in</v>
      </c>
      <c r="J1285" t="str">
        <f>Raw_Data!G1285</f>
        <v>Dealer Webpage Tele-In</v>
      </c>
      <c r="K1285" t="str">
        <f>IFERROR(VLOOKUP(J1285,Source_Assumptions!$A:$C,2,0),"Unmapped")</f>
        <v>Digital - Owned</v>
      </c>
      <c r="L1285" t="str">
        <f>Raw_Data!H1285</f>
        <v>ELEVATE</v>
      </c>
      <c r="M1285" t="str">
        <f>IFERROR(VLOOKUP(L1285,Model_Assumptions!$A:$D,2,0),"Unmapped")</f>
        <v>Compact SUV</v>
      </c>
      <c r="N1285" t="str">
        <f>IFERROR(VLOOKUP(L1285,Model_Assumptions!$A:$D,3,0),"Unmapped")</f>
        <v>Petrol</v>
      </c>
      <c r="O1285">
        <f>IFERROR(VLOOKUP(L1285,Model_Assumptions!$A:$D,4,0),0)</f>
        <v>1300000</v>
      </c>
      <c r="P1285">
        <f>IFERROR(VLOOKUP(J1285,Source_Assumptions!$A:$C,3,0),0)</f>
        <v>300</v>
      </c>
    </row>
    <row r="1286" spans="1:16" x14ac:dyDescent="0.3">
      <c r="A1286">
        <f>Raw_Data!A1286</f>
        <v>1285</v>
      </c>
      <c r="B1286" s="2">
        <f>Raw_Data!B1286</f>
        <v>45603.459201388898</v>
      </c>
      <c r="C1286">
        <f>YEAR(Raw_Data!B1286)</f>
        <v>2024</v>
      </c>
      <c r="D1286" t="str">
        <f>IF(MONTH(Raw_Data!B1286)&gt;=4,YEAR(Raw_Data!B1286)&amp;"-"&amp;RIGHT(YEAR(Raw_Data!B1286)+1,2),YEAR(Raw_Data!B1286)-1&amp;"-"&amp;RIGHT(YEAR(Raw_Data!B1286),2))</f>
        <v>2024-25</v>
      </c>
      <c r="E1286" t="str">
        <f>"Q"&amp;ROUNDUP(MONTH(Raw_Data!B1286)/3,0)</f>
        <v>Q4</v>
      </c>
      <c r="F1286" t="str">
        <f>TEXT(Raw_Data!B1286,"mmm")</f>
        <v>Nov</v>
      </c>
      <c r="G1286" t="str">
        <f>TEXT(Raw_Data!B1286,"ddd")</f>
        <v>Thu</v>
      </c>
      <c r="H1286" t="str">
        <f>Raw_Data!D1286</f>
        <v>Invoiced</v>
      </c>
      <c r="I1286" t="str">
        <f>Raw_Data!F1286</f>
        <v>Tele-in</v>
      </c>
      <c r="J1286" t="str">
        <f>Raw_Data!G1286</f>
        <v>Referral-CAM</v>
      </c>
      <c r="K1286" t="str">
        <f>IFERROR(VLOOKUP(J1286,Source_Assumptions!$A:$C,2,0),"Unmapped")</f>
        <v>Referral</v>
      </c>
      <c r="L1286" t="str">
        <f>Raw_Data!H1286</f>
        <v>AMAZE Petrol</v>
      </c>
      <c r="M1286" t="str">
        <f>IFERROR(VLOOKUP(L1286,Model_Assumptions!$A:$D,2,0),"Unmapped")</f>
        <v>Sub-4m Sedan</v>
      </c>
      <c r="N1286" t="str">
        <f>IFERROR(VLOOKUP(L1286,Model_Assumptions!$A:$D,3,0),"Unmapped")</f>
        <v>Petrol</v>
      </c>
      <c r="O1286">
        <f>IFERROR(VLOOKUP(L1286,Model_Assumptions!$A:$D,4,0),0)</f>
        <v>850000</v>
      </c>
      <c r="P1286">
        <f>IFERROR(VLOOKUP(J1286,Source_Assumptions!$A:$C,3,0),0)</f>
        <v>150</v>
      </c>
    </row>
    <row r="1287" spans="1:16" x14ac:dyDescent="0.3">
      <c r="A1287">
        <f>Raw_Data!A1287</f>
        <v>1286</v>
      </c>
      <c r="B1287" s="2">
        <f>Raw_Data!B1287</f>
        <v>45603.580787036997</v>
      </c>
      <c r="C1287">
        <f>YEAR(Raw_Data!B1287)</f>
        <v>2024</v>
      </c>
      <c r="D1287" t="str">
        <f>IF(MONTH(Raw_Data!B1287)&gt;=4,YEAR(Raw_Data!B1287)&amp;"-"&amp;RIGHT(YEAR(Raw_Data!B1287)+1,2),YEAR(Raw_Data!B1287)-1&amp;"-"&amp;RIGHT(YEAR(Raw_Data!B1287),2))</f>
        <v>2024-25</v>
      </c>
      <c r="E1287" t="str">
        <f>"Q"&amp;ROUNDUP(MONTH(Raw_Data!B1287)/3,0)</f>
        <v>Q4</v>
      </c>
      <c r="F1287" t="str">
        <f>TEXT(Raw_Data!B1287,"mmm")</f>
        <v>Nov</v>
      </c>
      <c r="G1287" t="str">
        <f>TEXT(Raw_Data!B1287,"ddd")</f>
        <v>Thu</v>
      </c>
      <c r="H1287" t="str">
        <f>Raw_Data!D1287</f>
        <v>Invoiced</v>
      </c>
      <c r="I1287" t="str">
        <f>Raw_Data!F1287</f>
        <v>SMS/ Tele-Out</v>
      </c>
      <c r="J1287" t="str">
        <f>Raw_Data!G1287</f>
        <v>Referral-CAM</v>
      </c>
      <c r="K1287" t="str">
        <f>IFERROR(VLOOKUP(J1287,Source_Assumptions!$A:$C,2,0),"Unmapped")</f>
        <v>Referral</v>
      </c>
      <c r="L1287" t="str">
        <f>Raw_Data!H1287</f>
        <v>AMAZE Petrol</v>
      </c>
      <c r="M1287" t="str">
        <f>IFERROR(VLOOKUP(L1287,Model_Assumptions!$A:$D,2,0),"Unmapped")</f>
        <v>Sub-4m Sedan</v>
      </c>
      <c r="N1287" t="str">
        <f>IFERROR(VLOOKUP(L1287,Model_Assumptions!$A:$D,3,0),"Unmapped")</f>
        <v>Petrol</v>
      </c>
      <c r="O1287">
        <f>IFERROR(VLOOKUP(L1287,Model_Assumptions!$A:$D,4,0),0)</f>
        <v>850000</v>
      </c>
      <c r="P1287">
        <f>IFERROR(VLOOKUP(J1287,Source_Assumptions!$A:$C,3,0),0)</f>
        <v>150</v>
      </c>
    </row>
    <row r="1288" spans="1:16" x14ac:dyDescent="0.3">
      <c r="A1288">
        <f>Raw_Data!A1288</f>
        <v>1287</v>
      </c>
      <c r="B1288" s="2">
        <f>Raw_Data!B1288</f>
        <v>45605.511886574102</v>
      </c>
      <c r="C1288">
        <f>YEAR(Raw_Data!B1288)</f>
        <v>2024</v>
      </c>
      <c r="D1288" t="str">
        <f>IF(MONTH(Raw_Data!B1288)&gt;=4,YEAR(Raw_Data!B1288)&amp;"-"&amp;RIGHT(YEAR(Raw_Data!B1288)+1,2),YEAR(Raw_Data!B1288)-1&amp;"-"&amp;RIGHT(YEAR(Raw_Data!B1288),2))</f>
        <v>2024-25</v>
      </c>
      <c r="E1288" t="str">
        <f>"Q"&amp;ROUNDUP(MONTH(Raw_Data!B1288)/3,0)</f>
        <v>Q4</v>
      </c>
      <c r="F1288" t="str">
        <f>TEXT(Raw_Data!B1288,"mmm")</f>
        <v>Nov</v>
      </c>
      <c r="G1288" t="str">
        <f>TEXT(Raw_Data!B1288,"ddd")</f>
        <v>Sat</v>
      </c>
      <c r="H1288" t="str">
        <f>Raw_Data!D1288</f>
        <v>Invoiced</v>
      </c>
      <c r="I1288" t="str">
        <f>Raw_Data!F1288</f>
        <v>Tele-in</v>
      </c>
      <c r="J1288" t="str">
        <f>Raw_Data!G1288</f>
        <v>Dealer Webpage Tele-In</v>
      </c>
      <c r="K1288" t="str">
        <f>IFERROR(VLOOKUP(J1288,Source_Assumptions!$A:$C,2,0),"Unmapped")</f>
        <v>Digital - Owned</v>
      </c>
      <c r="L1288" t="str">
        <f>Raw_Data!H1288</f>
        <v>ELEVATE</v>
      </c>
      <c r="M1288" t="str">
        <f>IFERROR(VLOOKUP(L1288,Model_Assumptions!$A:$D,2,0),"Unmapped")</f>
        <v>Compact SUV</v>
      </c>
      <c r="N1288" t="str">
        <f>IFERROR(VLOOKUP(L1288,Model_Assumptions!$A:$D,3,0),"Unmapped")</f>
        <v>Petrol</v>
      </c>
      <c r="O1288">
        <f>IFERROR(VLOOKUP(L1288,Model_Assumptions!$A:$D,4,0),0)</f>
        <v>1300000</v>
      </c>
      <c r="P1288">
        <f>IFERROR(VLOOKUP(J1288,Source_Assumptions!$A:$C,3,0),0)</f>
        <v>300</v>
      </c>
    </row>
    <row r="1289" spans="1:16" x14ac:dyDescent="0.3">
      <c r="A1289">
        <f>Raw_Data!A1289</f>
        <v>1288</v>
      </c>
      <c r="B1289" s="2">
        <f>Raw_Data!B1289</f>
        <v>45605.578750000001</v>
      </c>
      <c r="C1289">
        <f>YEAR(Raw_Data!B1289)</f>
        <v>2024</v>
      </c>
      <c r="D1289" t="str">
        <f>IF(MONTH(Raw_Data!B1289)&gt;=4,YEAR(Raw_Data!B1289)&amp;"-"&amp;RIGHT(YEAR(Raw_Data!B1289)+1,2),YEAR(Raw_Data!B1289)-1&amp;"-"&amp;RIGHT(YEAR(Raw_Data!B1289),2))</f>
        <v>2024-25</v>
      </c>
      <c r="E1289" t="str">
        <f>"Q"&amp;ROUNDUP(MONTH(Raw_Data!B1289)/3,0)</f>
        <v>Q4</v>
      </c>
      <c r="F1289" t="str">
        <f>TEXT(Raw_Data!B1289,"mmm")</f>
        <v>Nov</v>
      </c>
      <c r="G1289" t="str">
        <f>TEXT(Raw_Data!B1289,"ddd")</f>
        <v>Sat</v>
      </c>
      <c r="H1289" t="str">
        <f>Raw_Data!D1289</f>
        <v>Invoiced</v>
      </c>
      <c r="I1289" t="str">
        <f>Raw_Data!F1289</f>
        <v>Walk-in Showroom</v>
      </c>
      <c r="J1289" t="str">
        <f>Raw_Data!G1289</f>
        <v>Service Visit</v>
      </c>
      <c r="K1289" t="str">
        <f>IFERROR(VLOOKUP(J1289,Source_Assumptions!$A:$C,2,0),"Unmapped")</f>
        <v>Existing Customer</v>
      </c>
      <c r="L1289" t="str">
        <f>Raw_Data!H1289</f>
        <v>5TH GEN CITY PE</v>
      </c>
      <c r="M1289" t="str">
        <f>IFERROR(VLOOKUP(L1289,Model_Assumptions!$A:$D,2,0),"Unmapped")</f>
        <v>Mid-size Sedan</v>
      </c>
      <c r="N1289" t="str">
        <f>IFERROR(VLOOKUP(L1289,Model_Assumptions!$A:$D,3,0),"Unmapped")</f>
        <v>Petrol</v>
      </c>
      <c r="O1289">
        <f>IFERROR(VLOOKUP(L1289,Model_Assumptions!$A:$D,4,0),0)</f>
        <v>1250000</v>
      </c>
      <c r="P1289">
        <f>IFERROR(VLOOKUP(J1289,Source_Assumptions!$A:$C,3,0),0)</f>
        <v>50</v>
      </c>
    </row>
    <row r="1290" spans="1:16" x14ac:dyDescent="0.3">
      <c r="A1290">
        <f>Raw_Data!A1290</f>
        <v>1289</v>
      </c>
      <c r="B1290" s="2">
        <f>Raw_Data!B1290</f>
        <v>45607.603078703702</v>
      </c>
      <c r="C1290">
        <f>YEAR(Raw_Data!B1290)</f>
        <v>2024</v>
      </c>
      <c r="D1290" t="str">
        <f>IF(MONTH(Raw_Data!B1290)&gt;=4,YEAR(Raw_Data!B1290)&amp;"-"&amp;RIGHT(YEAR(Raw_Data!B1290)+1,2),YEAR(Raw_Data!B1290)-1&amp;"-"&amp;RIGHT(YEAR(Raw_Data!B1290),2))</f>
        <v>2024-25</v>
      </c>
      <c r="E1290" t="str">
        <f>"Q"&amp;ROUNDUP(MONTH(Raw_Data!B1290)/3,0)</f>
        <v>Q4</v>
      </c>
      <c r="F1290" t="str">
        <f>TEXT(Raw_Data!B1290,"mmm")</f>
        <v>Nov</v>
      </c>
      <c r="G1290" t="str">
        <f>TEXT(Raw_Data!B1290,"ddd")</f>
        <v>Mon</v>
      </c>
      <c r="H1290" t="str">
        <f>Raw_Data!D1290</f>
        <v>Invoiced</v>
      </c>
      <c r="I1290" t="str">
        <f>Raw_Data!F1290</f>
        <v>Tele-in</v>
      </c>
      <c r="J1290" t="str">
        <f>Raw_Data!G1290</f>
        <v>Dealer Webpage Tele-In</v>
      </c>
      <c r="K1290" t="str">
        <f>IFERROR(VLOOKUP(J1290,Source_Assumptions!$A:$C,2,0),"Unmapped")</f>
        <v>Digital - Owned</v>
      </c>
      <c r="L1290" t="str">
        <f>Raw_Data!H1290</f>
        <v>5TH GEN CITY PE</v>
      </c>
      <c r="M1290" t="str">
        <f>IFERROR(VLOOKUP(L1290,Model_Assumptions!$A:$D,2,0),"Unmapped")</f>
        <v>Mid-size Sedan</v>
      </c>
      <c r="N1290" t="str">
        <f>IFERROR(VLOOKUP(L1290,Model_Assumptions!$A:$D,3,0),"Unmapped")</f>
        <v>Petrol</v>
      </c>
      <c r="O1290">
        <f>IFERROR(VLOOKUP(L1290,Model_Assumptions!$A:$D,4,0),0)</f>
        <v>1250000</v>
      </c>
      <c r="P1290">
        <f>IFERROR(VLOOKUP(J1290,Source_Assumptions!$A:$C,3,0),0)</f>
        <v>300</v>
      </c>
    </row>
    <row r="1291" spans="1:16" x14ac:dyDescent="0.3">
      <c r="A1291">
        <f>Raw_Data!A1291</f>
        <v>1290</v>
      </c>
      <c r="B1291" s="2">
        <f>Raw_Data!B1291</f>
        <v>45608.619513888902</v>
      </c>
      <c r="C1291">
        <f>YEAR(Raw_Data!B1291)</f>
        <v>2024</v>
      </c>
      <c r="D1291" t="str">
        <f>IF(MONTH(Raw_Data!B1291)&gt;=4,YEAR(Raw_Data!B1291)&amp;"-"&amp;RIGHT(YEAR(Raw_Data!B1291)+1,2),YEAR(Raw_Data!B1291)-1&amp;"-"&amp;RIGHT(YEAR(Raw_Data!B1291),2))</f>
        <v>2024-25</v>
      </c>
      <c r="E1291" t="str">
        <f>"Q"&amp;ROUNDUP(MONTH(Raw_Data!B1291)/3,0)</f>
        <v>Q4</v>
      </c>
      <c r="F1291" t="str">
        <f>TEXT(Raw_Data!B1291,"mmm")</f>
        <v>Nov</v>
      </c>
      <c r="G1291" t="str">
        <f>TEXT(Raw_Data!B1291,"ddd")</f>
        <v>Tue</v>
      </c>
      <c r="H1291" t="str">
        <f>Raw_Data!D1291</f>
        <v>Invoiced</v>
      </c>
      <c r="I1291" t="str">
        <f>Raw_Data!F1291</f>
        <v>Tele-in</v>
      </c>
      <c r="J1291" t="str">
        <f>Raw_Data!G1291</f>
        <v>Referral-CAM</v>
      </c>
      <c r="K1291" t="str">
        <f>IFERROR(VLOOKUP(J1291,Source_Assumptions!$A:$C,2,0),"Unmapped")</f>
        <v>Referral</v>
      </c>
      <c r="L1291" t="str">
        <f>Raw_Data!H1291</f>
        <v>AMAZE Petrol</v>
      </c>
      <c r="M1291" t="str">
        <f>IFERROR(VLOOKUP(L1291,Model_Assumptions!$A:$D,2,0),"Unmapped")</f>
        <v>Sub-4m Sedan</v>
      </c>
      <c r="N1291" t="str">
        <f>IFERROR(VLOOKUP(L1291,Model_Assumptions!$A:$D,3,0),"Unmapped")</f>
        <v>Petrol</v>
      </c>
      <c r="O1291">
        <f>IFERROR(VLOOKUP(L1291,Model_Assumptions!$A:$D,4,0),0)</f>
        <v>850000</v>
      </c>
      <c r="P1291">
        <f>IFERROR(VLOOKUP(J1291,Source_Assumptions!$A:$C,3,0),0)</f>
        <v>150</v>
      </c>
    </row>
    <row r="1292" spans="1:16" x14ac:dyDescent="0.3">
      <c r="A1292">
        <f>Raw_Data!A1292</f>
        <v>1291</v>
      </c>
      <c r="B1292" s="2">
        <f>Raw_Data!B1292</f>
        <v>45608.684363425898</v>
      </c>
      <c r="C1292">
        <f>YEAR(Raw_Data!B1292)</f>
        <v>2024</v>
      </c>
      <c r="D1292" t="str">
        <f>IF(MONTH(Raw_Data!B1292)&gt;=4,YEAR(Raw_Data!B1292)&amp;"-"&amp;RIGHT(YEAR(Raw_Data!B1292)+1,2),YEAR(Raw_Data!B1292)-1&amp;"-"&amp;RIGHT(YEAR(Raw_Data!B1292),2))</f>
        <v>2024-25</v>
      </c>
      <c r="E1292" t="str">
        <f>"Q"&amp;ROUNDUP(MONTH(Raw_Data!B1292)/3,0)</f>
        <v>Q4</v>
      </c>
      <c r="F1292" t="str">
        <f>TEXT(Raw_Data!B1292,"mmm")</f>
        <v>Nov</v>
      </c>
      <c r="G1292" t="str">
        <f>TEXT(Raw_Data!B1292,"ddd")</f>
        <v>Tue</v>
      </c>
      <c r="H1292" t="str">
        <f>Raw_Data!D1292</f>
        <v>Invoiced</v>
      </c>
      <c r="I1292" t="str">
        <f>Raw_Data!F1292</f>
        <v>Tele-in</v>
      </c>
      <c r="J1292" t="str">
        <f>Raw_Data!G1292</f>
        <v>Dealer Webpage Tele-In</v>
      </c>
      <c r="K1292" t="str">
        <f>IFERROR(VLOOKUP(J1292,Source_Assumptions!$A:$C,2,0),"Unmapped")</f>
        <v>Digital - Owned</v>
      </c>
      <c r="L1292" t="str">
        <f>Raw_Data!H1292</f>
        <v>ELEVATE</v>
      </c>
      <c r="M1292" t="str">
        <f>IFERROR(VLOOKUP(L1292,Model_Assumptions!$A:$D,2,0),"Unmapped")</f>
        <v>Compact SUV</v>
      </c>
      <c r="N1292" t="str">
        <f>IFERROR(VLOOKUP(L1292,Model_Assumptions!$A:$D,3,0),"Unmapped")</f>
        <v>Petrol</v>
      </c>
      <c r="O1292">
        <f>IFERROR(VLOOKUP(L1292,Model_Assumptions!$A:$D,4,0),0)</f>
        <v>1300000</v>
      </c>
      <c r="P1292">
        <f>IFERROR(VLOOKUP(J1292,Source_Assumptions!$A:$C,3,0),0)</f>
        <v>300</v>
      </c>
    </row>
    <row r="1293" spans="1:16" x14ac:dyDescent="0.3">
      <c r="A1293">
        <f>Raw_Data!A1293</f>
        <v>1292</v>
      </c>
      <c r="B1293" s="2">
        <f>Raw_Data!B1293</f>
        <v>45610.510347222204</v>
      </c>
      <c r="C1293">
        <f>YEAR(Raw_Data!B1293)</f>
        <v>2024</v>
      </c>
      <c r="D1293" t="str">
        <f>IF(MONTH(Raw_Data!B1293)&gt;=4,YEAR(Raw_Data!B1293)&amp;"-"&amp;RIGHT(YEAR(Raw_Data!B1293)+1,2),YEAR(Raw_Data!B1293)-1&amp;"-"&amp;RIGHT(YEAR(Raw_Data!B1293),2))</f>
        <v>2024-25</v>
      </c>
      <c r="E1293" t="str">
        <f>"Q"&amp;ROUNDUP(MONTH(Raw_Data!B1293)/3,0)</f>
        <v>Q4</v>
      </c>
      <c r="F1293" t="str">
        <f>TEXT(Raw_Data!B1293,"mmm")</f>
        <v>Nov</v>
      </c>
      <c r="G1293" t="str">
        <f>TEXT(Raw_Data!B1293,"ddd")</f>
        <v>Thu</v>
      </c>
      <c r="H1293" t="str">
        <f>Raw_Data!D1293</f>
        <v>Invoiced</v>
      </c>
      <c r="I1293" t="str">
        <f>Raw_Data!F1293</f>
        <v>Tele-in</v>
      </c>
      <c r="J1293" t="str">
        <f>Raw_Data!G1293</f>
        <v>Dealer Webpage Tele-In</v>
      </c>
      <c r="K1293" t="str">
        <f>IFERROR(VLOOKUP(J1293,Source_Assumptions!$A:$C,2,0),"Unmapped")</f>
        <v>Digital - Owned</v>
      </c>
      <c r="L1293" t="str">
        <f>Raw_Data!H1293</f>
        <v>ELEVATE</v>
      </c>
      <c r="M1293" t="str">
        <f>IFERROR(VLOOKUP(L1293,Model_Assumptions!$A:$D,2,0),"Unmapped")</f>
        <v>Compact SUV</v>
      </c>
      <c r="N1293" t="str">
        <f>IFERROR(VLOOKUP(L1293,Model_Assumptions!$A:$D,3,0),"Unmapped")</f>
        <v>Petrol</v>
      </c>
      <c r="O1293">
        <f>IFERROR(VLOOKUP(L1293,Model_Assumptions!$A:$D,4,0),0)</f>
        <v>1300000</v>
      </c>
      <c r="P1293">
        <f>IFERROR(VLOOKUP(J1293,Source_Assumptions!$A:$C,3,0),0)</f>
        <v>300</v>
      </c>
    </row>
    <row r="1294" spans="1:16" x14ac:dyDescent="0.3">
      <c r="A1294">
        <f>Raw_Data!A1294</f>
        <v>1293</v>
      </c>
      <c r="B1294" s="2">
        <f>Raw_Data!B1294</f>
        <v>45612.6649652778</v>
      </c>
      <c r="C1294">
        <f>YEAR(Raw_Data!B1294)</f>
        <v>2024</v>
      </c>
      <c r="D1294" t="str">
        <f>IF(MONTH(Raw_Data!B1294)&gt;=4,YEAR(Raw_Data!B1294)&amp;"-"&amp;RIGHT(YEAR(Raw_Data!B1294)+1,2),YEAR(Raw_Data!B1294)-1&amp;"-"&amp;RIGHT(YEAR(Raw_Data!B1294),2))</f>
        <v>2024-25</v>
      </c>
      <c r="E1294" t="str">
        <f>"Q"&amp;ROUNDUP(MONTH(Raw_Data!B1294)/3,0)</f>
        <v>Q4</v>
      </c>
      <c r="F1294" t="str">
        <f>TEXT(Raw_Data!B1294,"mmm")</f>
        <v>Nov</v>
      </c>
      <c r="G1294" t="str">
        <f>TEXT(Raw_Data!B1294,"ddd")</f>
        <v>Sat</v>
      </c>
      <c r="H1294" t="str">
        <f>Raw_Data!D1294</f>
        <v>Invoiced</v>
      </c>
      <c r="I1294" t="str">
        <f>Raw_Data!F1294</f>
        <v>SMS/ Tele-Out</v>
      </c>
      <c r="J1294" t="str">
        <f>Raw_Data!G1294</f>
        <v>Database Activity(Teleout/SMS)</v>
      </c>
      <c r="K1294" t="str">
        <f>IFERROR(VLOOKUP(J1294,Source_Assumptions!$A:$C,2,0),"Unmapped")</f>
        <v>Outbound/Database</v>
      </c>
      <c r="L1294" t="str">
        <f>Raw_Data!H1294</f>
        <v>ELEVATE</v>
      </c>
      <c r="M1294" t="str">
        <f>IFERROR(VLOOKUP(L1294,Model_Assumptions!$A:$D,2,0),"Unmapped")</f>
        <v>Compact SUV</v>
      </c>
      <c r="N1294" t="str">
        <f>IFERROR(VLOOKUP(L1294,Model_Assumptions!$A:$D,3,0),"Unmapped")</f>
        <v>Petrol</v>
      </c>
      <c r="O1294">
        <f>IFERROR(VLOOKUP(L1294,Model_Assumptions!$A:$D,4,0),0)</f>
        <v>1300000</v>
      </c>
      <c r="P1294">
        <f>IFERROR(VLOOKUP(J1294,Source_Assumptions!$A:$C,3,0),0)</f>
        <v>250</v>
      </c>
    </row>
    <row r="1295" spans="1:16" x14ac:dyDescent="0.3">
      <c r="A1295">
        <f>Raw_Data!A1295</f>
        <v>1294</v>
      </c>
      <c r="B1295" s="2">
        <f>Raw_Data!B1295</f>
        <v>45618.634872685201</v>
      </c>
      <c r="C1295">
        <f>YEAR(Raw_Data!B1295)</f>
        <v>2024</v>
      </c>
      <c r="D1295" t="str">
        <f>IF(MONTH(Raw_Data!B1295)&gt;=4,YEAR(Raw_Data!B1295)&amp;"-"&amp;RIGHT(YEAR(Raw_Data!B1295)+1,2),YEAR(Raw_Data!B1295)-1&amp;"-"&amp;RIGHT(YEAR(Raw_Data!B1295),2))</f>
        <v>2024-25</v>
      </c>
      <c r="E1295" t="str">
        <f>"Q"&amp;ROUNDUP(MONTH(Raw_Data!B1295)/3,0)</f>
        <v>Q4</v>
      </c>
      <c r="F1295" t="str">
        <f>TEXT(Raw_Data!B1295,"mmm")</f>
        <v>Nov</v>
      </c>
      <c r="G1295" t="str">
        <f>TEXT(Raw_Data!B1295,"ddd")</f>
        <v>Fri</v>
      </c>
      <c r="H1295" t="str">
        <f>Raw_Data!D1295</f>
        <v>Invoiced</v>
      </c>
      <c r="I1295" t="str">
        <f>Raw_Data!F1295</f>
        <v>Tele-in</v>
      </c>
      <c r="J1295" t="str">
        <f>Raw_Data!G1295</f>
        <v>UIO Re-purchase</v>
      </c>
      <c r="K1295" t="str">
        <f>IFERROR(VLOOKUP(J1295,Source_Assumptions!$A:$C,2,0),"Unmapped")</f>
        <v>Existing Customer</v>
      </c>
      <c r="L1295" t="str">
        <f>Raw_Data!H1295</f>
        <v>ELEVATE</v>
      </c>
      <c r="M1295" t="str">
        <f>IFERROR(VLOOKUP(L1295,Model_Assumptions!$A:$D,2,0),"Unmapped")</f>
        <v>Compact SUV</v>
      </c>
      <c r="N1295" t="str">
        <f>IFERROR(VLOOKUP(L1295,Model_Assumptions!$A:$D,3,0),"Unmapped")</f>
        <v>Petrol</v>
      </c>
      <c r="O1295">
        <f>IFERROR(VLOOKUP(L1295,Model_Assumptions!$A:$D,4,0),0)</f>
        <v>1300000</v>
      </c>
      <c r="P1295">
        <f>IFERROR(VLOOKUP(J1295,Source_Assumptions!$A:$C,3,0),0)</f>
        <v>50</v>
      </c>
    </row>
    <row r="1296" spans="1:16" x14ac:dyDescent="0.3">
      <c r="A1296">
        <f>Raw_Data!A1296</f>
        <v>1295</v>
      </c>
      <c r="B1296" s="2">
        <f>Raw_Data!B1296</f>
        <v>45621.733391203699</v>
      </c>
      <c r="C1296">
        <f>YEAR(Raw_Data!B1296)</f>
        <v>2024</v>
      </c>
      <c r="D1296" t="str">
        <f>IF(MONTH(Raw_Data!B1296)&gt;=4,YEAR(Raw_Data!B1296)&amp;"-"&amp;RIGHT(YEAR(Raw_Data!B1296)+1,2),YEAR(Raw_Data!B1296)-1&amp;"-"&amp;RIGHT(YEAR(Raw_Data!B1296),2))</f>
        <v>2024-25</v>
      </c>
      <c r="E1296" t="str">
        <f>"Q"&amp;ROUNDUP(MONTH(Raw_Data!B1296)/3,0)</f>
        <v>Q4</v>
      </c>
      <c r="F1296" t="str">
        <f>TEXT(Raw_Data!B1296,"mmm")</f>
        <v>Nov</v>
      </c>
      <c r="G1296" t="str">
        <f>TEXT(Raw_Data!B1296,"ddd")</f>
        <v>Mon</v>
      </c>
      <c r="H1296" t="str">
        <f>Raw_Data!D1296</f>
        <v>Invoiced</v>
      </c>
      <c r="I1296" t="str">
        <f>Raw_Data!F1296</f>
        <v>SMS/ Tele-Out</v>
      </c>
      <c r="J1296" t="str">
        <f>Raw_Data!G1296</f>
        <v>I-BAP Referral</v>
      </c>
      <c r="K1296" t="str">
        <f>IFERROR(VLOOKUP(J1296,Source_Assumptions!$A:$C,2,0),"Unmapped")</f>
        <v>Referral (Insurance/Banking Partner)</v>
      </c>
      <c r="L1296" t="str">
        <f>Raw_Data!H1296</f>
        <v>AMAZE Petrol</v>
      </c>
      <c r="M1296" t="str">
        <f>IFERROR(VLOOKUP(L1296,Model_Assumptions!$A:$D,2,0),"Unmapped")</f>
        <v>Sub-4m Sedan</v>
      </c>
      <c r="N1296" t="str">
        <f>IFERROR(VLOOKUP(L1296,Model_Assumptions!$A:$D,3,0),"Unmapped")</f>
        <v>Petrol</v>
      </c>
      <c r="O1296">
        <f>IFERROR(VLOOKUP(L1296,Model_Assumptions!$A:$D,4,0),0)</f>
        <v>850000</v>
      </c>
      <c r="P1296">
        <f>IFERROR(VLOOKUP(J1296,Source_Assumptions!$A:$C,3,0),0)</f>
        <v>150</v>
      </c>
    </row>
    <row r="1297" spans="1:16" x14ac:dyDescent="0.3">
      <c r="A1297">
        <f>Raw_Data!A1297</f>
        <v>1296</v>
      </c>
      <c r="B1297" s="2">
        <f>Raw_Data!B1297</f>
        <v>45622.630138888897</v>
      </c>
      <c r="C1297">
        <f>YEAR(Raw_Data!B1297)</f>
        <v>2024</v>
      </c>
      <c r="D1297" t="str">
        <f>IF(MONTH(Raw_Data!B1297)&gt;=4,YEAR(Raw_Data!B1297)&amp;"-"&amp;RIGHT(YEAR(Raw_Data!B1297)+1,2),YEAR(Raw_Data!B1297)-1&amp;"-"&amp;RIGHT(YEAR(Raw_Data!B1297),2))</f>
        <v>2024-25</v>
      </c>
      <c r="E1297" t="str">
        <f>"Q"&amp;ROUNDUP(MONTH(Raw_Data!B1297)/3,0)</f>
        <v>Q4</v>
      </c>
      <c r="F1297" t="str">
        <f>TEXT(Raw_Data!B1297,"mmm")</f>
        <v>Nov</v>
      </c>
      <c r="G1297" t="str">
        <f>TEXT(Raw_Data!B1297,"ddd")</f>
        <v>Tue</v>
      </c>
      <c r="H1297" t="str">
        <f>Raw_Data!D1297</f>
        <v>Invoiced</v>
      </c>
      <c r="I1297" t="str">
        <f>Raw_Data!F1297</f>
        <v>Tele-in</v>
      </c>
      <c r="J1297" t="str">
        <f>Raw_Data!G1297</f>
        <v>Dealer Webpage Tele-In</v>
      </c>
      <c r="K1297" t="str">
        <f>IFERROR(VLOOKUP(J1297,Source_Assumptions!$A:$C,2,0),"Unmapped")</f>
        <v>Digital - Owned</v>
      </c>
      <c r="L1297" t="str">
        <f>Raw_Data!H1297</f>
        <v>AMAZE Petrol</v>
      </c>
      <c r="M1297" t="str">
        <f>IFERROR(VLOOKUP(L1297,Model_Assumptions!$A:$D,2,0),"Unmapped")</f>
        <v>Sub-4m Sedan</v>
      </c>
      <c r="N1297" t="str">
        <f>IFERROR(VLOOKUP(L1297,Model_Assumptions!$A:$D,3,0),"Unmapped")</f>
        <v>Petrol</v>
      </c>
      <c r="O1297">
        <f>IFERROR(VLOOKUP(L1297,Model_Assumptions!$A:$D,4,0),0)</f>
        <v>850000</v>
      </c>
      <c r="P1297">
        <f>IFERROR(VLOOKUP(J1297,Source_Assumptions!$A:$C,3,0),0)</f>
        <v>300</v>
      </c>
    </row>
    <row r="1298" spans="1:16" x14ac:dyDescent="0.3">
      <c r="A1298">
        <f>Raw_Data!A1298</f>
        <v>1297</v>
      </c>
      <c r="B1298" s="2">
        <f>Raw_Data!B1298</f>
        <v>45622.688831018502</v>
      </c>
      <c r="C1298">
        <f>YEAR(Raw_Data!B1298)</f>
        <v>2024</v>
      </c>
      <c r="D1298" t="str">
        <f>IF(MONTH(Raw_Data!B1298)&gt;=4,YEAR(Raw_Data!B1298)&amp;"-"&amp;RIGHT(YEAR(Raw_Data!B1298)+1,2),YEAR(Raw_Data!B1298)-1&amp;"-"&amp;RIGHT(YEAR(Raw_Data!B1298),2))</f>
        <v>2024-25</v>
      </c>
      <c r="E1298" t="str">
        <f>"Q"&amp;ROUNDUP(MONTH(Raw_Data!B1298)/3,0)</f>
        <v>Q4</v>
      </c>
      <c r="F1298" t="str">
        <f>TEXT(Raw_Data!B1298,"mmm")</f>
        <v>Nov</v>
      </c>
      <c r="G1298" t="str">
        <f>TEXT(Raw_Data!B1298,"ddd")</f>
        <v>Tue</v>
      </c>
      <c r="H1298" t="str">
        <f>Raw_Data!D1298</f>
        <v>Invoiced</v>
      </c>
      <c r="I1298" t="str">
        <f>Raw_Data!F1298</f>
        <v>Walk-in Showroom</v>
      </c>
      <c r="J1298" t="str">
        <f>Raw_Data!G1298</f>
        <v>Adver. (TVC/Print/Hoarding/FM)</v>
      </c>
      <c r="K1298" t="str">
        <f>IFERROR(VLOOKUP(J1298,Source_Assumptions!$A:$C,2,0),"Unmapped")</f>
        <v>Traditional Advertising</v>
      </c>
      <c r="L1298" t="str">
        <f>Raw_Data!H1298</f>
        <v>ELEVATE</v>
      </c>
      <c r="M1298" t="str">
        <f>IFERROR(VLOOKUP(L1298,Model_Assumptions!$A:$D,2,0),"Unmapped")</f>
        <v>Compact SUV</v>
      </c>
      <c r="N1298" t="str">
        <f>IFERROR(VLOOKUP(L1298,Model_Assumptions!$A:$D,3,0),"Unmapped")</f>
        <v>Petrol</v>
      </c>
      <c r="O1298">
        <f>IFERROR(VLOOKUP(L1298,Model_Assumptions!$A:$D,4,0),0)</f>
        <v>1300000</v>
      </c>
      <c r="P1298">
        <f>IFERROR(VLOOKUP(J1298,Source_Assumptions!$A:$C,3,0),0)</f>
        <v>1200</v>
      </c>
    </row>
    <row r="1299" spans="1:16" x14ac:dyDescent="0.3">
      <c r="A1299">
        <f>Raw_Data!A1299</f>
        <v>1298</v>
      </c>
      <c r="B1299" s="2">
        <f>Raw_Data!B1299</f>
        <v>45624.71875</v>
      </c>
      <c r="C1299">
        <f>YEAR(Raw_Data!B1299)</f>
        <v>2024</v>
      </c>
      <c r="D1299" t="str">
        <f>IF(MONTH(Raw_Data!B1299)&gt;=4,YEAR(Raw_Data!B1299)&amp;"-"&amp;RIGHT(YEAR(Raw_Data!B1299)+1,2),YEAR(Raw_Data!B1299)-1&amp;"-"&amp;RIGHT(YEAR(Raw_Data!B1299),2))</f>
        <v>2024-25</v>
      </c>
      <c r="E1299" t="str">
        <f>"Q"&amp;ROUNDUP(MONTH(Raw_Data!B1299)/3,0)</f>
        <v>Q4</v>
      </c>
      <c r="F1299" t="str">
        <f>TEXT(Raw_Data!B1299,"mmm")</f>
        <v>Nov</v>
      </c>
      <c r="G1299" t="str">
        <f>TEXT(Raw_Data!B1299,"ddd")</f>
        <v>Thu</v>
      </c>
      <c r="H1299" t="str">
        <f>Raw_Data!D1299</f>
        <v>Invoiced</v>
      </c>
      <c r="I1299" t="str">
        <f>Raw_Data!F1299</f>
        <v>Tele-in</v>
      </c>
      <c r="J1299" t="str">
        <f>Raw_Data!G1299</f>
        <v>Referral-CAM</v>
      </c>
      <c r="K1299" t="str">
        <f>IFERROR(VLOOKUP(J1299,Source_Assumptions!$A:$C,2,0),"Unmapped")</f>
        <v>Referral</v>
      </c>
      <c r="L1299" t="str">
        <f>Raw_Data!H1299</f>
        <v>ELEVATE</v>
      </c>
      <c r="M1299" t="str">
        <f>IFERROR(VLOOKUP(L1299,Model_Assumptions!$A:$D,2,0),"Unmapped")</f>
        <v>Compact SUV</v>
      </c>
      <c r="N1299" t="str">
        <f>IFERROR(VLOOKUP(L1299,Model_Assumptions!$A:$D,3,0),"Unmapped")</f>
        <v>Petrol</v>
      </c>
      <c r="O1299">
        <f>IFERROR(VLOOKUP(L1299,Model_Assumptions!$A:$D,4,0),0)</f>
        <v>1300000</v>
      </c>
      <c r="P1299">
        <f>IFERROR(VLOOKUP(J1299,Source_Assumptions!$A:$C,3,0),0)</f>
        <v>150</v>
      </c>
    </row>
    <row r="1300" spans="1:16" x14ac:dyDescent="0.3">
      <c r="A1300">
        <f>Raw_Data!A1300</f>
        <v>1299</v>
      </c>
      <c r="B1300" s="2">
        <f>Raw_Data!B1300</f>
        <v>45624.7405208333</v>
      </c>
      <c r="C1300">
        <f>YEAR(Raw_Data!B1300)</f>
        <v>2024</v>
      </c>
      <c r="D1300" t="str">
        <f>IF(MONTH(Raw_Data!B1300)&gt;=4,YEAR(Raw_Data!B1300)&amp;"-"&amp;RIGHT(YEAR(Raw_Data!B1300)+1,2),YEAR(Raw_Data!B1300)-1&amp;"-"&amp;RIGHT(YEAR(Raw_Data!B1300),2))</f>
        <v>2024-25</v>
      </c>
      <c r="E1300" t="str">
        <f>"Q"&amp;ROUNDUP(MONTH(Raw_Data!B1300)/3,0)</f>
        <v>Q4</v>
      </c>
      <c r="F1300" t="str">
        <f>TEXT(Raw_Data!B1300,"mmm")</f>
        <v>Nov</v>
      </c>
      <c r="G1300" t="str">
        <f>TEXT(Raw_Data!B1300,"ddd")</f>
        <v>Thu</v>
      </c>
      <c r="H1300" t="str">
        <f>Raw_Data!D1300</f>
        <v>Invoiced</v>
      </c>
      <c r="I1300" t="str">
        <f>Raw_Data!F1300</f>
        <v>Tele-in</v>
      </c>
      <c r="J1300" t="str">
        <f>Raw_Data!G1300</f>
        <v>Referral-CAM</v>
      </c>
      <c r="K1300" t="str">
        <f>IFERROR(VLOOKUP(J1300,Source_Assumptions!$A:$C,2,0),"Unmapped")</f>
        <v>Referral</v>
      </c>
      <c r="L1300" t="str">
        <f>Raw_Data!H1300</f>
        <v>ELEVATE</v>
      </c>
      <c r="M1300" t="str">
        <f>IFERROR(VLOOKUP(L1300,Model_Assumptions!$A:$D,2,0),"Unmapped")</f>
        <v>Compact SUV</v>
      </c>
      <c r="N1300" t="str">
        <f>IFERROR(VLOOKUP(L1300,Model_Assumptions!$A:$D,3,0),"Unmapped")</f>
        <v>Petrol</v>
      </c>
      <c r="O1300">
        <f>IFERROR(VLOOKUP(L1300,Model_Assumptions!$A:$D,4,0),0)</f>
        <v>1300000</v>
      </c>
      <c r="P1300">
        <f>IFERROR(VLOOKUP(J1300,Source_Assumptions!$A:$C,3,0),0)</f>
        <v>150</v>
      </c>
    </row>
    <row r="1301" spans="1:16" x14ac:dyDescent="0.3">
      <c r="A1301">
        <f>Raw_Data!A1301</f>
        <v>1300</v>
      </c>
      <c r="B1301" s="2">
        <f>Raw_Data!B1301</f>
        <v>45625.428495370397</v>
      </c>
      <c r="C1301">
        <f>YEAR(Raw_Data!B1301)</f>
        <v>2024</v>
      </c>
      <c r="D1301" t="str">
        <f>IF(MONTH(Raw_Data!B1301)&gt;=4,YEAR(Raw_Data!B1301)&amp;"-"&amp;RIGHT(YEAR(Raw_Data!B1301)+1,2),YEAR(Raw_Data!B1301)-1&amp;"-"&amp;RIGHT(YEAR(Raw_Data!B1301),2))</f>
        <v>2024-25</v>
      </c>
      <c r="E1301" t="str">
        <f>"Q"&amp;ROUNDUP(MONTH(Raw_Data!B1301)/3,0)</f>
        <v>Q4</v>
      </c>
      <c r="F1301" t="str">
        <f>TEXT(Raw_Data!B1301,"mmm")</f>
        <v>Nov</v>
      </c>
      <c r="G1301" t="str">
        <f>TEXT(Raw_Data!B1301,"ddd")</f>
        <v>Fri</v>
      </c>
      <c r="H1301" t="str">
        <f>Raw_Data!D1301</f>
        <v>Invoiced</v>
      </c>
      <c r="I1301" t="str">
        <f>Raw_Data!F1301</f>
        <v>Tele-in</v>
      </c>
      <c r="J1301" t="str">
        <f>Raw_Data!G1301</f>
        <v>Dealer Webpage Tele-In</v>
      </c>
      <c r="K1301" t="str">
        <f>IFERROR(VLOOKUP(J1301,Source_Assumptions!$A:$C,2,0),"Unmapped")</f>
        <v>Digital - Owned</v>
      </c>
      <c r="L1301" t="str">
        <f>Raw_Data!H1301</f>
        <v>AMAZE Petrol</v>
      </c>
      <c r="M1301" t="str">
        <f>IFERROR(VLOOKUP(L1301,Model_Assumptions!$A:$D,2,0),"Unmapped")</f>
        <v>Sub-4m Sedan</v>
      </c>
      <c r="N1301" t="str">
        <f>IFERROR(VLOOKUP(L1301,Model_Assumptions!$A:$D,3,0),"Unmapped")</f>
        <v>Petrol</v>
      </c>
      <c r="O1301">
        <f>IFERROR(VLOOKUP(L1301,Model_Assumptions!$A:$D,4,0),0)</f>
        <v>850000</v>
      </c>
      <c r="P1301">
        <f>IFERROR(VLOOKUP(J1301,Source_Assumptions!$A:$C,3,0),0)</f>
        <v>300</v>
      </c>
    </row>
    <row r="1302" spans="1:16" x14ac:dyDescent="0.3">
      <c r="A1302">
        <f>Raw_Data!A1302</f>
        <v>1301</v>
      </c>
      <c r="B1302" s="2">
        <f>Raw_Data!B1302</f>
        <v>45625.6784259259</v>
      </c>
      <c r="C1302">
        <f>YEAR(Raw_Data!B1302)</f>
        <v>2024</v>
      </c>
      <c r="D1302" t="str">
        <f>IF(MONTH(Raw_Data!B1302)&gt;=4,YEAR(Raw_Data!B1302)&amp;"-"&amp;RIGHT(YEAR(Raw_Data!B1302)+1,2),YEAR(Raw_Data!B1302)-1&amp;"-"&amp;RIGHT(YEAR(Raw_Data!B1302),2))</f>
        <v>2024-25</v>
      </c>
      <c r="E1302" t="str">
        <f>"Q"&amp;ROUNDUP(MONTH(Raw_Data!B1302)/3,0)</f>
        <v>Q4</v>
      </c>
      <c r="F1302" t="str">
        <f>TEXT(Raw_Data!B1302,"mmm")</f>
        <v>Nov</v>
      </c>
      <c r="G1302" t="str">
        <f>TEXT(Raw_Data!B1302,"ddd")</f>
        <v>Fri</v>
      </c>
      <c r="H1302" t="str">
        <f>Raw_Data!D1302</f>
        <v>Invoiced</v>
      </c>
      <c r="I1302" t="str">
        <f>Raw_Data!F1302</f>
        <v>Tele-in</v>
      </c>
      <c r="J1302" t="str">
        <f>Raw_Data!G1302</f>
        <v>Dealer Webpage Tele-In</v>
      </c>
      <c r="K1302" t="str">
        <f>IFERROR(VLOOKUP(J1302,Source_Assumptions!$A:$C,2,0),"Unmapped")</f>
        <v>Digital - Owned</v>
      </c>
      <c r="L1302" t="str">
        <f>Raw_Data!H1302</f>
        <v>ELEVATE</v>
      </c>
      <c r="M1302" t="str">
        <f>IFERROR(VLOOKUP(L1302,Model_Assumptions!$A:$D,2,0),"Unmapped")</f>
        <v>Compact SUV</v>
      </c>
      <c r="N1302" t="str">
        <f>IFERROR(VLOOKUP(L1302,Model_Assumptions!$A:$D,3,0),"Unmapped")</f>
        <v>Petrol</v>
      </c>
      <c r="O1302">
        <f>IFERROR(VLOOKUP(L1302,Model_Assumptions!$A:$D,4,0),0)</f>
        <v>1300000</v>
      </c>
      <c r="P1302">
        <f>IFERROR(VLOOKUP(J1302,Source_Assumptions!$A:$C,3,0),0)</f>
        <v>300</v>
      </c>
    </row>
    <row r="1303" spans="1:16" x14ac:dyDescent="0.3">
      <c r="A1303">
        <f>Raw_Data!A1303</f>
        <v>1302</v>
      </c>
      <c r="B1303" s="2">
        <f>Raw_Data!B1303</f>
        <v>45625.704548611102</v>
      </c>
      <c r="C1303">
        <f>YEAR(Raw_Data!B1303)</f>
        <v>2024</v>
      </c>
      <c r="D1303" t="str">
        <f>IF(MONTH(Raw_Data!B1303)&gt;=4,YEAR(Raw_Data!B1303)&amp;"-"&amp;RIGHT(YEAR(Raw_Data!B1303)+1,2),YEAR(Raw_Data!B1303)-1&amp;"-"&amp;RIGHT(YEAR(Raw_Data!B1303),2))</f>
        <v>2024-25</v>
      </c>
      <c r="E1303" t="str">
        <f>"Q"&amp;ROUNDUP(MONTH(Raw_Data!B1303)/3,0)</f>
        <v>Q4</v>
      </c>
      <c r="F1303" t="str">
        <f>TEXT(Raw_Data!B1303,"mmm")</f>
        <v>Nov</v>
      </c>
      <c r="G1303" t="str">
        <f>TEXT(Raw_Data!B1303,"ddd")</f>
        <v>Fri</v>
      </c>
      <c r="H1303" t="str">
        <f>Raw_Data!D1303</f>
        <v>Invoiced</v>
      </c>
      <c r="I1303" t="str">
        <f>Raw_Data!F1303</f>
        <v>Walk-in Showroom</v>
      </c>
      <c r="J1303" t="str">
        <f>Raw_Data!G1303</f>
        <v>UIO Re-purchase</v>
      </c>
      <c r="K1303" t="str">
        <f>IFERROR(VLOOKUP(J1303,Source_Assumptions!$A:$C,2,0),"Unmapped")</f>
        <v>Existing Customer</v>
      </c>
      <c r="L1303" t="str">
        <f>Raw_Data!H1303</f>
        <v>ELEVATE</v>
      </c>
      <c r="M1303" t="str">
        <f>IFERROR(VLOOKUP(L1303,Model_Assumptions!$A:$D,2,0),"Unmapped")</f>
        <v>Compact SUV</v>
      </c>
      <c r="N1303" t="str">
        <f>IFERROR(VLOOKUP(L1303,Model_Assumptions!$A:$D,3,0),"Unmapped")</f>
        <v>Petrol</v>
      </c>
      <c r="O1303">
        <f>IFERROR(VLOOKUP(L1303,Model_Assumptions!$A:$D,4,0),0)</f>
        <v>1300000</v>
      </c>
      <c r="P1303">
        <f>IFERROR(VLOOKUP(J1303,Source_Assumptions!$A:$C,3,0),0)</f>
        <v>50</v>
      </c>
    </row>
    <row r="1304" spans="1:16" x14ac:dyDescent="0.3">
      <c r="A1304">
        <f>Raw_Data!A1304</f>
        <v>1303</v>
      </c>
      <c r="B1304" s="2">
        <f>Raw_Data!B1304</f>
        <v>45625.752951388902</v>
      </c>
      <c r="C1304">
        <f>YEAR(Raw_Data!B1304)</f>
        <v>2024</v>
      </c>
      <c r="D1304" t="str">
        <f>IF(MONTH(Raw_Data!B1304)&gt;=4,YEAR(Raw_Data!B1304)&amp;"-"&amp;RIGHT(YEAR(Raw_Data!B1304)+1,2),YEAR(Raw_Data!B1304)-1&amp;"-"&amp;RIGHT(YEAR(Raw_Data!B1304),2))</f>
        <v>2024-25</v>
      </c>
      <c r="E1304" t="str">
        <f>"Q"&amp;ROUNDUP(MONTH(Raw_Data!B1304)/3,0)</f>
        <v>Q4</v>
      </c>
      <c r="F1304" t="str">
        <f>TEXT(Raw_Data!B1304,"mmm")</f>
        <v>Nov</v>
      </c>
      <c r="G1304" t="str">
        <f>TEXT(Raw_Data!B1304,"ddd")</f>
        <v>Fri</v>
      </c>
      <c r="H1304" t="str">
        <f>Raw_Data!D1304</f>
        <v>Invoiced</v>
      </c>
      <c r="I1304" t="str">
        <f>Raw_Data!F1304</f>
        <v>SMS/ Tele-Out</v>
      </c>
      <c r="J1304" t="str">
        <f>Raw_Data!G1304</f>
        <v>Referral-CAM</v>
      </c>
      <c r="K1304" t="str">
        <f>IFERROR(VLOOKUP(J1304,Source_Assumptions!$A:$C,2,0),"Unmapped")</f>
        <v>Referral</v>
      </c>
      <c r="L1304" t="str">
        <f>Raw_Data!H1304</f>
        <v>AMAZE Petrol</v>
      </c>
      <c r="M1304" t="str">
        <f>IFERROR(VLOOKUP(L1304,Model_Assumptions!$A:$D,2,0),"Unmapped")</f>
        <v>Sub-4m Sedan</v>
      </c>
      <c r="N1304" t="str">
        <f>IFERROR(VLOOKUP(L1304,Model_Assumptions!$A:$D,3,0),"Unmapped")</f>
        <v>Petrol</v>
      </c>
      <c r="O1304">
        <f>IFERROR(VLOOKUP(L1304,Model_Assumptions!$A:$D,4,0),0)</f>
        <v>850000</v>
      </c>
      <c r="P1304">
        <f>IFERROR(VLOOKUP(J1304,Source_Assumptions!$A:$C,3,0),0)</f>
        <v>150</v>
      </c>
    </row>
    <row r="1305" spans="1:16" x14ac:dyDescent="0.3">
      <c r="A1305">
        <f>Raw_Data!A1305</f>
        <v>1304</v>
      </c>
      <c r="B1305" s="2">
        <f>Raw_Data!B1305</f>
        <v>45625.754340277803</v>
      </c>
      <c r="C1305">
        <f>YEAR(Raw_Data!B1305)</f>
        <v>2024</v>
      </c>
      <c r="D1305" t="str">
        <f>IF(MONTH(Raw_Data!B1305)&gt;=4,YEAR(Raw_Data!B1305)&amp;"-"&amp;RIGHT(YEAR(Raw_Data!B1305)+1,2),YEAR(Raw_Data!B1305)-1&amp;"-"&amp;RIGHT(YEAR(Raw_Data!B1305),2))</f>
        <v>2024-25</v>
      </c>
      <c r="E1305" t="str">
        <f>"Q"&amp;ROUNDUP(MONTH(Raw_Data!B1305)/3,0)</f>
        <v>Q4</v>
      </c>
      <c r="F1305" t="str">
        <f>TEXT(Raw_Data!B1305,"mmm")</f>
        <v>Nov</v>
      </c>
      <c r="G1305" t="str">
        <f>TEXT(Raw_Data!B1305,"ddd")</f>
        <v>Fri</v>
      </c>
      <c r="H1305" t="str">
        <f>Raw_Data!D1305</f>
        <v>Invoiced</v>
      </c>
      <c r="I1305" t="str">
        <f>Raw_Data!F1305</f>
        <v>Tele-in</v>
      </c>
      <c r="J1305" t="str">
        <f>Raw_Data!G1305</f>
        <v>I-BAP Referral</v>
      </c>
      <c r="K1305" t="str">
        <f>IFERROR(VLOOKUP(J1305,Source_Assumptions!$A:$C,2,0),"Unmapped")</f>
        <v>Referral (Insurance/Banking Partner)</v>
      </c>
      <c r="L1305" t="str">
        <f>Raw_Data!H1305</f>
        <v>AMAZE Petrol</v>
      </c>
      <c r="M1305" t="str">
        <f>IFERROR(VLOOKUP(L1305,Model_Assumptions!$A:$D,2,0),"Unmapped")</f>
        <v>Sub-4m Sedan</v>
      </c>
      <c r="N1305" t="str">
        <f>IFERROR(VLOOKUP(L1305,Model_Assumptions!$A:$D,3,0),"Unmapped")</f>
        <v>Petrol</v>
      </c>
      <c r="O1305">
        <f>IFERROR(VLOOKUP(L1305,Model_Assumptions!$A:$D,4,0),0)</f>
        <v>850000</v>
      </c>
      <c r="P1305">
        <f>IFERROR(VLOOKUP(J1305,Source_Assumptions!$A:$C,3,0),0)</f>
        <v>150</v>
      </c>
    </row>
    <row r="1306" spans="1:16" x14ac:dyDescent="0.3">
      <c r="A1306">
        <f>Raw_Data!A1306</f>
        <v>1305</v>
      </c>
      <c r="B1306" s="2">
        <f>Raw_Data!B1306</f>
        <v>45626.551666666703</v>
      </c>
      <c r="C1306">
        <f>YEAR(Raw_Data!B1306)</f>
        <v>2024</v>
      </c>
      <c r="D1306" t="str">
        <f>IF(MONTH(Raw_Data!B1306)&gt;=4,YEAR(Raw_Data!B1306)&amp;"-"&amp;RIGHT(YEAR(Raw_Data!B1306)+1,2),YEAR(Raw_Data!B1306)-1&amp;"-"&amp;RIGHT(YEAR(Raw_Data!B1306),2))</f>
        <v>2024-25</v>
      </c>
      <c r="E1306" t="str">
        <f>"Q"&amp;ROUNDUP(MONTH(Raw_Data!B1306)/3,0)</f>
        <v>Q4</v>
      </c>
      <c r="F1306" t="str">
        <f>TEXT(Raw_Data!B1306,"mmm")</f>
        <v>Nov</v>
      </c>
      <c r="G1306" t="str">
        <f>TEXT(Raw_Data!B1306,"ddd")</f>
        <v>Sat</v>
      </c>
      <c r="H1306" t="str">
        <f>Raw_Data!D1306</f>
        <v>Invoiced</v>
      </c>
      <c r="I1306" t="str">
        <f>Raw_Data!F1306</f>
        <v>Tele-in</v>
      </c>
      <c r="J1306" t="str">
        <f>Raw_Data!G1306</f>
        <v>Dealer Webpage Tele-In</v>
      </c>
      <c r="K1306" t="str">
        <f>IFERROR(VLOOKUP(J1306,Source_Assumptions!$A:$C,2,0),"Unmapped")</f>
        <v>Digital - Owned</v>
      </c>
      <c r="L1306" t="str">
        <f>Raw_Data!H1306</f>
        <v>ELEVATE</v>
      </c>
      <c r="M1306" t="str">
        <f>IFERROR(VLOOKUP(L1306,Model_Assumptions!$A:$D,2,0),"Unmapped")</f>
        <v>Compact SUV</v>
      </c>
      <c r="N1306" t="str">
        <f>IFERROR(VLOOKUP(L1306,Model_Assumptions!$A:$D,3,0),"Unmapped")</f>
        <v>Petrol</v>
      </c>
      <c r="O1306">
        <f>IFERROR(VLOOKUP(L1306,Model_Assumptions!$A:$D,4,0),0)</f>
        <v>1300000</v>
      </c>
      <c r="P1306">
        <f>IFERROR(VLOOKUP(J1306,Source_Assumptions!$A:$C,3,0),0)</f>
        <v>300</v>
      </c>
    </row>
    <row r="1307" spans="1:16" x14ac:dyDescent="0.3">
      <c r="A1307">
        <f>Raw_Data!A1307</f>
        <v>1306</v>
      </c>
      <c r="B1307" s="2">
        <f>Raw_Data!B1307</f>
        <v>45626.699444444399</v>
      </c>
      <c r="C1307">
        <f>YEAR(Raw_Data!B1307)</f>
        <v>2024</v>
      </c>
      <c r="D1307" t="str">
        <f>IF(MONTH(Raw_Data!B1307)&gt;=4,YEAR(Raw_Data!B1307)&amp;"-"&amp;RIGHT(YEAR(Raw_Data!B1307)+1,2),YEAR(Raw_Data!B1307)-1&amp;"-"&amp;RIGHT(YEAR(Raw_Data!B1307),2))</f>
        <v>2024-25</v>
      </c>
      <c r="E1307" t="str">
        <f>"Q"&amp;ROUNDUP(MONTH(Raw_Data!B1307)/3,0)</f>
        <v>Q4</v>
      </c>
      <c r="F1307" t="str">
        <f>TEXT(Raw_Data!B1307,"mmm")</f>
        <v>Nov</v>
      </c>
      <c r="G1307" t="str">
        <f>TEXT(Raw_Data!B1307,"ddd")</f>
        <v>Sat</v>
      </c>
      <c r="H1307" t="str">
        <f>Raw_Data!D1307</f>
        <v>Invoiced</v>
      </c>
      <c r="I1307" t="str">
        <f>Raw_Data!F1307</f>
        <v>Web Lead</v>
      </c>
      <c r="J1307" t="str">
        <f>Raw_Data!G1307</f>
        <v>Web_Facebook</v>
      </c>
      <c r="K1307" t="str">
        <f>IFERROR(VLOOKUP(J1307,Source_Assumptions!$A:$C,2,0),"Unmapped")</f>
        <v>Digital - Paid Social</v>
      </c>
      <c r="L1307" t="str">
        <f>Raw_Data!H1307</f>
        <v>AMAZE Petrol</v>
      </c>
      <c r="M1307" t="str">
        <f>IFERROR(VLOOKUP(L1307,Model_Assumptions!$A:$D,2,0),"Unmapped")</f>
        <v>Sub-4m Sedan</v>
      </c>
      <c r="N1307" t="str">
        <f>IFERROR(VLOOKUP(L1307,Model_Assumptions!$A:$D,3,0),"Unmapped")</f>
        <v>Petrol</v>
      </c>
      <c r="O1307">
        <f>IFERROR(VLOOKUP(L1307,Model_Assumptions!$A:$D,4,0),0)</f>
        <v>850000</v>
      </c>
      <c r="P1307">
        <f>IFERROR(VLOOKUP(J1307,Source_Assumptions!$A:$C,3,0),0)</f>
        <v>600</v>
      </c>
    </row>
    <row r="1308" spans="1:16" x14ac:dyDescent="0.3">
      <c r="A1308">
        <f>Raw_Data!A1308</f>
        <v>1307</v>
      </c>
      <c r="B1308" s="2">
        <f>Raw_Data!B1308</f>
        <v>45626.700798611098</v>
      </c>
      <c r="C1308">
        <f>YEAR(Raw_Data!B1308)</f>
        <v>2024</v>
      </c>
      <c r="D1308" t="str">
        <f>IF(MONTH(Raw_Data!B1308)&gt;=4,YEAR(Raw_Data!B1308)&amp;"-"&amp;RIGHT(YEAR(Raw_Data!B1308)+1,2),YEAR(Raw_Data!B1308)-1&amp;"-"&amp;RIGHT(YEAR(Raw_Data!B1308),2))</f>
        <v>2024-25</v>
      </c>
      <c r="E1308" t="str">
        <f>"Q"&amp;ROUNDUP(MONTH(Raw_Data!B1308)/3,0)</f>
        <v>Q4</v>
      </c>
      <c r="F1308" t="str">
        <f>TEXT(Raw_Data!B1308,"mmm")</f>
        <v>Nov</v>
      </c>
      <c r="G1308" t="str">
        <f>TEXT(Raw_Data!B1308,"ddd")</f>
        <v>Sat</v>
      </c>
      <c r="H1308" t="str">
        <f>Raw_Data!D1308</f>
        <v>Invoiced</v>
      </c>
      <c r="I1308" t="str">
        <f>Raw_Data!F1308</f>
        <v>Tele-in</v>
      </c>
      <c r="J1308" t="str">
        <f>Raw_Data!G1308</f>
        <v>I-BAP Referral</v>
      </c>
      <c r="K1308" t="str">
        <f>IFERROR(VLOOKUP(J1308,Source_Assumptions!$A:$C,2,0),"Unmapped")</f>
        <v>Referral (Insurance/Banking Partner)</v>
      </c>
      <c r="L1308" t="str">
        <f>Raw_Data!H1308</f>
        <v>ELEVATE</v>
      </c>
      <c r="M1308" t="str">
        <f>IFERROR(VLOOKUP(L1308,Model_Assumptions!$A:$D,2,0),"Unmapped")</f>
        <v>Compact SUV</v>
      </c>
      <c r="N1308" t="str">
        <f>IFERROR(VLOOKUP(L1308,Model_Assumptions!$A:$D,3,0),"Unmapped")</f>
        <v>Petrol</v>
      </c>
      <c r="O1308">
        <f>IFERROR(VLOOKUP(L1308,Model_Assumptions!$A:$D,4,0),0)</f>
        <v>1300000</v>
      </c>
      <c r="P1308">
        <f>IFERROR(VLOOKUP(J1308,Source_Assumptions!$A:$C,3,0),0)</f>
        <v>150</v>
      </c>
    </row>
    <row r="1309" spans="1:16" x14ac:dyDescent="0.3">
      <c r="A1309">
        <f>Raw_Data!A1309</f>
        <v>1308</v>
      </c>
      <c r="B1309" s="2">
        <f>Raw_Data!B1309</f>
        <v>45626.7495949074</v>
      </c>
      <c r="C1309">
        <f>YEAR(Raw_Data!B1309)</f>
        <v>2024</v>
      </c>
      <c r="D1309" t="str">
        <f>IF(MONTH(Raw_Data!B1309)&gt;=4,YEAR(Raw_Data!B1309)&amp;"-"&amp;RIGHT(YEAR(Raw_Data!B1309)+1,2),YEAR(Raw_Data!B1309)-1&amp;"-"&amp;RIGHT(YEAR(Raw_Data!B1309),2))</f>
        <v>2024-25</v>
      </c>
      <c r="E1309" t="str">
        <f>"Q"&amp;ROUNDUP(MONTH(Raw_Data!B1309)/3,0)</f>
        <v>Q4</v>
      </c>
      <c r="F1309" t="str">
        <f>TEXT(Raw_Data!B1309,"mmm")</f>
        <v>Nov</v>
      </c>
      <c r="G1309" t="str">
        <f>TEXT(Raw_Data!B1309,"ddd")</f>
        <v>Sat</v>
      </c>
      <c r="H1309" t="str">
        <f>Raw_Data!D1309</f>
        <v>Invoiced</v>
      </c>
      <c r="I1309" t="str">
        <f>Raw_Data!F1309</f>
        <v>SMS/ Tele-Out</v>
      </c>
      <c r="J1309" t="str">
        <f>Raw_Data!G1309</f>
        <v>I-BAP Referral</v>
      </c>
      <c r="K1309" t="str">
        <f>IFERROR(VLOOKUP(J1309,Source_Assumptions!$A:$C,2,0),"Unmapped")</f>
        <v>Referral (Insurance/Banking Partner)</v>
      </c>
      <c r="L1309" t="str">
        <f>Raw_Data!H1309</f>
        <v>AMAZE Petrol</v>
      </c>
      <c r="M1309" t="str">
        <f>IFERROR(VLOOKUP(L1309,Model_Assumptions!$A:$D,2,0),"Unmapped")</f>
        <v>Sub-4m Sedan</v>
      </c>
      <c r="N1309" t="str">
        <f>IFERROR(VLOOKUP(L1309,Model_Assumptions!$A:$D,3,0),"Unmapped")</f>
        <v>Petrol</v>
      </c>
      <c r="O1309">
        <f>IFERROR(VLOOKUP(L1309,Model_Assumptions!$A:$D,4,0),0)</f>
        <v>850000</v>
      </c>
      <c r="P1309">
        <f>IFERROR(VLOOKUP(J1309,Source_Assumptions!$A:$C,3,0),0)</f>
        <v>150</v>
      </c>
    </row>
    <row r="1310" spans="1:16" x14ac:dyDescent="0.3">
      <c r="A1310">
        <f>Raw_Data!A1310</f>
        <v>1309</v>
      </c>
      <c r="B1310" s="2">
        <f>Raw_Data!B1310</f>
        <v>45626.752083333296</v>
      </c>
      <c r="C1310">
        <f>YEAR(Raw_Data!B1310)</f>
        <v>2024</v>
      </c>
      <c r="D1310" t="str">
        <f>IF(MONTH(Raw_Data!B1310)&gt;=4,YEAR(Raw_Data!B1310)&amp;"-"&amp;RIGHT(YEAR(Raw_Data!B1310)+1,2),YEAR(Raw_Data!B1310)-1&amp;"-"&amp;RIGHT(YEAR(Raw_Data!B1310),2))</f>
        <v>2024-25</v>
      </c>
      <c r="E1310" t="str">
        <f>"Q"&amp;ROUNDUP(MONTH(Raw_Data!B1310)/3,0)</f>
        <v>Q4</v>
      </c>
      <c r="F1310" t="str">
        <f>TEXT(Raw_Data!B1310,"mmm")</f>
        <v>Nov</v>
      </c>
      <c r="G1310" t="str">
        <f>TEXT(Raw_Data!B1310,"ddd")</f>
        <v>Sat</v>
      </c>
      <c r="H1310" t="str">
        <f>Raw_Data!D1310</f>
        <v>Invoiced</v>
      </c>
      <c r="I1310" t="str">
        <f>Raw_Data!F1310</f>
        <v>SMS/ Tele-Out</v>
      </c>
      <c r="J1310" t="str">
        <f>Raw_Data!G1310</f>
        <v>Database Activity(Teleout/SMS)</v>
      </c>
      <c r="K1310" t="str">
        <f>IFERROR(VLOOKUP(J1310,Source_Assumptions!$A:$C,2,0),"Unmapped")</f>
        <v>Outbound/Database</v>
      </c>
      <c r="L1310" t="str">
        <f>Raw_Data!H1310</f>
        <v>AMAZE Petrol</v>
      </c>
      <c r="M1310" t="str">
        <f>IFERROR(VLOOKUP(L1310,Model_Assumptions!$A:$D,2,0),"Unmapped")</f>
        <v>Sub-4m Sedan</v>
      </c>
      <c r="N1310" t="str">
        <f>IFERROR(VLOOKUP(L1310,Model_Assumptions!$A:$D,3,0),"Unmapped")</f>
        <v>Petrol</v>
      </c>
      <c r="O1310">
        <f>IFERROR(VLOOKUP(L1310,Model_Assumptions!$A:$D,4,0),0)</f>
        <v>850000</v>
      </c>
      <c r="P1310">
        <f>IFERROR(VLOOKUP(J1310,Source_Assumptions!$A:$C,3,0),0)</f>
        <v>250</v>
      </c>
    </row>
    <row r="1311" spans="1:16" x14ac:dyDescent="0.3">
      <c r="A1311">
        <f>Raw_Data!A1311</f>
        <v>1310</v>
      </c>
      <c r="B1311" s="2">
        <f>Raw_Data!B1311</f>
        <v>45626.753784722197</v>
      </c>
      <c r="C1311">
        <f>YEAR(Raw_Data!B1311)</f>
        <v>2024</v>
      </c>
      <c r="D1311" t="str">
        <f>IF(MONTH(Raw_Data!B1311)&gt;=4,YEAR(Raw_Data!B1311)&amp;"-"&amp;RIGHT(YEAR(Raw_Data!B1311)+1,2),YEAR(Raw_Data!B1311)-1&amp;"-"&amp;RIGHT(YEAR(Raw_Data!B1311),2))</f>
        <v>2024-25</v>
      </c>
      <c r="E1311" t="str">
        <f>"Q"&amp;ROUNDUP(MONTH(Raw_Data!B1311)/3,0)</f>
        <v>Q4</v>
      </c>
      <c r="F1311" t="str">
        <f>TEXT(Raw_Data!B1311,"mmm")</f>
        <v>Nov</v>
      </c>
      <c r="G1311" t="str">
        <f>TEXT(Raw_Data!B1311,"ddd")</f>
        <v>Sat</v>
      </c>
      <c r="H1311" t="str">
        <f>Raw_Data!D1311</f>
        <v>Invoiced</v>
      </c>
      <c r="I1311" t="str">
        <f>Raw_Data!F1311</f>
        <v>SMS/ Tele-Out</v>
      </c>
      <c r="J1311" t="str">
        <f>Raw_Data!G1311</f>
        <v>Database Activity(Teleout/SMS)</v>
      </c>
      <c r="K1311" t="str">
        <f>IFERROR(VLOOKUP(J1311,Source_Assumptions!$A:$C,2,0),"Unmapped")</f>
        <v>Outbound/Database</v>
      </c>
      <c r="L1311" t="str">
        <f>Raw_Data!H1311</f>
        <v>AMAZE Petrol</v>
      </c>
      <c r="M1311" t="str">
        <f>IFERROR(VLOOKUP(L1311,Model_Assumptions!$A:$D,2,0),"Unmapped")</f>
        <v>Sub-4m Sedan</v>
      </c>
      <c r="N1311" t="str">
        <f>IFERROR(VLOOKUP(L1311,Model_Assumptions!$A:$D,3,0),"Unmapped")</f>
        <v>Petrol</v>
      </c>
      <c r="O1311">
        <f>IFERROR(VLOOKUP(L1311,Model_Assumptions!$A:$D,4,0),0)</f>
        <v>850000</v>
      </c>
      <c r="P1311">
        <f>IFERROR(VLOOKUP(J1311,Source_Assumptions!$A:$C,3,0),0)</f>
        <v>250</v>
      </c>
    </row>
    <row r="1312" spans="1:16" x14ac:dyDescent="0.3">
      <c r="A1312">
        <f>Raw_Data!A1312</f>
        <v>1311</v>
      </c>
      <c r="B1312" s="2">
        <f>Raw_Data!B1312</f>
        <v>45626.770127314798</v>
      </c>
      <c r="C1312">
        <f>YEAR(Raw_Data!B1312)</f>
        <v>2024</v>
      </c>
      <c r="D1312" t="str">
        <f>IF(MONTH(Raw_Data!B1312)&gt;=4,YEAR(Raw_Data!B1312)&amp;"-"&amp;RIGHT(YEAR(Raw_Data!B1312)+1,2),YEAR(Raw_Data!B1312)-1&amp;"-"&amp;RIGHT(YEAR(Raw_Data!B1312),2))</f>
        <v>2024-25</v>
      </c>
      <c r="E1312" t="str">
        <f>"Q"&amp;ROUNDUP(MONTH(Raw_Data!B1312)/3,0)</f>
        <v>Q4</v>
      </c>
      <c r="F1312" t="str">
        <f>TEXT(Raw_Data!B1312,"mmm")</f>
        <v>Nov</v>
      </c>
      <c r="G1312" t="str">
        <f>TEXT(Raw_Data!B1312,"ddd")</f>
        <v>Sat</v>
      </c>
      <c r="H1312" t="str">
        <f>Raw_Data!D1312</f>
        <v>Invoiced</v>
      </c>
      <c r="I1312" t="str">
        <f>Raw_Data!F1312</f>
        <v>SMS/ Tele-Out</v>
      </c>
      <c r="J1312" t="str">
        <f>Raw_Data!G1312</f>
        <v>Database Activity(Teleout/SMS)</v>
      </c>
      <c r="K1312" t="str">
        <f>IFERROR(VLOOKUP(J1312,Source_Assumptions!$A:$C,2,0),"Unmapped")</f>
        <v>Outbound/Database</v>
      </c>
      <c r="L1312" t="str">
        <f>Raw_Data!H1312</f>
        <v>ELEVATE</v>
      </c>
      <c r="M1312" t="str">
        <f>IFERROR(VLOOKUP(L1312,Model_Assumptions!$A:$D,2,0),"Unmapped")</f>
        <v>Compact SUV</v>
      </c>
      <c r="N1312" t="str">
        <f>IFERROR(VLOOKUP(L1312,Model_Assumptions!$A:$D,3,0),"Unmapped")</f>
        <v>Petrol</v>
      </c>
      <c r="O1312">
        <f>IFERROR(VLOOKUP(L1312,Model_Assumptions!$A:$D,4,0),0)</f>
        <v>1300000</v>
      </c>
      <c r="P1312">
        <f>IFERROR(VLOOKUP(J1312,Source_Assumptions!$A:$C,3,0),0)</f>
        <v>250</v>
      </c>
    </row>
    <row r="1313" spans="1:16" x14ac:dyDescent="0.3">
      <c r="A1313">
        <f>Raw_Data!A1313</f>
        <v>1312</v>
      </c>
      <c r="B1313" s="2">
        <f>Raw_Data!B1313</f>
        <v>45626.8438425926</v>
      </c>
      <c r="C1313">
        <f>YEAR(Raw_Data!B1313)</f>
        <v>2024</v>
      </c>
      <c r="D1313" t="str">
        <f>IF(MONTH(Raw_Data!B1313)&gt;=4,YEAR(Raw_Data!B1313)&amp;"-"&amp;RIGHT(YEAR(Raw_Data!B1313)+1,2),YEAR(Raw_Data!B1313)-1&amp;"-"&amp;RIGHT(YEAR(Raw_Data!B1313),2))</f>
        <v>2024-25</v>
      </c>
      <c r="E1313" t="str">
        <f>"Q"&amp;ROUNDUP(MONTH(Raw_Data!B1313)/3,0)</f>
        <v>Q4</v>
      </c>
      <c r="F1313" t="str">
        <f>TEXT(Raw_Data!B1313,"mmm")</f>
        <v>Nov</v>
      </c>
      <c r="G1313" t="str">
        <f>TEXT(Raw_Data!B1313,"ddd")</f>
        <v>Sat</v>
      </c>
      <c r="H1313" t="str">
        <f>Raw_Data!D1313</f>
        <v>Invoiced</v>
      </c>
      <c r="I1313" t="str">
        <f>Raw_Data!F1313</f>
        <v>SMS/ Tele-Out</v>
      </c>
      <c r="J1313" t="str">
        <f>Raw_Data!G1313</f>
        <v>I-BAP Referral</v>
      </c>
      <c r="K1313" t="str">
        <f>IFERROR(VLOOKUP(J1313,Source_Assumptions!$A:$C,2,0),"Unmapped")</f>
        <v>Referral (Insurance/Banking Partner)</v>
      </c>
      <c r="L1313" t="str">
        <f>Raw_Data!H1313</f>
        <v>AMAZE Petrol</v>
      </c>
      <c r="M1313" t="str">
        <f>IFERROR(VLOOKUP(L1313,Model_Assumptions!$A:$D,2,0),"Unmapped")</f>
        <v>Sub-4m Sedan</v>
      </c>
      <c r="N1313" t="str">
        <f>IFERROR(VLOOKUP(L1313,Model_Assumptions!$A:$D,3,0),"Unmapped")</f>
        <v>Petrol</v>
      </c>
      <c r="O1313">
        <f>IFERROR(VLOOKUP(L1313,Model_Assumptions!$A:$D,4,0),0)</f>
        <v>850000</v>
      </c>
      <c r="P1313">
        <f>IFERROR(VLOOKUP(J1313,Source_Assumptions!$A:$C,3,0),0)</f>
        <v>150</v>
      </c>
    </row>
    <row r="1314" spans="1:16" x14ac:dyDescent="0.3">
      <c r="A1314">
        <f>Raw_Data!A1314</f>
        <v>1313</v>
      </c>
      <c r="B1314" s="2">
        <f>Raw_Data!B1314</f>
        <v>45633.6315509259</v>
      </c>
      <c r="C1314">
        <f>YEAR(Raw_Data!B1314)</f>
        <v>2024</v>
      </c>
      <c r="D1314" t="str">
        <f>IF(MONTH(Raw_Data!B1314)&gt;=4,YEAR(Raw_Data!B1314)&amp;"-"&amp;RIGHT(YEAR(Raw_Data!B1314)+1,2),YEAR(Raw_Data!B1314)-1&amp;"-"&amp;RIGHT(YEAR(Raw_Data!B1314),2))</f>
        <v>2024-25</v>
      </c>
      <c r="E1314" t="str">
        <f>"Q"&amp;ROUNDUP(MONTH(Raw_Data!B1314)/3,0)</f>
        <v>Q4</v>
      </c>
      <c r="F1314" t="str">
        <f>TEXT(Raw_Data!B1314,"mmm")</f>
        <v>Dec</v>
      </c>
      <c r="G1314" t="str">
        <f>TEXT(Raw_Data!B1314,"ddd")</f>
        <v>Sat</v>
      </c>
      <c r="H1314" t="str">
        <f>Raw_Data!D1314</f>
        <v>Invoiced</v>
      </c>
      <c r="I1314" t="str">
        <f>Raw_Data!F1314</f>
        <v>Tele-in</v>
      </c>
      <c r="J1314" t="str">
        <f>Raw_Data!G1314</f>
        <v>Referral-CAM</v>
      </c>
      <c r="K1314" t="str">
        <f>IFERROR(VLOOKUP(J1314,Source_Assumptions!$A:$C,2,0),"Unmapped")</f>
        <v>Referral</v>
      </c>
      <c r="L1314" t="str">
        <f>Raw_Data!H1314</f>
        <v>ELEVATE</v>
      </c>
      <c r="M1314" t="str">
        <f>IFERROR(VLOOKUP(L1314,Model_Assumptions!$A:$D,2,0),"Unmapped")</f>
        <v>Compact SUV</v>
      </c>
      <c r="N1314" t="str">
        <f>IFERROR(VLOOKUP(L1314,Model_Assumptions!$A:$D,3,0),"Unmapped")</f>
        <v>Petrol</v>
      </c>
      <c r="O1314">
        <f>IFERROR(VLOOKUP(L1314,Model_Assumptions!$A:$D,4,0),0)</f>
        <v>1300000</v>
      </c>
      <c r="P1314">
        <f>IFERROR(VLOOKUP(J1314,Source_Assumptions!$A:$C,3,0),0)</f>
        <v>150</v>
      </c>
    </row>
    <row r="1315" spans="1:16" x14ac:dyDescent="0.3">
      <c r="A1315">
        <f>Raw_Data!A1315</f>
        <v>1314</v>
      </c>
      <c r="B1315" s="2">
        <f>Raw_Data!B1315</f>
        <v>45636.7132291667</v>
      </c>
      <c r="C1315">
        <f>YEAR(Raw_Data!B1315)</f>
        <v>2024</v>
      </c>
      <c r="D1315" t="str">
        <f>IF(MONTH(Raw_Data!B1315)&gt;=4,YEAR(Raw_Data!B1315)&amp;"-"&amp;RIGHT(YEAR(Raw_Data!B1315)+1,2),YEAR(Raw_Data!B1315)-1&amp;"-"&amp;RIGHT(YEAR(Raw_Data!B1315),2))</f>
        <v>2024-25</v>
      </c>
      <c r="E1315" t="str">
        <f>"Q"&amp;ROUNDUP(MONTH(Raw_Data!B1315)/3,0)</f>
        <v>Q4</v>
      </c>
      <c r="F1315" t="str">
        <f>TEXT(Raw_Data!B1315,"mmm")</f>
        <v>Dec</v>
      </c>
      <c r="G1315" t="str">
        <f>TEXT(Raw_Data!B1315,"ddd")</f>
        <v>Tue</v>
      </c>
      <c r="H1315" t="str">
        <f>Raw_Data!D1315</f>
        <v>Invoiced</v>
      </c>
      <c r="I1315" t="str">
        <f>Raw_Data!F1315</f>
        <v>Tele-in</v>
      </c>
      <c r="J1315" t="str">
        <f>Raw_Data!G1315</f>
        <v>Database Activity(Teleout/SMS)</v>
      </c>
      <c r="K1315" t="str">
        <f>IFERROR(VLOOKUP(J1315,Source_Assumptions!$A:$C,2,0),"Unmapped")</f>
        <v>Outbound/Database</v>
      </c>
      <c r="L1315" t="str">
        <f>Raw_Data!H1315</f>
        <v>ELEVATE</v>
      </c>
      <c r="M1315" t="str">
        <f>IFERROR(VLOOKUP(L1315,Model_Assumptions!$A:$D,2,0),"Unmapped")</f>
        <v>Compact SUV</v>
      </c>
      <c r="N1315" t="str">
        <f>IFERROR(VLOOKUP(L1315,Model_Assumptions!$A:$D,3,0),"Unmapped")</f>
        <v>Petrol</v>
      </c>
      <c r="O1315">
        <f>IFERROR(VLOOKUP(L1315,Model_Assumptions!$A:$D,4,0),0)</f>
        <v>1300000</v>
      </c>
      <c r="P1315">
        <f>IFERROR(VLOOKUP(J1315,Source_Assumptions!$A:$C,3,0),0)</f>
        <v>250</v>
      </c>
    </row>
    <row r="1316" spans="1:16" x14ac:dyDescent="0.3">
      <c r="A1316">
        <f>Raw_Data!A1316</f>
        <v>1315</v>
      </c>
      <c r="B1316" s="2">
        <f>Raw_Data!B1316</f>
        <v>45637.499027777798</v>
      </c>
      <c r="C1316">
        <f>YEAR(Raw_Data!B1316)</f>
        <v>2024</v>
      </c>
      <c r="D1316" t="str">
        <f>IF(MONTH(Raw_Data!B1316)&gt;=4,YEAR(Raw_Data!B1316)&amp;"-"&amp;RIGHT(YEAR(Raw_Data!B1316)+1,2),YEAR(Raw_Data!B1316)-1&amp;"-"&amp;RIGHT(YEAR(Raw_Data!B1316),2))</f>
        <v>2024-25</v>
      </c>
      <c r="E1316" t="str">
        <f>"Q"&amp;ROUNDUP(MONTH(Raw_Data!B1316)/3,0)</f>
        <v>Q4</v>
      </c>
      <c r="F1316" t="str">
        <f>TEXT(Raw_Data!B1316,"mmm")</f>
        <v>Dec</v>
      </c>
      <c r="G1316" t="str">
        <f>TEXT(Raw_Data!B1316,"ddd")</f>
        <v>Wed</v>
      </c>
      <c r="H1316" t="str">
        <f>Raw_Data!D1316</f>
        <v>Invoiced</v>
      </c>
      <c r="I1316" t="str">
        <f>Raw_Data!F1316</f>
        <v>Tele-in</v>
      </c>
      <c r="J1316" t="str">
        <f>Raw_Data!G1316</f>
        <v>Referral-CAM</v>
      </c>
      <c r="K1316" t="str">
        <f>IFERROR(VLOOKUP(J1316,Source_Assumptions!$A:$C,2,0),"Unmapped")</f>
        <v>Referral</v>
      </c>
      <c r="L1316" t="str">
        <f>Raw_Data!H1316</f>
        <v>AMAZE Petrol</v>
      </c>
      <c r="M1316" t="str">
        <f>IFERROR(VLOOKUP(L1316,Model_Assumptions!$A:$D,2,0),"Unmapped")</f>
        <v>Sub-4m Sedan</v>
      </c>
      <c r="N1316" t="str">
        <f>IFERROR(VLOOKUP(L1316,Model_Assumptions!$A:$D,3,0),"Unmapped")</f>
        <v>Petrol</v>
      </c>
      <c r="O1316">
        <f>IFERROR(VLOOKUP(L1316,Model_Assumptions!$A:$D,4,0),0)</f>
        <v>850000</v>
      </c>
      <c r="P1316">
        <f>IFERROR(VLOOKUP(J1316,Source_Assumptions!$A:$C,3,0),0)</f>
        <v>150</v>
      </c>
    </row>
    <row r="1317" spans="1:16" x14ac:dyDescent="0.3">
      <c r="A1317">
        <f>Raw_Data!A1317</f>
        <v>1316</v>
      </c>
      <c r="B1317" s="2">
        <f>Raw_Data!B1317</f>
        <v>45639.659548611096</v>
      </c>
      <c r="C1317">
        <f>YEAR(Raw_Data!B1317)</f>
        <v>2024</v>
      </c>
      <c r="D1317" t="str">
        <f>IF(MONTH(Raw_Data!B1317)&gt;=4,YEAR(Raw_Data!B1317)&amp;"-"&amp;RIGHT(YEAR(Raw_Data!B1317)+1,2),YEAR(Raw_Data!B1317)-1&amp;"-"&amp;RIGHT(YEAR(Raw_Data!B1317),2))</f>
        <v>2024-25</v>
      </c>
      <c r="E1317" t="str">
        <f>"Q"&amp;ROUNDUP(MONTH(Raw_Data!B1317)/3,0)</f>
        <v>Q4</v>
      </c>
      <c r="F1317" t="str">
        <f>TEXT(Raw_Data!B1317,"mmm")</f>
        <v>Dec</v>
      </c>
      <c r="G1317" t="str">
        <f>TEXT(Raw_Data!B1317,"ddd")</f>
        <v>Fri</v>
      </c>
      <c r="H1317" t="str">
        <f>Raw_Data!D1317</f>
        <v>Invoiced</v>
      </c>
      <c r="I1317" t="str">
        <f>Raw_Data!F1317</f>
        <v>Walk-in Showroom</v>
      </c>
      <c r="J1317" t="str">
        <f>Raw_Data!G1317</f>
        <v>Database Activity(Teleout/SMS)</v>
      </c>
      <c r="K1317" t="str">
        <f>IFERROR(VLOOKUP(J1317,Source_Assumptions!$A:$C,2,0),"Unmapped")</f>
        <v>Outbound/Database</v>
      </c>
      <c r="L1317" t="str">
        <f>Raw_Data!H1317</f>
        <v>AMAZE Petrol</v>
      </c>
      <c r="M1317" t="str">
        <f>IFERROR(VLOOKUP(L1317,Model_Assumptions!$A:$D,2,0),"Unmapped")</f>
        <v>Sub-4m Sedan</v>
      </c>
      <c r="N1317" t="str">
        <f>IFERROR(VLOOKUP(L1317,Model_Assumptions!$A:$D,3,0),"Unmapped")</f>
        <v>Petrol</v>
      </c>
      <c r="O1317">
        <f>IFERROR(VLOOKUP(L1317,Model_Assumptions!$A:$D,4,0),0)</f>
        <v>850000</v>
      </c>
      <c r="P1317">
        <f>IFERROR(VLOOKUP(J1317,Source_Assumptions!$A:$C,3,0),0)</f>
        <v>250</v>
      </c>
    </row>
    <row r="1318" spans="1:16" x14ac:dyDescent="0.3">
      <c r="A1318">
        <f>Raw_Data!A1318</f>
        <v>1317</v>
      </c>
      <c r="B1318" s="2">
        <f>Raw_Data!B1318</f>
        <v>45640.5550462963</v>
      </c>
      <c r="C1318">
        <f>YEAR(Raw_Data!B1318)</f>
        <v>2024</v>
      </c>
      <c r="D1318" t="str">
        <f>IF(MONTH(Raw_Data!B1318)&gt;=4,YEAR(Raw_Data!B1318)&amp;"-"&amp;RIGHT(YEAR(Raw_Data!B1318)+1,2),YEAR(Raw_Data!B1318)-1&amp;"-"&amp;RIGHT(YEAR(Raw_Data!B1318),2))</f>
        <v>2024-25</v>
      </c>
      <c r="E1318" t="str">
        <f>"Q"&amp;ROUNDUP(MONTH(Raw_Data!B1318)/3,0)</f>
        <v>Q4</v>
      </c>
      <c r="F1318" t="str">
        <f>TEXT(Raw_Data!B1318,"mmm")</f>
        <v>Dec</v>
      </c>
      <c r="G1318" t="str">
        <f>TEXT(Raw_Data!B1318,"ddd")</f>
        <v>Sat</v>
      </c>
      <c r="H1318" t="str">
        <f>Raw_Data!D1318</f>
        <v>Invoiced</v>
      </c>
      <c r="I1318" t="str">
        <f>Raw_Data!F1318</f>
        <v>Tele-in</v>
      </c>
      <c r="J1318" t="str">
        <f>Raw_Data!G1318</f>
        <v>Referral-CAM</v>
      </c>
      <c r="K1318" t="str">
        <f>IFERROR(VLOOKUP(J1318,Source_Assumptions!$A:$C,2,0),"Unmapped")</f>
        <v>Referral</v>
      </c>
      <c r="L1318" t="str">
        <f>Raw_Data!H1318</f>
        <v>ELEVATE</v>
      </c>
      <c r="M1318" t="str">
        <f>IFERROR(VLOOKUP(L1318,Model_Assumptions!$A:$D,2,0),"Unmapped")</f>
        <v>Compact SUV</v>
      </c>
      <c r="N1318" t="str">
        <f>IFERROR(VLOOKUP(L1318,Model_Assumptions!$A:$D,3,0),"Unmapped")</f>
        <v>Petrol</v>
      </c>
      <c r="O1318">
        <f>IFERROR(VLOOKUP(L1318,Model_Assumptions!$A:$D,4,0),0)</f>
        <v>1300000</v>
      </c>
      <c r="P1318">
        <f>IFERROR(VLOOKUP(J1318,Source_Assumptions!$A:$C,3,0),0)</f>
        <v>150</v>
      </c>
    </row>
    <row r="1319" spans="1:16" x14ac:dyDescent="0.3">
      <c r="A1319">
        <f>Raw_Data!A1319</f>
        <v>1318</v>
      </c>
      <c r="B1319" s="2">
        <f>Raw_Data!B1319</f>
        <v>45642.599398148202</v>
      </c>
      <c r="C1319">
        <f>YEAR(Raw_Data!B1319)</f>
        <v>2024</v>
      </c>
      <c r="D1319" t="str">
        <f>IF(MONTH(Raw_Data!B1319)&gt;=4,YEAR(Raw_Data!B1319)&amp;"-"&amp;RIGHT(YEAR(Raw_Data!B1319)+1,2),YEAR(Raw_Data!B1319)-1&amp;"-"&amp;RIGHT(YEAR(Raw_Data!B1319),2))</f>
        <v>2024-25</v>
      </c>
      <c r="E1319" t="str">
        <f>"Q"&amp;ROUNDUP(MONTH(Raw_Data!B1319)/3,0)</f>
        <v>Q4</v>
      </c>
      <c r="F1319" t="str">
        <f>TEXT(Raw_Data!B1319,"mmm")</f>
        <v>Dec</v>
      </c>
      <c r="G1319" t="str">
        <f>TEXT(Raw_Data!B1319,"ddd")</f>
        <v>Mon</v>
      </c>
      <c r="H1319" t="str">
        <f>Raw_Data!D1319</f>
        <v>Invoiced</v>
      </c>
      <c r="I1319" t="str">
        <f>Raw_Data!F1319</f>
        <v>Tele-in</v>
      </c>
      <c r="J1319" t="str">
        <f>Raw_Data!G1319</f>
        <v>Referral-CAM</v>
      </c>
      <c r="K1319" t="str">
        <f>IFERROR(VLOOKUP(J1319,Source_Assumptions!$A:$C,2,0),"Unmapped")</f>
        <v>Referral</v>
      </c>
      <c r="L1319" t="str">
        <f>Raw_Data!H1319</f>
        <v>5TH GEN CITY PE</v>
      </c>
      <c r="M1319" t="str">
        <f>IFERROR(VLOOKUP(L1319,Model_Assumptions!$A:$D,2,0),"Unmapped")</f>
        <v>Mid-size Sedan</v>
      </c>
      <c r="N1319" t="str">
        <f>IFERROR(VLOOKUP(L1319,Model_Assumptions!$A:$D,3,0),"Unmapped")</f>
        <v>Petrol</v>
      </c>
      <c r="O1319">
        <f>IFERROR(VLOOKUP(L1319,Model_Assumptions!$A:$D,4,0),0)</f>
        <v>1250000</v>
      </c>
      <c r="P1319">
        <f>IFERROR(VLOOKUP(J1319,Source_Assumptions!$A:$C,3,0),0)</f>
        <v>150</v>
      </c>
    </row>
    <row r="1320" spans="1:16" x14ac:dyDescent="0.3">
      <c r="A1320">
        <f>Raw_Data!A1320</f>
        <v>1319</v>
      </c>
      <c r="B1320" s="2">
        <f>Raw_Data!B1320</f>
        <v>45642.601006944496</v>
      </c>
      <c r="C1320">
        <f>YEAR(Raw_Data!B1320)</f>
        <v>2024</v>
      </c>
      <c r="D1320" t="str">
        <f>IF(MONTH(Raw_Data!B1320)&gt;=4,YEAR(Raw_Data!B1320)&amp;"-"&amp;RIGHT(YEAR(Raw_Data!B1320)+1,2),YEAR(Raw_Data!B1320)-1&amp;"-"&amp;RIGHT(YEAR(Raw_Data!B1320),2))</f>
        <v>2024-25</v>
      </c>
      <c r="E1320" t="str">
        <f>"Q"&amp;ROUNDUP(MONTH(Raw_Data!B1320)/3,0)</f>
        <v>Q4</v>
      </c>
      <c r="F1320" t="str">
        <f>TEXT(Raw_Data!B1320,"mmm")</f>
        <v>Dec</v>
      </c>
      <c r="G1320" t="str">
        <f>TEXT(Raw_Data!B1320,"ddd")</f>
        <v>Mon</v>
      </c>
      <c r="H1320" t="str">
        <f>Raw_Data!D1320</f>
        <v>Invoiced</v>
      </c>
      <c r="I1320" t="str">
        <f>Raw_Data!F1320</f>
        <v>Tele-in</v>
      </c>
      <c r="J1320" t="str">
        <f>Raw_Data!G1320</f>
        <v>Referral-CAM</v>
      </c>
      <c r="K1320" t="str">
        <f>IFERROR(VLOOKUP(J1320,Source_Assumptions!$A:$C,2,0),"Unmapped")</f>
        <v>Referral</v>
      </c>
      <c r="L1320" t="str">
        <f>Raw_Data!H1320</f>
        <v>ELEVATE</v>
      </c>
      <c r="M1320" t="str">
        <f>IFERROR(VLOOKUP(L1320,Model_Assumptions!$A:$D,2,0),"Unmapped")</f>
        <v>Compact SUV</v>
      </c>
      <c r="N1320" t="str">
        <f>IFERROR(VLOOKUP(L1320,Model_Assumptions!$A:$D,3,0),"Unmapped")</f>
        <v>Petrol</v>
      </c>
      <c r="O1320">
        <f>IFERROR(VLOOKUP(L1320,Model_Assumptions!$A:$D,4,0),0)</f>
        <v>1300000</v>
      </c>
      <c r="P1320">
        <f>IFERROR(VLOOKUP(J1320,Source_Assumptions!$A:$C,3,0),0)</f>
        <v>150</v>
      </c>
    </row>
    <row r="1321" spans="1:16" x14ac:dyDescent="0.3">
      <c r="A1321">
        <f>Raw_Data!A1321</f>
        <v>1320</v>
      </c>
      <c r="B1321" s="2">
        <f>Raw_Data!B1321</f>
        <v>45644.691261574102</v>
      </c>
      <c r="C1321">
        <f>YEAR(Raw_Data!B1321)</f>
        <v>2024</v>
      </c>
      <c r="D1321" t="str">
        <f>IF(MONTH(Raw_Data!B1321)&gt;=4,YEAR(Raw_Data!B1321)&amp;"-"&amp;RIGHT(YEAR(Raw_Data!B1321)+1,2),YEAR(Raw_Data!B1321)-1&amp;"-"&amp;RIGHT(YEAR(Raw_Data!B1321),2))</f>
        <v>2024-25</v>
      </c>
      <c r="E1321" t="str">
        <f>"Q"&amp;ROUNDUP(MONTH(Raw_Data!B1321)/3,0)</f>
        <v>Q4</v>
      </c>
      <c r="F1321" t="str">
        <f>TEXT(Raw_Data!B1321,"mmm")</f>
        <v>Dec</v>
      </c>
      <c r="G1321" t="str">
        <f>TEXT(Raw_Data!B1321,"ddd")</f>
        <v>Wed</v>
      </c>
      <c r="H1321" t="str">
        <f>Raw_Data!D1321</f>
        <v>Invoiced</v>
      </c>
      <c r="I1321" t="str">
        <f>Raw_Data!F1321</f>
        <v>Web Lead</v>
      </c>
      <c r="J1321" t="str">
        <f>Raw_Data!G1321</f>
        <v>Web</v>
      </c>
      <c r="K1321" t="str">
        <f>IFERROR(VLOOKUP(J1321,Source_Assumptions!$A:$C,2,0),"Unmapped")</f>
        <v>Digital - Owned</v>
      </c>
      <c r="L1321" t="str">
        <f>Raw_Data!H1321</f>
        <v>AMAZE Petrol</v>
      </c>
      <c r="M1321" t="str">
        <f>IFERROR(VLOOKUP(L1321,Model_Assumptions!$A:$D,2,0),"Unmapped")</f>
        <v>Sub-4m Sedan</v>
      </c>
      <c r="N1321" t="str">
        <f>IFERROR(VLOOKUP(L1321,Model_Assumptions!$A:$D,3,0),"Unmapped")</f>
        <v>Petrol</v>
      </c>
      <c r="O1321">
        <f>IFERROR(VLOOKUP(L1321,Model_Assumptions!$A:$D,4,0),0)</f>
        <v>850000</v>
      </c>
      <c r="P1321">
        <f>IFERROR(VLOOKUP(J1321,Source_Assumptions!$A:$C,3,0),0)</f>
        <v>300</v>
      </c>
    </row>
    <row r="1322" spans="1:16" x14ac:dyDescent="0.3">
      <c r="A1322">
        <f>Raw_Data!A1322</f>
        <v>1321</v>
      </c>
      <c r="B1322" s="2">
        <f>Raw_Data!B1322</f>
        <v>45645.620104166701</v>
      </c>
      <c r="C1322">
        <f>YEAR(Raw_Data!B1322)</f>
        <v>2024</v>
      </c>
      <c r="D1322" t="str">
        <f>IF(MONTH(Raw_Data!B1322)&gt;=4,YEAR(Raw_Data!B1322)&amp;"-"&amp;RIGHT(YEAR(Raw_Data!B1322)+1,2),YEAR(Raw_Data!B1322)-1&amp;"-"&amp;RIGHT(YEAR(Raw_Data!B1322),2))</f>
        <v>2024-25</v>
      </c>
      <c r="E1322" t="str">
        <f>"Q"&amp;ROUNDUP(MONTH(Raw_Data!B1322)/3,0)</f>
        <v>Q4</v>
      </c>
      <c r="F1322" t="str">
        <f>TEXT(Raw_Data!B1322,"mmm")</f>
        <v>Dec</v>
      </c>
      <c r="G1322" t="str">
        <f>TEXT(Raw_Data!B1322,"ddd")</f>
        <v>Thu</v>
      </c>
      <c r="H1322" t="str">
        <f>Raw_Data!D1322</f>
        <v>Invoiced</v>
      </c>
      <c r="I1322" t="str">
        <f>Raw_Data!F1322</f>
        <v>Walk-in Showroom</v>
      </c>
      <c r="J1322" t="str">
        <f>Raw_Data!G1322</f>
        <v>Service Visit</v>
      </c>
      <c r="K1322" t="str">
        <f>IFERROR(VLOOKUP(J1322,Source_Assumptions!$A:$C,2,0),"Unmapped")</f>
        <v>Existing Customer</v>
      </c>
      <c r="L1322" t="str">
        <f>Raw_Data!H1322</f>
        <v>ELEVATE</v>
      </c>
      <c r="M1322" t="str">
        <f>IFERROR(VLOOKUP(L1322,Model_Assumptions!$A:$D,2,0),"Unmapped")</f>
        <v>Compact SUV</v>
      </c>
      <c r="N1322" t="str">
        <f>IFERROR(VLOOKUP(L1322,Model_Assumptions!$A:$D,3,0),"Unmapped")</f>
        <v>Petrol</v>
      </c>
      <c r="O1322">
        <f>IFERROR(VLOOKUP(L1322,Model_Assumptions!$A:$D,4,0),0)</f>
        <v>1300000</v>
      </c>
      <c r="P1322">
        <f>IFERROR(VLOOKUP(J1322,Source_Assumptions!$A:$C,3,0),0)</f>
        <v>50</v>
      </c>
    </row>
    <row r="1323" spans="1:16" x14ac:dyDescent="0.3">
      <c r="A1323">
        <f>Raw_Data!A1323</f>
        <v>1322</v>
      </c>
      <c r="B1323" s="2">
        <f>Raw_Data!B1323</f>
        <v>45645.621979166703</v>
      </c>
      <c r="C1323">
        <f>YEAR(Raw_Data!B1323)</f>
        <v>2024</v>
      </c>
      <c r="D1323" t="str">
        <f>IF(MONTH(Raw_Data!B1323)&gt;=4,YEAR(Raw_Data!B1323)&amp;"-"&amp;RIGHT(YEAR(Raw_Data!B1323)+1,2),YEAR(Raw_Data!B1323)-1&amp;"-"&amp;RIGHT(YEAR(Raw_Data!B1323),2))</f>
        <v>2024-25</v>
      </c>
      <c r="E1323" t="str">
        <f>"Q"&amp;ROUNDUP(MONTH(Raw_Data!B1323)/3,0)</f>
        <v>Q4</v>
      </c>
      <c r="F1323" t="str">
        <f>TEXT(Raw_Data!B1323,"mmm")</f>
        <v>Dec</v>
      </c>
      <c r="G1323" t="str">
        <f>TEXT(Raw_Data!B1323,"ddd")</f>
        <v>Thu</v>
      </c>
      <c r="H1323" t="str">
        <f>Raw_Data!D1323</f>
        <v>Invoiced</v>
      </c>
      <c r="I1323" t="str">
        <f>Raw_Data!F1323</f>
        <v>SMS/ Tele-Out</v>
      </c>
      <c r="J1323" t="str">
        <f>Raw_Data!G1323</f>
        <v>Database Activity(Teleout/SMS)</v>
      </c>
      <c r="K1323" t="str">
        <f>IFERROR(VLOOKUP(J1323,Source_Assumptions!$A:$C,2,0),"Unmapped")</f>
        <v>Outbound/Database</v>
      </c>
      <c r="L1323" t="str">
        <f>Raw_Data!H1323</f>
        <v>ELEVATE</v>
      </c>
      <c r="M1323" t="str">
        <f>IFERROR(VLOOKUP(L1323,Model_Assumptions!$A:$D,2,0),"Unmapped")</f>
        <v>Compact SUV</v>
      </c>
      <c r="N1323" t="str">
        <f>IFERROR(VLOOKUP(L1323,Model_Assumptions!$A:$D,3,0),"Unmapped")</f>
        <v>Petrol</v>
      </c>
      <c r="O1323">
        <f>IFERROR(VLOOKUP(L1323,Model_Assumptions!$A:$D,4,0),0)</f>
        <v>1300000</v>
      </c>
      <c r="P1323">
        <f>IFERROR(VLOOKUP(J1323,Source_Assumptions!$A:$C,3,0),0)</f>
        <v>250</v>
      </c>
    </row>
    <row r="1324" spans="1:16" x14ac:dyDescent="0.3">
      <c r="A1324">
        <f>Raw_Data!A1324</f>
        <v>1323</v>
      </c>
      <c r="B1324" s="2">
        <f>Raw_Data!B1324</f>
        <v>45646.738680555602</v>
      </c>
      <c r="C1324">
        <f>YEAR(Raw_Data!B1324)</f>
        <v>2024</v>
      </c>
      <c r="D1324" t="str">
        <f>IF(MONTH(Raw_Data!B1324)&gt;=4,YEAR(Raw_Data!B1324)&amp;"-"&amp;RIGHT(YEAR(Raw_Data!B1324)+1,2),YEAR(Raw_Data!B1324)-1&amp;"-"&amp;RIGHT(YEAR(Raw_Data!B1324),2))</f>
        <v>2024-25</v>
      </c>
      <c r="E1324" t="str">
        <f>"Q"&amp;ROUNDUP(MONTH(Raw_Data!B1324)/3,0)</f>
        <v>Q4</v>
      </c>
      <c r="F1324" t="str">
        <f>TEXT(Raw_Data!B1324,"mmm")</f>
        <v>Dec</v>
      </c>
      <c r="G1324" t="str">
        <f>TEXT(Raw_Data!B1324,"ddd")</f>
        <v>Fri</v>
      </c>
      <c r="H1324" t="str">
        <f>Raw_Data!D1324</f>
        <v>Invoiced</v>
      </c>
      <c r="I1324" t="str">
        <f>Raw_Data!F1324</f>
        <v>Tele-in</v>
      </c>
      <c r="J1324" t="str">
        <f>Raw_Data!G1324</f>
        <v>Dealer Webpage Tele-In</v>
      </c>
      <c r="K1324" t="str">
        <f>IFERROR(VLOOKUP(J1324,Source_Assumptions!$A:$C,2,0),"Unmapped")</f>
        <v>Digital - Owned</v>
      </c>
      <c r="L1324" t="str">
        <f>Raw_Data!H1324</f>
        <v>ELEVATE</v>
      </c>
      <c r="M1324" t="str">
        <f>IFERROR(VLOOKUP(L1324,Model_Assumptions!$A:$D,2,0),"Unmapped")</f>
        <v>Compact SUV</v>
      </c>
      <c r="N1324" t="str">
        <f>IFERROR(VLOOKUP(L1324,Model_Assumptions!$A:$D,3,0),"Unmapped")</f>
        <v>Petrol</v>
      </c>
      <c r="O1324">
        <f>IFERROR(VLOOKUP(L1324,Model_Assumptions!$A:$D,4,0),0)</f>
        <v>1300000</v>
      </c>
      <c r="P1324">
        <f>IFERROR(VLOOKUP(J1324,Source_Assumptions!$A:$C,3,0),0)</f>
        <v>300</v>
      </c>
    </row>
    <row r="1325" spans="1:16" x14ac:dyDescent="0.3">
      <c r="A1325">
        <f>Raw_Data!A1325</f>
        <v>1324</v>
      </c>
      <c r="B1325" s="2">
        <f>Raw_Data!B1325</f>
        <v>45646.760405092602</v>
      </c>
      <c r="C1325">
        <f>YEAR(Raw_Data!B1325)</f>
        <v>2024</v>
      </c>
      <c r="D1325" t="str">
        <f>IF(MONTH(Raw_Data!B1325)&gt;=4,YEAR(Raw_Data!B1325)&amp;"-"&amp;RIGHT(YEAR(Raw_Data!B1325)+1,2),YEAR(Raw_Data!B1325)-1&amp;"-"&amp;RIGHT(YEAR(Raw_Data!B1325),2))</f>
        <v>2024-25</v>
      </c>
      <c r="E1325" t="str">
        <f>"Q"&amp;ROUNDUP(MONTH(Raw_Data!B1325)/3,0)</f>
        <v>Q4</v>
      </c>
      <c r="F1325" t="str">
        <f>TEXT(Raw_Data!B1325,"mmm")</f>
        <v>Dec</v>
      </c>
      <c r="G1325" t="str">
        <f>TEXT(Raw_Data!B1325,"ddd")</f>
        <v>Fri</v>
      </c>
      <c r="H1325" t="str">
        <f>Raw_Data!D1325</f>
        <v>Invoiced</v>
      </c>
      <c r="I1325" t="str">
        <f>Raw_Data!F1325</f>
        <v>Tele-in</v>
      </c>
      <c r="J1325" t="str">
        <f>Raw_Data!G1325</f>
        <v>Dealer Webpage Tele-In</v>
      </c>
      <c r="K1325" t="str">
        <f>IFERROR(VLOOKUP(J1325,Source_Assumptions!$A:$C,2,0),"Unmapped")</f>
        <v>Digital - Owned</v>
      </c>
      <c r="L1325" t="str">
        <f>Raw_Data!H1325</f>
        <v>New Amaze 3G</v>
      </c>
      <c r="M1325" t="str">
        <f>IFERROR(VLOOKUP(L1325,Model_Assumptions!$A:$D,2,0),"Unmapped")</f>
        <v>Sub-4m Sedan</v>
      </c>
      <c r="N1325" t="str">
        <f>IFERROR(VLOOKUP(L1325,Model_Assumptions!$A:$D,3,0),"Unmapped")</f>
        <v>Petrol</v>
      </c>
      <c r="O1325">
        <f>IFERROR(VLOOKUP(L1325,Model_Assumptions!$A:$D,4,0),0)</f>
        <v>950000</v>
      </c>
      <c r="P1325">
        <f>IFERROR(VLOOKUP(J1325,Source_Assumptions!$A:$C,3,0),0)</f>
        <v>300</v>
      </c>
    </row>
    <row r="1326" spans="1:16" x14ac:dyDescent="0.3">
      <c r="A1326">
        <f>Raw_Data!A1326</f>
        <v>1325</v>
      </c>
      <c r="B1326" s="2">
        <f>Raw_Data!B1326</f>
        <v>45647.574016203696</v>
      </c>
      <c r="C1326">
        <f>YEAR(Raw_Data!B1326)</f>
        <v>2024</v>
      </c>
      <c r="D1326" t="str">
        <f>IF(MONTH(Raw_Data!B1326)&gt;=4,YEAR(Raw_Data!B1326)&amp;"-"&amp;RIGHT(YEAR(Raw_Data!B1326)+1,2),YEAR(Raw_Data!B1326)-1&amp;"-"&amp;RIGHT(YEAR(Raw_Data!B1326),2))</f>
        <v>2024-25</v>
      </c>
      <c r="E1326" t="str">
        <f>"Q"&amp;ROUNDUP(MONTH(Raw_Data!B1326)/3,0)</f>
        <v>Q4</v>
      </c>
      <c r="F1326" t="str">
        <f>TEXT(Raw_Data!B1326,"mmm")</f>
        <v>Dec</v>
      </c>
      <c r="G1326" t="str">
        <f>TEXT(Raw_Data!B1326,"ddd")</f>
        <v>Sat</v>
      </c>
      <c r="H1326" t="str">
        <f>Raw_Data!D1326</f>
        <v>Invoiced</v>
      </c>
      <c r="I1326" t="str">
        <f>Raw_Data!F1326</f>
        <v>Tele-in</v>
      </c>
      <c r="J1326" t="str">
        <f>Raw_Data!G1326</f>
        <v>Dealer Webpage Tele-In</v>
      </c>
      <c r="K1326" t="str">
        <f>IFERROR(VLOOKUP(J1326,Source_Assumptions!$A:$C,2,0),"Unmapped")</f>
        <v>Digital - Owned</v>
      </c>
      <c r="L1326" t="str">
        <f>Raw_Data!H1326</f>
        <v>New Amaze 3G</v>
      </c>
      <c r="M1326" t="str">
        <f>IFERROR(VLOOKUP(L1326,Model_Assumptions!$A:$D,2,0),"Unmapped")</f>
        <v>Sub-4m Sedan</v>
      </c>
      <c r="N1326" t="str">
        <f>IFERROR(VLOOKUP(L1326,Model_Assumptions!$A:$D,3,0),"Unmapped")</f>
        <v>Petrol</v>
      </c>
      <c r="O1326">
        <f>IFERROR(VLOOKUP(L1326,Model_Assumptions!$A:$D,4,0),0)</f>
        <v>950000</v>
      </c>
      <c r="P1326">
        <f>IFERROR(VLOOKUP(J1326,Source_Assumptions!$A:$C,3,0),0)</f>
        <v>300</v>
      </c>
    </row>
    <row r="1327" spans="1:16" x14ac:dyDescent="0.3">
      <c r="A1327">
        <f>Raw_Data!A1327</f>
        <v>1326</v>
      </c>
      <c r="B1327" s="2">
        <f>Raw_Data!B1327</f>
        <v>45647.608449074098</v>
      </c>
      <c r="C1327">
        <f>YEAR(Raw_Data!B1327)</f>
        <v>2024</v>
      </c>
      <c r="D1327" t="str">
        <f>IF(MONTH(Raw_Data!B1327)&gt;=4,YEAR(Raw_Data!B1327)&amp;"-"&amp;RIGHT(YEAR(Raw_Data!B1327)+1,2),YEAR(Raw_Data!B1327)-1&amp;"-"&amp;RIGHT(YEAR(Raw_Data!B1327),2))</f>
        <v>2024-25</v>
      </c>
      <c r="E1327" t="str">
        <f>"Q"&amp;ROUNDUP(MONTH(Raw_Data!B1327)/3,0)</f>
        <v>Q4</v>
      </c>
      <c r="F1327" t="str">
        <f>TEXT(Raw_Data!B1327,"mmm")</f>
        <v>Dec</v>
      </c>
      <c r="G1327" t="str">
        <f>TEXT(Raw_Data!B1327,"ddd")</f>
        <v>Sat</v>
      </c>
      <c r="H1327" t="str">
        <f>Raw_Data!D1327</f>
        <v>Invoiced</v>
      </c>
      <c r="I1327" t="str">
        <f>Raw_Data!F1327</f>
        <v>Tele-in</v>
      </c>
      <c r="J1327" t="str">
        <f>Raw_Data!G1327</f>
        <v>Referral-CAM</v>
      </c>
      <c r="K1327" t="str">
        <f>IFERROR(VLOOKUP(J1327,Source_Assumptions!$A:$C,2,0),"Unmapped")</f>
        <v>Referral</v>
      </c>
      <c r="L1327" t="str">
        <f>Raw_Data!H1327</f>
        <v>AMAZE Petrol</v>
      </c>
      <c r="M1327" t="str">
        <f>IFERROR(VLOOKUP(L1327,Model_Assumptions!$A:$D,2,0),"Unmapped")</f>
        <v>Sub-4m Sedan</v>
      </c>
      <c r="N1327" t="str">
        <f>IFERROR(VLOOKUP(L1327,Model_Assumptions!$A:$D,3,0),"Unmapped")</f>
        <v>Petrol</v>
      </c>
      <c r="O1327">
        <f>IFERROR(VLOOKUP(L1327,Model_Assumptions!$A:$D,4,0),0)</f>
        <v>850000</v>
      </c>
      <c r="P1327">
        <f>IFERROR(VLOOKUP(J1327,Source_Assumptions!$A:$C,3,0),0)</f>
        <v>150</v>
      </c>
    </row>
    <row r="1328" spans="1:16" x14ac:dyDescent="0.3">
      <c r="A1328">
        <f>Raw_Data!A1328</f>
        <v>1327</v>
      </c>
      <c r="B1328" s="2">
        <f>Raw_Data!B1328</f>
        <v>45647.662199074097</v>
      </c>
      <c r="C1328">
        <f>YEAR(Raw_Data!B1328)</f>
        <v>2024</v>
      </c>
      <c r="D1328" t="str">
        <f>IF(MONTH(Raw_Data!B1328)&gt;=4,YEAR(Raw_Data!B1328)&amp;"-"&amp;RIGHT(YEAR(Raw_Data!B1328)+1,2),YEAR(Raw_Data!B1328)-1&amp;"-"&amp;RIGHT(YEAR(Raw_Data!B1328),2))</f>
        <v>2024-25</v>
      </c>
      <c r="E1328" t="str">
        <f>"Q"&amp;ROUNDUP(MONTH(Raw_Data!B1328)/3,0)</f>
        <v>Q4</v>
      </c>
      <c r="F1328" t="str">
        <f>TEXT(Raw_Data!B1328,"mmm")</f>
        <v>Dec</v>
      </c>
      <c r="G1328" t="str">
        <f>TEXT(Raw_Data!B1328,"ddd")</f>
        <v>Sat</v>
      </c>
      <c r="H1328" t="str">
        <f>Raw_Data!D1328</f>
        <v>Invoiced</v>
      </c>
      <c r="I1328" t="str">
        <f>Raw_Data!F1328</f>
        <v>Tele-in</v>
      </c>
      <c r="J1328" t="str">
        <f>Raw_Data!G1328</f>
        <v>Dealer Webpage Tele-In</v>
      </c>
      <c r="K1328" t="str">
        <f>IFERROR(VLOOKUP(J1328,Source_Assumptions!$A:$C,2,0),"Unmapped")</f>
        <v>Digital - Owned</v>
      </c>
      <c r="L1328" t="str">
        <f>Raw_Data!H1328</f>
        <v>AMAZE Petrol</v>
      </c>
      <c r="M1328" t="str">
        <f>IFERROR(VLOOKUP(L1328,Model_Assumptions!$A:$D,2,0),"Unmapped")</f>
        <v>Sub-4m Sedan</v>
      </c>
      <c r="N1328" t="str">
        <f>IFERROR(VLOOKUP(L1328,Model_Assumptions!$A:$D,3,0),"Unmapped")</f>
        <v>Petrol</v>
      </c>
      <c r="O1328">
        <f>IFERROR(VLOOKUP(L1328,Model_Assumptions!$A:$D,4,0),0)</f>
        <v>850000</v>
      </c>
      <c r="P1328">
        <f>IFERROR(VLOOKUP(J1328,Source_Assumptions!$A:$C,3,0),0)</f>
        <v>300</v>
      </c>
    </row>
    <row r="1329" spans="1:16" x14ac:dyDescent="0.3">
      <c r="A1329">
        <f>Raw_Data!A1329</f>
        <v>1328</v>
      </c>
      <c r="B1329" s="2">
        <f>Raw_Data!B1329</f>
        <v>45647.670416666697</v>
      </c>
      <c r="C1329">
        <f>YEAR(Raw_Data!B1329)</f>
        <v>2024</v>
      </c>
      <c r="D1329" t="str">
        <f>IF(MONTH(Raw_Data!B1329)&gt;=4,YEAR(Raw_Data!B1329)&amp;"-"&amp;RIGHT(YEAR(Raw_Data!B1329)+1,2),YEAR(Raw_Data!B1329)-1&amp;"-"&amp;RIGHT(YEAR(Raw_Data!B1329),2))</f>
        <v>2024-25</v>
      </c>
      <c r="E1329" t="str">
        <f>"Q"&amp;ROUNDUP(MONTH(Raw_Data!B1329)/3,0)</f>
        <v>Q4</v>
      </c>
      <c r="F1329" t="str">
        <f>TEXT(Raw_Data!B1329,"mmm")</f>
        <v>Dec</v>
      </c>
      <c r="G1329" t="str">
        <f>TEXT(Raw_Data!B1329,"ddd")</f>
        <v>Sat</v>
      </c>
      <c r="H1329" t="str">
        <f>Raw_Data!D1329</f>
        <v>Invoiced</v>
      </c>
      <c r="I1329" t="str">
        <f>Raw_Data!F1329</f>
        <v>Tele-in</v>
      </c>
      <c r="J1329" t="str">
        <f>Raw_Data!G1329</f>
        <v>Dealer Webpage Tele-In</v>
      </c>
      <c r="K1329" t="str">
        <f>IFERROR(VLOOKUP(J1329,Source_Assumptions!$A:$C,2,0),"Unmapped")</f>
        <v>Digital - Owned</v>
      </c>
      <c r="L1329" t="str">
        <f>Raw_Data!H1329</f>
        <v>ELEVATE</v>
      </c>
      <c r="M1329" t="str">
        <f>IFERROR(VLOOKUP(L1329,Model_Assumptions!$A:$D,2,0),"Unmapped")</f>
        <v>Compact SUV</v>
      </c>
      <c r="N1329" t="str">
        <f>IFERROR(VLOOKUP(L1329,Model_Assumptions!$A:$D,3,0),"Unmapped")</f>
        <v>Petrol</v>
      </c>
      <c r="O1329">
        <f>IFERROR(VLOOKUP(L1329,Model_Assumptions!$A:$D,4,0),0)</f>
        <v>1300000</v>
      </c>
      <c r="P1329">
        <f>IFERROR(VLOOKUP(J1329,Source_Assumptions!$A:$C,3,0),0)</f>
        <v>300</v>
      </c>
    </row>
    <row r="1330" spans="1:16" x14ac:dyDescent="0.3">
      <c r="A1330">
        <f>Raw_Data!A1330</f>
        <v>1329</v>
      </c>
      <c r="B1330" s="2">
        <f>Raw_Data!B1330</f>
        <v>45649.668321759302</v>
      </c>
      <c r="C1330">
        <f>YEAR(Raw_Data!B1330)</f>
        <v>2024</v>
      </c>
      <c r="D1330" t="str">
        <f>IF(MONTH(Raw_Data!B1330)&gt;=4,YEAR(Raw_Data!B1330)&amp;"-"&amp;RIGHT(YEAR(Raw_Data!B1330)+1,2),YEAR(Raw_Data!B1330)-1&amp;"-"&amp;RIGHT(YEAR(Raw_Data!B1330),2))</f>
        <v>2024-25</v>
      </c>
      <c r="E1330" t="str">
        <f>"Q"&amp;ROUNDUP(MONTH(Raw_Data!B1330)/3,0)</f>
        <v>Q4</v>
      </c>
      <c r="F1330" t="str">
        <f>TEXT(Raw_Data!B1330,"mmm")</f>
        <v>Dec</v>
      </c>
      <c r="G1330" t="str">
        <f>TEXT(Raw_Data!B1330,"ddd")</f>
        <v>Mon</v>
      </c>
      <c r="H1330" t="str">
        <f>Raw_Data!D1330</f>
        <v>Invoiced</v>
      </c>
      <c r="I1330" t="str">
        <f>Raw_Data!F1330</f>
        <v>Tele-in</v>
      </c>
      <c r="J1330" t="str">
        <f>Raw_Data!G1330</f>
        <v>Referral-CAM</v>
      </c>
      <c r="K1330" t="str">
        <f>IFERROR(VLOOKUP(J1330,Source_Assumptions!$A:$C,2,0),"Unmapped")</f>
        <v>Referral</v>
      </c>
      <c r="L1330" t="str">
        <f>Raw_Data!H1330</f>
        <v>5TH GEN CITY PE</v>
      </c>
      <c r="M1330" t="str">
        <f>IFERROR(VLOOKUP(L1330,Model_Assumptions!$A:$D,2,0),"Unmapped")</f>
        <v>Mid-size Sedan</v>
      </c>
      <c r="N1330" t="str">
        <f>IFERROR(VLOOKUP(L1330,Model_Assumptions!$A:$D,3,0),"Unmapped")</f>
        <v>Petrol</v>
      </c>
      <c r="O1330">
        <f>IFERROR(VLOOKUP(L1330,Model_Assumptions!$A:$D,4,0),0)</f>
        <v>1250000</v>
      </c>
      <c r="P1330">
        <f>IFERROR(VLOOKUP(J1330,Source_Assumptions!$A:$C,3,0),0)</f>
        <v>150</v>
      </c>
    </row>
    <row r="1331" spans="1:16" x14ac:dyDescent="0.3">
      <c r="A1331">
        <f>Raw_Data!A1331</f>
        <v>1330</v>
      </c>
      <c r="B1331" s="2">
        <f>Raw_Data!B1331</f>
        <v>45650.499675925901</v>
      </c>
      <c r="C1331">
        <f>YEAR(Raw_Data!B1331)</f>
        <v>2024</v>
      </c>
      <c r="D1331" t="str">
        <f>IF(MONTH(Raw_Data!B1331)&gt;=4,YEAR(Raw_Data!B1331)&amp;"-"&amp;RIGHT(YEAR(Raw_Data!B1331)+1,2),YEAR(Raw_Data!B1331)-1&amp;"-"&amp;RIGHT(YEAR(Raw_Data!B1331),2))</f>
        <v>2024-25</v>
      </c>
      <c r="E1331" t="str">
        <f>"Q"&amp;ROUNDUP(MONTH(Raw_Data!B1331)/3,0)</f>
        <v>Q4</v>
      </c>
      <c r="F1331" t="str">
        <f>TEXT(Raw_Data!B1331,"mmm")</f>
        <v>Dec</v>
      </c>
      <c r="G1331" t="str">
        <f>TEXT(Raw_Data!B1331,"ddd")</f>
        <v>Tue</v>
      </c>
      <c r="H1331" t="str">
        <f>Raw_Data!D1331</f>
        <v>Invoiced</v>
      </c>
      <c r="I1331" t="str">
        <f>Raw_Data!F1331</f>
        <v>Tele-in</v>
      </c>
      <c r="J1331" t="str">
        <f>Raw_Data!G1331</f>
        <v>Dealer Webpage Tele-In</v>
      </c>
      <c r="K1331" t="str">
        <f>IFERROR(VLOOKUP(J1331,Source_Assumptions!$A:$C,2,0),"Unmapped")</f>
        <v>Digital - Owned</v>
      </c>
      <c r="L1331" t="str">
        <f>Raw_Data!H1331</f>
        <v>ELEVATE</v>
      </c>
      <c r="M1331" t="str">
        <f>IFERROR(VLOOKUP(L1331,Model_Assumptions!$A:$D,2,0),"Unmapped")</f>
        <v>Compact SUV</v>
      </c>
      <c r="N1331" t="str">
        <f>IFERROR(VLOOKUP(L1331,Model_Assumptions!$A:$D,3,0),"Unmapped")</f>
        <v>Petrol</v>
      </c>
      <c r="O1331">
        <f>IFERROR(VLOOKUP(L1331,Model_Assumptions!$A:$D,4,0),0)</f>
        <v>1300000</v>
      </c>
      <c r="P1331">
        <f>IFERROR(VLOOKUP(J1331,Source_Assumptions!$A:$C,3,0),0)</f>
        <v>300</v>
      </c>
    </row>
    <row r="1332" spans="1:16" x14ac:dyDescent="0.3">
      <c r="A1332">
        <f>Raw_Data!A1332</f>
        <v>1331</v>
      </c>
      <c r="B1332" s="2">
        <f>Raw_Data!B1332</f>
        <v>45650.563611111102</v>
      </c>
      <c r="C1332">
        <f>YEAR(Raw_Data!B1332)</f>
        <v>2024</v>
      </c>
      <c r="D1332" t="str">
        <f>IF(MONTH(Raw_Data!B1332)&gt;=4,YEAR(Raw_Data!B1332)&amp;"-"&amp;RIGHT(YEAR(Raw_Data!B1332)+1,2),YEAR(Raw_Data!B1332)-1&amp;"-"&amp;RIGHT(YEAR(Raw_Data!B1332),2))</f>
        <v>2024-25</v>
      </c>
      <c r="E1332" t="str">
        <f>"Q"&amp;ROUNDUP(MONTH(Raw_Data!B1332)/3,0)</f>
        <v>Q4</v>
      </c>
      <c r="F1332" t="str">
        <f>TEXT(Raw_Data!B1332,"mmm")</f>
        <v>Dec</v>
      </c>
      <c r="G1332" t="str">
        <f>TEXT(Raw_Data!B1332,"ddd")</f>
        <v>Tue</v>
      </c>
      <c r="H1332" t="str">
        <f>Raw_Data!D1332</f>
        <v>Invoiced</v>
      </c>
      <c r="I1332" t="str">
        <f>Raw_Data!F1332</f>
        <v>Tele-in</v>
      </c>
      <c r="J1332" t="str">
        <f>Raw_Data!G1332</f>
        <v>Dealer Webpage Tele-In</v>
      </c>
      <c r="K1332" t="str">
        <f>IFERROR(VLOOKUP(J1332,Source_Assumptions!$A:$C,2,0),"Unmapped")</f>
        <v>Digital - Owned</v>
      </c>
      <c r="L1332" t="str">
        <f>Raw_Data!H1332</f>
        <v>5TH GEN CITY PE</v>
      </c>
      <c r="M1332" t="str">
        <f>IFERROR(VLOOKUP(L1332,Model_Assumptions!$A:$D,2,0),"Unmapped")</f>
        <v>Mid-size Sedan</v>
      </c>
      <c r="N1332" t="str">
        <f>IFERROR(VLOOKUP(L1332,Model_Assumptions!$A:$D,3,0),"Unmapped")</f>
        <v>Petrol</v>
      </c>
      <c r="O1332">
        <f>IFERROR(VLOOKUP(L1332,Model_Assumptions!$A:$D,4,0),0)</f>
        <v>1250000</v>
      </c>
      <c r="P1332">
        <f>IFERROR(VLOOKUP(J1332,Source_Assumptions!$A:$C,3,0),0)</f>
        <v>300</v>
      </c>
    </row>
    <row r="1333" spans="1:16" x14ac:dyDescent="0.3">
      <c r="A1333">
        <f>Raw_Data!A1333</f>
        <v>1332</v>
      </c>
      <c r="B1333" s="2">
        <f>Raw_Data!B1333</f>
        <v>45650.706087963001</v>
      </c>
      <c r="C1333">
        <f>YEAR(Raw_Data!B1333)</f>
        <v>2024</v>
      </c>
      <c r="D1333" t="str">
        <f>IF(MONTH(Raw_Data!B1333)&gt;=4,YEAR(Raw_Data!B1333)&amp;"-"&amp;RIGHT(YEAR(Raw_Data!B1333)+1,2),YEAR(Raw_Data!B1333)-1&amp;"-"&amp;RIGHT(YEAR(Raw_Data!B1333),2))</f>
        <v>2024-25</v>
      </c>
      <c r="E1333" t="str">
        <f>"Q"&amp;ROUNDUP(MONTH(Raw_Data!B1333)/3,0)</f>
        <v>Q4</v>
      </c>
      <c r="F1333" t="str">
        <f>TEXT(Raw_Data!B1333,"mmm")</f>
        <v>Dec</v>
      </c>
      <c r="G1333" t="str">
        <f>TEXT(Raw_Data!B1333,"ddd")</f>
        <v>Tue</v>
      </c>
      <c r="H1333" t="str">
        <f>Raw_Data!D1333</f>
        <v>Invoiced</v>
      </c>
      <c r="I1333" t="str">
        <f>Raw_Data!F1333</f>
        <v>Walk-in Showroom</v>
      </c>
      <c r="J1333" t="str">
        <f>Raw_Data!G1333</f>
        <v>Adver. (TVC/Print/Hoarding/FM)</v>
      </c>
      <c r="K1333" t="str">
        <f>IFERROR(VLOOKUP(J1333,Source_Assumptions!$A:$C,2,0),"Unmapped")</f>
        <v>Traditional Advertising</v>
      </c>
      <c r="L1333" t="str">
        <f>Raw_Data!H1333</f>
        <v>ELEVATE</v>
      </c>
      <c r="M1333" t="str">
        <f>IFERROR(VLOOKUP(L1333,Model_Assumptions!$A:$D,2,0),"Unmapped")</f>
        <v>Compact SUV</v>
      </c>
      <c r="N1333" t="str">
        <f>IFERROR(VLOOKUP(L1333,Model_Assumptions!$A:$D,3,0),"Unmapped")</f>
        <v>Petrol</v>
      </c>
      <c r="O1333">
        <f>IFERROR(VLOOKUP(L1333,Model_Assumptions!$A:$D,4,0),0)</f>
        <v>1300000</v>
      </c>
      <c r="P1333">
        <f>IFERROR(VLOOKUP(J1333,Source_Assumptions!$A:$C,3,0),0)</f>
        <v>1200</v>
      </c>
    </row>
    <row r="1334" spans="1:16" x14ac:dyDescent="0.3">
      <c r="A1334">
        <f>Raw_Data!A1334</f>
        <v>1333</v>
      </c>
      <c r="B1334" s="2">
        <f>Raw_Data!B1334</f>
        <v>45650.740983796299</v>
      </c>
      <c r="C1334">
        <f>YEAR(Raw_Data!B1334)</f>
        <v>2024</v>
      </c>
      <c r="D1334" t="str">
        <f>IF(MONTH(Raw_Data!B1334)&gt;=4,YEAR(Raw_Data!B1334)&amp;"-"&amp;RIGHT(YEAR(Raw_Data!B1334)+1,2),YEAR(Raw_Data!B1334)-1&amp;"-"&amp;RIGHT(YEAR(Raw_Data!B1334),2))</f>
        <v>2024-25</v>
      </c>
      <c r="E1334" t="str">
        <f>"Q"&amp;ROUNDUP(MONTH(Raw_Data!B1334)/3,0)</f>
        <v>Q4</v>
      </c>
      <c r="F1334" t="str">
        <f>TEXT(Raw_Data!B1334,"mmm")</f>
        <v>Dec</v>
      </c>
      <c r="G1334" t="str">
        <f>TEXT(Raw_Data!B1334,"ddd")</f>
        <v>Tue</v>
      </c>
      <c r="H1334" t="str">
        <f>Raw_Data!D1334</f>
        <v>Invoiced</v>
      </c>
      <c r="I1334" t="str">
        <f>Raw_Data!F1334</f>
        <v>Walk-in Showroom</v>
      </c>
      <c r="J1334" t="str">
        <f>Raw_Data!G1334</f>
        <v>Adver. (TVC/Print/Hoarding/FM)</v>
      </c>
      <c r="K1334" t="str">
        <f>IFERROR(VLOOKUP(J1334,Source_Assumptions!$A:$C,2,0),"Unmapped")</f>
        <v>Traditional Advertising</v>
      </c>
      <c r="L1334" t="str">
        <f>Raw_Data!H1334</f>
        <v>ELEVATE</v>
      </c>
      <c r="M1334" t="str">
        <f>IFERROR(VLOOKUP(L1334,Model_Assumptions!$A:$D,2,0),"Unmapped")</f>
        <v>Compact SUV</v>
      </c>
      <c r="N1334" t="str">
        <f>IFERROR(VLOOKUP(L1334,Model_Assumptions!$A:$D,3,0),"Unmapped")</f>
        <v>Petrol</v>
      </c>
      <c r="O1334">
        <f>IFERROR(VLOOKUP(L1334,Model_Assumptions!$A:$D,4,0),0)</f>
        <v>1300000</v>
      </c>
      <c r="P1334">
        <f>IFERROR(VLOOKUP(J1334,Source_Assumptions!$A:$C,3,0),0)</f>
        <v>1200</v>
      </c>
    </row>
    <row r="1335" spans="1:16" x14ac:dyDescent="0.3">
      <c r="A1335">
        <f>Raw_Data!A1335</f>
        <v>1334</v>
      </c>
      <c r="B1335" s="2">
        <f>Raw_Data!B1335</f>
        <v>45652.662187499998</v>
      </c>
      <c r="C1335">
        <f>YEAR(Raw_Data!B1335)</f>
        <v>2024</v>
      </c>
      <c r="D1335" t="str">
        <f>IF(MONTH(Raw_Data!B1335)&gt;=4,YEAR(Raw_Data!B1335)&amp;"-"&amp;RIGHT(YEAR(Raw_Data!B1335)+1,2),YEAR(Raw_Data!B1335)-1&amp;"-"&amp;RIGHT(YEAR(Raw_Data!B1335),2))</f>
        <v>2024-25</v>
      </c>
      <c r="E1335" t="str">
        <f>"Q"&amp;ROUNDUP(MONTH(Raw_Data!B1335)/3,0)</f>
        <v>Q4</v>
      </c>
      <c r="F1335" t="str">
        <f>TEXT(Raw_Data!B1335,"mmm")</f>
        <v>Dec</v>
      </c>
      <c r="G1335" t="str">
        <f>TEXT(Raw_Data!B1335,"ddd")</f>
        <v>Thu</v>
      </c>
      <c r="H1335" t="str">
        <f>Raw_Data!D1335</f>
        <v>Invoiced</v>
      </c>
      <c r="I1335" t="str">
        <f>Raw_Data!F1335</f>
        <v>Walk-in Showroom</v>
      </c>
      <c r="J1335" t="str">
        <f>Raw_Data!G1335</f>
        <v>Adver. (TVC/Print/Hoarding/FM)</v>
      </c>
      <c r="K1335" t="str">
        <f>IFERROR(VLOOKUP(J1335,Source_Assumptions!$A:$C,2,0),"Unmapped")</f>
        <v>Traditional Advertising</v>
      </c>
      <c r="L1335" t="str">
        <f>Raw_Data!H1335</f>
        <v>ELEVATE</v>
      </c>
      <c r="M1335" t="str">
        <f>IFERROR(VLOOKUP(L1335,Model_Assumptions!$A:$D,2,0),"Unmapped")</f>
        <v>Compact SUV</v>
      </c>
      <c r="N1335" t="str">
        <f>IFERROR(VLOOKUP(L1335,Model_Assumptions!$A:$D,3,0),"Unmapped")</f>
        <v>Petrol</v>
      </c>
      <c r="O1335">
        <f>IFERROR(VLOOKUP(L1335,Model_Assumptions!$A:$D,4,0),0)</f>
        <v>1300000</v>
      </c>
      <c r="P1335">
        <f>IFERROR(VLOOKUP(J1335,Source_Assumptions!$A:$C,3,0),0)</f>
        <v>1200</v>
      </c>
    </row>
    <row r="1336" spans="1:16" x14ac:dyDescent="0.3">
      <c r="A1336">
        <f>Raw_Data!A1336</f>
        <v>1335</v>
      </c>
      <c r="B1336" s="2">
        <f>Raw_Data!B1336</f>
        <v>45656.535324074102</v>
      </c>
      <c r="C1336">
        <f>YEAR(Raw_Data!B1336)</f>
        <v>2024</v>
      </c>
      <c r="D1336" t="str">
        <f>IF(MONTH(Raw_Data!B1336)&gt;=4,YEAR(Raw_Data!B1336)&amp;"-"&amp;RIGHT(YEAR(Raw_Data!B1336)+1,2),YEAR(Raw_Data!B1336)-1&amp;"-"&amp;RIGHT(YEAR(Raw_Data!B1336),2))</f>
        <v>2024-25</v>
      </c>
      <c r="E1336" t="str">
        <f>"Q"&amp;ROUNDUP(MONTH(Raw_Data!B1336)/3,0)</f>
        <v>Q4</v>
      </c>
      <c r="F1336" t="str">
        <f>TEXT(Raw_Data!B1336,"mmm")</f>
        <v>Dec</v>
      </c>
      <c r="G1336" t="str">
        <f>TEXT(Raw_Data!B1336,"ddd")</f>
        <v>Mon</v>
      </c>
      <c r="H1336" t="str">
        <f>Raw_Data!D1336</f>
        <v>Invoiced</v>
      </c>
      <c r="I1336" t="str">
        <f>Raw_Data!F1336</f>
        <v>Tele-in</v>
      </c>
      <c r="J1336" t="str">
        <f>Raw_Data!G1336</f>
        <v>Referral-CAM</v>
      </c>
      <c r="K1336" t="str">
        <f>IFERROR(VLOOKUP(J1336,Source_Assumptions!$A:$C,2,0),"Unmapped")</f>
        <v>Referral</v>
      </c>
      <c r="L1336" t="str">
        <f>Raw_Data!H1336</f>
        <v>5TH GEN CITY PE</v>
      </c>
      <c r="M1336" t="str">
        <f>IFERROR(VLOOKUP(L1336,Model_Assumptions!$A:$D,2,0),"Unmapped")</f>
        <v>Mid-size Sedan</v>
      </c>
      <c r="N1336" t="str">
        <f>IFERROR(VLOOKUP(L1336,Model_Assumptions!$A:$D,3,0),"Unmapped")</f>
        <v>Petrol</v>
      </c>
      <c r="O1336">
        <f>IFERROR(VLOOKUP(L1336,Model_Assumptions!$A:$D,4,0),0)</f>
        <v>1250000</v>
      </c>
      <c r="P1336">
        <f>IFERROR(VLOOKUP(J1336,Source_Assumptions!$A:$C,3,0),0)</f>
        <v>150</v>
      </c>
    </row>
    <row r="1337" spans="1:16" x14ac:dyDescent="0.3">
      <c r="A1337">
        <f>Raw_Data!A1337</f>
        <v>1336</v>
      </c>
      <c r="B1337" s="2">
        <f>Raw_Data!B1337</f>
        <v>45656.585694444497</v>
      </c>
      <c r="C1337">
        <f>YEAR(Raw_Data!B1337)</f>
        <v>2024</v>
      </c>
      <c r="D1337" t="str">
        <f>IF(MONTH(Raw_Data!B1337)&gt;=4,YEAR(Raw_Data!B1337)&amp;"-"&amp;RIGHT(YEAR(Raw_Data!B1337)+1,2),YEAR(Raw_Data!B1337)-1&amp;"-"&amp;RIGHT(YEAR(Raw_Data!B1337),2))</f>
        <v>2024-25</v>
      </c>
      <c r="E1337" t="str">
        <f>"Q"&amp;ROUNDUP(MONTH(Raw_Data!B1337)/3,0)</f>
        <v>Q4</v>
      </c>
      <c r="F1337" t="str">
        <f>TEXT(Raw_Data!B1337,"mmm")</f>
        <v>Dec</v>
      </c>
      <c r="G1337" t="str">
        <f>TEXT(Raw_Data!B1337,"ddd")</f>
        <v>Mon</v>
      </c>
      <c r="H1337" t="str">
        <f>Raw_Data!D1337</f>
        <v>Invoiced</v>
      </c>
      <c r="I1337" t="str">
        <f>Raw_Data!F1337</f>
        <v>Tele-in</v>
      </c>
      <c r="J1337" t="str">
        <f>Raw_Data!G1337</f>
        <v>Dealer Webpage Tele-In</v>
      </c>
      <c r="K1337" t="str">
        <f>IFERROR(VLOOKUP(J1337,Source_Assumptions!$A:$C,2,0),"Unmapped")</f>
        <v>Digital - Owned</v>
      </c>
      <c r="L1337" t="str">
        <f>Raw_Data!H1337</f>
        <v>AMAZE Petrol</v>
      </c>
      <c r="M1337" t="str">
        <f>IFERROR(VLOOKUP(L1337,Model_Assumptions!$A:$D,2,0),"Unmapped")</f>
        <v>Sub-4m Sedan</v>
      </c>
      <c r="N1337" t="str">
        <f>IFERROR(VLOOKUP(L1337,Model_Assumptions!$A:$D,3,0),"Unmapped")</f>
        <v>Petrol</v>
      </c>
      <c r="O1337">
        <f>IFERROR(VLOOKUP(L1337,Model_Assumptions!$A:$D,4,0),0)</f>
        <v>850000</v>
      </c>
      <c r="P1337">
        <f>IFERROR(VLOOKUP(J1337,Source_Assumptions!$A:$C,3,0),0)</f>
        <v>300</v>
      </c>
    </row>
    <row r="1338" spans="1:16" x14ac:dyDescent="0.3">
      <c r="A1338">
        <f>Raw_Data!A1338</f>
        <v>1337</v>
      </c>
      <c r="B1338" s="2">
        <f>Raw_Data!B1338</f>
        <v>45656.783622685201</v>
      </c>
      <c r="C1338">
        <f>YEAR(Raw_Data!B1338)</f>
        <v>2024</v>
      </c>
      <c r="D1338" t="str">
        <f>IF(MONTH(Raw_Data!B1338)&gt;=4,YEAR(Raw_Data!B1338)&amp;"-"&amp;RIGHT(YEAR(Raw_Data!B1338)+1,2),YEAR(Raw_Data!B1338)-1&amp;"-"&amp;RIGHT(YEAR(Raw_Data!B1338),2))</f>
        <v>2024-25</v>
      </c>
      <c r="E1338" t="str">
        <f>"Q"&amp;ROUNDUP(MONTH(Raw_Data!B1338)/3,0)</f>
        <v>Q4</v>
      </c>
      <c r="F1338" t="str">
        <f>TEXT(Raw_Data!B1338,"mmm")</f>
        <v>Dec</v>
      </c>
      <c r="G1338" t="str">
        <f>TEXT(Raw_Data!B1338,"ddd")</f>
        <v>Mon</v>
      </c>
      <c r="H1338" t="str">
        <f>Raw_Data!D1338</f>
        <v>Invoiced</v>
      </c>
      <c r="I1338" t="str">
        <f>Raw_Data!F1338</f>
        <v>Walk-in Showroom</v>
      </c>
      <c r="J1338" t="str">
        <f>Raw_Data!G1338</f>
        <v>Adver. (TVC/Print/Hoarding/FM)</v>
      </c>
      <c r="K1338" t="str">
        <f>IFERROR(VLOOKUP(J1338,Source_Assumptions!$A:$C,2,0),"Unmapped")</f>
        <v>Traditional Advertising</v>
      </c>
      <c r="L1338" t="str">
        <f>Raw_Data!H1338</f>
        <v>AMAZE Petrol</v>
      </c>
      <c r="M1338" t="str">
        <f>IFERROR(VLOOKUP(L1338,Model_Assumptions!$A:$D,2,0),"Unmapped")</f>
        <v>Sub-4m Sedan</v>
      </c>
      <c r="N1338" t="str">
        <f>IFERROR(VLOOKUP(L1338,Model_Assumptions!$A:$D,3,0),"Unmapped")</f>
        <v>Petrol</v>
      </c>
      <c r="O1338">
        <f>IFERROR(VLOOKUP(L1338,Model_Assumptions!$A:$D,4,0),0)</f>
        <v>850000</v>
      </c>
      <c r="P1338">
        <f>IFERROR(VLOOKUP(J1338,Source_Assumptions!$A:$C,3,0),0)</f>
        <v>1200</v>
      </c>
    </row>
    <row r="1339" spans="1:16" x14ac:dyDescent="0.3">
      <c r="A1339">
        <f>Raw_Data!A1339</f>
        <v>1338</v>
      </c>
      <c r="B1339" s="2">
        <f>Raw_Data!B1339</f>
        <v>45656.784560185202</v>
      </c>
      <c r="C1339">
        <f>YEAR(Raw_Data!B1339)</f>
        <v>2024</v>
      </c>
      <c r="D1339" t="str">
        <f>IF(MONTH(Raw_Data!B1339)&gt;=4,YEAR(Raw_Data!B1339)&amp;"-"&amp;RIGHT(YEAR(Raw_Data!B1339)+1,2),YEAR(Raw_Data!B1339)-1&amp;"-"&amp;RIGHT(YEAR(Raw_Data!B1339),2))</f>
        <v>2024-25</v>
      </c>
      <c r="E1339" t="str">
        <f>"Q"&amp;ROUNDUP(MONTH(Raw_Data!B1339)/3,0)</f>
        <v>Q4</v>
      </c>
      <c r="F1339" t="str">
        <f>TEXT(Raw_Data!B1339,"mmm")</f>
        <v>Dec</v>
      </c>
      <c r="G1339" t="str">
        <f>TEXT(Raw_Data!B1339,"ddd")</f>
        <v>Mon</v>
      </c>
      <c r="H1339" t="str">
        <f>Raw_Data!D1339</f>
        <v>Invoiced</v>
      </c>
      <c r="I1339" t="str">
        <f>Raw_Data!F1339</f>
        <v>SMS/ Tele-Out</v>
      </c>
      <c r="J1339" t="str">
        <f>Raw_Data!G1339</f>
        <v>Referral-CAM</v>
      </c>
      <c r="K1339" t="str">
        <f>IFERROR(VLOOKUP(J1339,Source_Assumptions!$A:$C,2,0),"Unmapped")</f>
        <v>Referral</v>
      </c>
      <c r="L1339" t="str">
        <f>Raw_Data!H1339</f>
        <v>AMAZE Petrol</v>
      </c>
      <c r="M1339" t="str">
        <f>IFERROR(VLOOKUP(L1339,Model_Assumptions!$A:$D,2,0),"Unmapped")</f>
        <v>Sub-4m Sedan</v>
      </c>
      <c r="N1339" t="str">
        <f>IFERROR(VLOOKUP(L1339,Model_Assumptions!$A:$D,3,0),"Unmapped")</f>
        <v>Petrol</v>
      </c>
      <c r="O1339">
        <f>IFERROR(VLOOKUP(L1339,Model_Assumptions!$A:$D,4,0),0)</f>
        <v>850000</v>
      </c>
      <c r="P1339">
        <f>IFERROR(VLOOKUP(J1339,Source_Assumptions!$A:$C,3,0),0)</f>
        <v>150</v>
      </c>
    </row>
    <row r="1340" spans="1:16" x14ac:dyDescent="0.3">
      <c r="A1340">
        <f>Raw_Data!A1340</f>
        <v>1339</v>
      </c>
      <c r="B1340" s="2">
        <f>Raw_Data!B1340</f>
        <v>45656.788240740701</v>
      </c>
      <c r="C1340">
        <f>YEAR(Raw_Data!B1340)</f>
        <v>2024</v>
      </c>
      <c r="D1340" t="str">
        <f>IF(MONTH(Raw_Data!B1340)&gt;=4,YEAR(Raw_Data!B1340)&amp;"-"&amp;RIGHT(YEAR(Raw_Data!B1340)+1,2),YEAR(Raw_Data!B1340)-1&amp;"-"&amp;RIGHT(YEAR(Raw_Data!B1340),2))</f>
        <v>2024-25</v>
      </c>
      <c r="E1340" t="str">
        <f>"Q"&amp;ROUNDUP(MONTH(Raw_Data!B1340)/3,0)</f>
        <v>Q4</v>
      </c>
      <c r="F1340" t="str">
        <f>TEXT(Raw_Data!B1340,"mmm")</f>
        <v>Dec</v>
      </c>
      <c r="G1340" t="str">
        <f>TEXT(Raw_Data!B1340,"ddd")</f>
        <v>Mon</v>
      </c>
      <c r="H1340" t="str">
        <f>Raw_Data!D1340</f>
        <v>Invoiced</v>
      </c>
      <c r="I1340" t="str">
        <f>Raw_Data!F1340</f>
        <v>Web Lead</v>
      </c>
      <c r="J1340" t="str">
        <f>Raw_Data!G1340</f>
        <v>Web_Organic</v>
      </c>
      <c r="K1340" t="str">
        <f>IFERROR(VLOOKUP(J1340,Source_Assumptions!$A:$C,2,0),"Unmapped")</f>
        <v>Digital - Organic</v>
      </c>
      <c r="L1340" t="str">
        <f>Raw_Data!H1340</f>
        <v>ELEVATE</v>
      </c>
      <c r="M1340" t="str">
        <f>IFERROR(VLOOKUP(L1340,Model_Assumptions!$A:$D,2,0),"Unmapped")</f>
        <v>Compact SUV</v>
      </c>
      <c r="N1340" t="str">
        <f>IFERROR(VLOOKUP(L1340,Model_Assumptions!$A:$D,3,0),"Unmapped")</f>
        <v>Petrol</v>
      </c>
      <c r="O1340">
        <f>IFERROR(VLOOKUP(L1340,Model_Assumptions!$A:$D,4,0),0)</f>
        <v>1300000</v>
      </c>
      <c r="P1340">
        <f>IFERROR(VLOOKUP(J1340,Source_Assumptions!$A:$C,3,0),0)</f>
        <v>100</v>
      </c>
    </row>
    <row r="1341" spans="1:16" x14ac:dyDescent="0.3">
      <c r="A1341">
        <f>Raw_Data!A1341</f>
        <v>1340</v>
      </c>
      <c r="B1341" s="2">
        <f>Raw_Data!B1341</f>
        <v>45656.795092592598</v>
      </c>
      <c r="C1341">
        <f>YEAR(Raw_Data!B1341)</f>
        <v>2024</v>
      </c>
      <c r="D1341" t="str">
        <f>IF(MONTH(Raw_Data!B1341)&gt;=4,YEAR(Raw_Data!B1341)&amp;"-"&amp;RIGHT(YEAR(Raw_Data!B1341)+1,2),YEAR(Raw_Data!B1341)-1&amp;"-"&amp;RIGHT(YEAR(Raw_Data!B1341),2))</f>
        <v>2024-25</v>
      </c>
      <c r="E1341" t="str">
        <f>"Q"&amp;ROUNDUP(MONTH(Raw_Data!B1341)/3,0)</f>
        <v>Q4</v>
      </c>
      <c r="F1341" t="str">
        <f>TEXT(Raw_Data!B1341,"mmm")</f>
        <v>Dec</v>
      </c>
      <c r="G1341" t="str">
        <f>TEXT(Raw_Data!B1341,"ddd")</f>
        <v>Mon</v>
      </c>
      <c r="H1341" t="str">
        <f>Raw_Data!D1341</f>
        <v>Invoiced</v>
      </c>
      <c r="I1341" t="str">
        <f>Raw_Data!F1341</f>
        <v>Tele-in</v>
      </c>
      <c r="J1341" t="str">
        <f>Raw_Data!G1341</f>
        <v>Dealer Webpage Tele-In</v>
      </c>
      <c r="K1341" t="str">
        <f>IFERROR(VLOOKUP(J1341,Source_Assumptions!$A:$C,2,0),"Unmapped")</f>
        <v>Digital - Owned</v>
      </c>
      <c r="L1341" t="str">
        <f>Raw_Data!H1341</f>
        <v>ELEVATE</v>
      </c>
      <c r="M1341" t="str">
        <f>IFERROR(VLOOKUP(L1341,Model_Assumptions!$A:$D,2,0),"Unmapped")</f>
        <v>Compact SUV</v>
      </c>
      <c r="N1341" t="str">
        <f>IFERROR(VLOOKUP(L1341,Model_Assumptions!$A:$D,3,0),"Unmapped")</f>
        <v>Petrol</v>
      </c>
      <c r="O1341">
        <f>IFERROR(VLOOKUP(L1341,Model_Assumptions!$A:$D,4,0),0)</f>
        <v>1300000</v>
      </c>
      <c r="P1341">
        <f>IFERROR(VLOOKUP(J1341,Source_Assumptions!$A:$C,3,0),0)</f>
        <v>300</v>
      </c>
    </row>
    <row r="1342" spans="1:16" x14ac:dyDescent="0.3">
      <c r="A1342">
        <f>Raw_Data!A1342</f>
        <v>1341</v>
      </c>
      <c r="B1342" s="2">
        <f>Raw_Data!B1342</f>
        <v>45657.859178240702</v>
      </c>
      <c r="C1342">
        <f>YEAR(Raw_Data!B1342)</f>
        <v>2024</v>
      </c>
      <c r="D1342" t="str">
        <f>IF(MONTH(Raw_Data!B1342)&gt;=4,YEAR(Raw_Data!B1342)&amp;"-"&amp;RIGHT(YEAR(Raw_Data!B1342)+1,2),YEAR(Raw_Data!B1342)-1&amp;"-"&amp;RIGHT(YEAR(Raw_Data!B1342),2))</f>
        <v>2024-25</v>
      </c>
      <c r="E1342" t="str">
        <f>"Q"&amp;ROUNDUP(MONTH(Raw_Data!B1342)/3,0)</f>
        <v>Q4</v>
      </c>
      <c r="F1342" t="str">
        <f>TEXT(Raw_Data!B1342,"mmm")</f>
        <v>Dec</v>
      </c>
      <c r="G1342" t="str">
        <f>TEXT(Raw_Data!B1342,"ddd")</f>
        <v>Tue</v>
      </c>
      <c r="H1342" t="str">
        <f>Raw_Data!D1342</f>
        <v>Invoiced</v>
      </c>
      <c r="I1342" t="str">
        <f>Raw_Data!F1342</f>
        <v>Walk-in Showroom</v>
      </c>
      <c r="J1342" t="str">
        <f>Raw_Data!G1342</f>
        <v>UIO Re-purchase</v>
      </c>
      <c r="K1342" t="str">
        <f>IFERROR(VLOOKUP(J1342,Source_Assumptions!$A:$C,2,0),"Unmapped")</f>
        <v>Existing Customer</v>
      </c>
      <c r="L1342" t="str">
        <f>Raw_Data!H1342</f>
        <v>AMAZE Petrol</v>
      </c>
      <c r="M1342" t="str">
        <f>IFERROR(VLOOKUP(L1342,Model_Assumptions!$A:$D,2,0),"Unmapped")</f>
        <v>Sub-4m Sedan</v>
      </c>
      <c r="N1342" t="str">
        <f>IFERROR(VLOOKUP(L1342,Model_Assumptions!$A:$D,3,0),"Unmapped")</f>
        <v>Petrol</v>
      </c>
      <c r="O1342">
        <f>IFERROR(VLOOKUP(L1342,Model_Assumptions!$A:$D,4,0),0)</f>
        <v>850000</v>
      </c>
      <c r="P1342">
        <f>IFERROR(VLOOKUP(J1342,Source_Assumptions!$A:$C,3,0),0)</f>
        <v>50</v>
      </c>
    </row>
    <row r="1343" spans="1:16" x14ac:dyDescent="0.3">
      <c r="A1343">
        <f>Raw_Data!A1343</f>
        <v>1342</v>
      </c>
      <c r="B1343" s="2">
        <f>Raw_Data!B1343</f>
        <v>45659.708888888897</v>
      </c>
      <c r="C1343">
        <f>YEAR(Raw_Data!B1343)</f>
        <v>2025</v>
      </c>
      <c r="D1343" t="str">
        <f>IF(MONTH(Raw_Data!B1343)&gt;=4,YEAR(Raw_Data!B1343)&amp;"-"&amp;RIGHT(YEAR(Raw_Data!B1343)+1,2),YEAR(Raw_Data!B1343)-1&amp;"-"&amp;RIGHT(YEAR(Raw_Data!B1343),2))</f>
        <v>2024-25</v>
      </c>
      <c r="E1343" t="str">
        <f>"Q"&amp;ROUNDUP(MONTH(Raw_Data!B1343)/3,0)</f>
        <v>Q1</v>
      </c>
      <c r="F1343" t="str">
        <f>TEXT(Raw_Data!B1343,"mmm")</f>
        <v>Jan</v>
      </c>
      <c r="G1343" t="str">
        <f>TEXT(Raw_Data!B1343,"ddd")</f>
        <v>Thu</v>
      </c>
      <c r="H1343" t="str">
        <f>Raw_Data!D1343</f>
        <v>Invoiced</v>
      </c>
      <c r="I1343" t="str">
        <f>Raw_Data!F1343</f>
        <v>SMS/ Tele-Out</v>
      </c>
      <c r="J1343" t="str">
        <f>Raw_Data!G1343</f>
        <v>Database Activity(Teleout/SMS)</v>
      </c>
      <c r="K1343" t="str">
        <f>IFERROR(VLOOKUP(J1343,Source_Assumptions!$A:$C,2,0),"Unmapped")</f>
        <v>Outbound/Database</v>
      </c>
      <c r="L1343" t="str">
        <f>Raw_Data!H1343</f>
        <v>5TH GEN CITY PE</v>
      </c>
      <c r="M1343" t="str">
        <f>IFERROR(VLOOKUP(L1343,Model_Assumptions!$A:$D,2,0),"Unmapped")</f>
        <v>Mid-size Sedan</v>
      </c>
      <c r="N1343" t="str">
        <f>IFERROR(VLOOKUP(L1343,Model_Assumptions!$A:$D,3,0),"Unmapped")</f>
        <v>Petrol</v>
      </c>
      <c r="O1343">
        <f>IFERROR(VLOOKUP(L1343,Model_Assumptions!$A:$D,4,0),0)</f>
        <v>1250000</v>
      </c>
      <c r="P1343">
        <f>IFERROR(VLOOKUP(J1343,Source_Assumptions!$A:$C,3,0),0)</f>
        <v>250</v>
      </c>
    </row>
    <row r="1344" spans="1:16" x14ac:dyDescent="0.3">
      <c r="A1344">
        <f>Raw_Data!A1344</f>
        <v>1343</v>
      </c>
      <c r="B1344" s="2">
        <f>Raw_Data!B1344</f>
        <v>45665.7293518519</v>
      </c>
      <c r="C1344">
        <f>YEAR(Raw_Data!B1344)</f>
        <v>2025</v>
      </c>
      <c r="D1344" t="str">
        <f>IF(MONTH(Raw_Data!B1344)&gt;=4,YEAR(Raw_Data!B1344)&amp;"-"&amp;RIGHT(YEAR(Raw_Data!B1344)+1,2),YEAR(Raw_Data!B1344)-1&amp;"-"&amp;RIGHT(YEAR(Raw_Data!B1344),2))</f>
        <v>2024-25</v>
      </c>
      <c r="E1344" t="str">
        <f>"Q"&amp;ROUNDUP(MONTH(Raw_Data!B1344)/3,0)</f>
        <v>Q1</v>
      </c>
      <c r="F1344" t="str">
        <f>TEXT(Raw_Data!B1344,"mmm")</f>
        <v>Jan</v>
      </c>
      <c r="G1344" t="str">
        <f>TEXT(Raw_Data!B1344,"ddd")</f>
        <v>Wed</v>
      </c>
      <c r="H1344" t="str">
        <f>Raw_Data!D1344</f>
        <v>Invoiced</v>
      </c>
      <c r="I1344" t="str">
        <f>Raw_Data!F1344</f>
        <v>Tele-in</v>
      </c>
      <c r="J1344" t="str">
        <f>Raw_Data!G1344</f>
        <v>Dealer Webpage Tele-In</v>
      </c>
      <c r="K1344" t="str">
        <f>IFERROR(VLOOKUP(J1344,Source_Assumptions!$A:$C,2,0),"Unmapped")</f>
        <v>Digital - Owned</v>
      </c>
      <c r="L1344" t="str">
        <f>Raw_Data!H1344</f>
        <v>ELEVATE</v>
      </c>
      <c r="M1344" t="str">
        <f>IFERROR(VLOOKUP(L1344,Model_Assumptions!$A:$D,2,0),"Unmapped")</f>
        <v>Compact SUV</v>
      </c>
      <c r="N1344" t="str">
        <f>IFERROR(VLOOKUP(L1344,Model_Assumptions!$A:$D,3,0),"Unmapped")</f>
        <v>Petrol</v>
      </c>
      <c r="O1344">
        <f>IFERROR(VLOOKUP(L1344,Model_Assumptions!$A:$D,4,0),0)</f>
        <v>1300000</v>
      </c>
      <c r="P1344">
        <f>IFERROR(VLOOKUP(J1344,Source_Assumptions!$A:$C,3,0),0)</f>
        <v>300</v>
      </c>
    </row>
    <row r="1345" spans="1:16" x14ac:dyDescent="0.3">
      <c r="A1345">
        <f>Raw_Data!A1345</f>
        <v>1344</v>
      </c>
      <c r="B1345" s="2">
        <f>Raw_Data!B1345</f>
        <v>45667.650173611102</v>
      </c>
      <c r="C1345">
        <f>YEAR(Raw_Data!B1345)</f>
        <v>2025</v>
      </c>
      <c r="D1345" t="str">
        <f>IF(MONTH(Raw_Data!B1345)&gt;=4,YEAR(Raw_Data!B1345)&amp;"-"&amp;RIGHT(YEAR(Raw_Data!B1345)+1,2),YEAR(Raw_Data!B1345)-1&amp;"-"&amp;RIGHT(YEAR(Raw_Data!B1345),2))</f>
        <v>2024-25</v>
      </c>
      <c r="E1345" t="str">
        <f>"Q"&amp;ROUNDUP(MONTH(Raw_Data!B1345)/3,0)</f>
        <v>Q1</v>
      </c>
      <c r="F1345" t="str">
        <f>TEXT(Raw_Data!B1345,"mmm")</f>
        <v>Jan</v>
      </c>
      <c r="G1345" t="str">
        <f>TEXT(Raw_Data!B1345,"ddd")</f>
        <v>Fri</v>
      </c>
      <c r="H1345" t="str">
        <f>Raw_Data!D1345</f>
        <v>Invoiced</v>
      </c>
      <c r="I1345" t="str">
        <f>Raw_Data!F1345</f>
        <v>SMS/ Tele-Out</v>
      </c>
      <c r="J1345" t="str">
        <f>Raw_Data!G1345</f>
        <v>Database Activity(Teleout/SMS)</v>
      </c>
      <c r="K1345" t="str">
        <f>IFERROR(VLOOKUP(J1345,Source_Assumptions!$A:$C,2,0),"Unmapped")</f>
        <v>Outbound/Database</v>
      </c>
      <c r="L1345" t="str">
        <f>Raw_Data!H1345</f>
        <v>AMAZE Petrol</v>
      </c>
      <c r="M1345" t="str">
        <f>IFERROR(VLOOKUP(L1345,Model_Assumptions!$A:$D,2,0),"Unmapped")</f>
        <v>Sub-4m Sedan</v>
      </c>
      <c r="N1345" t="str">
        <f>IFERROR(VLOOKUP(L1345,Model_Assumptions!$A:$D,3,0),"Unmapped")</f>
        <v>Petrol</v>
      </c>
      <c r="O1345">
        <f>IFERROR(VLOOKUP(L1345,Model_Assumptions!$A:$D,4,0),0)</f>
        <v>850000</v>
      </c>
      <c r="P1345">
        <f>IFERROR(VLOOKUP(J1345,Source_Assumptions!$A:$C,3,0),0)</f>
        <v>250</v>
      </c>
    </row>
    <row r="1346" spans="1:16" x14ac:dyDescent="0.3">
      <c r="A1346">
        <f>Raw_Data!A1346</f>
        <v>1345</v>
      </c>
      <c r="B1346" s="2">
        <f>Raw_Data!B1346</f>
        <v>45671.596828703703</v>
      </c>
      <c r="C1346">
        <f>YEAR(Raw_Data!B1346)</f>
        <v>2025</v>
      </c>
      <c r="D1346" t="str">
        <f>IF(MONTH(Raw_Data!B1346)&gt;=4,YEAR(Raw_Data!B1346)&amp;"-"&amp;RIGHT(YEAR(Raw_Data!B1346)+1,2),YEAR(Raw_Data!B1346)-1&amp;"-"&amp;RIGHT(YEAR(Raw_Data!B1346),2))</f>
        <v>2024-25</v>
      </c>
      <c r="E1346" t="str">
        <f>"Q"&amp;ROUNDUP(MONTH(Raw_Data!B1346)/3,0)</f>
        <v>Q1</v>
      </c>
      <c r="F1346" t="str">
        <f>TEXT(Raw_Data!B1346,"mmm")</f>
        <v>Jan</v>
      </c>
      <c r="G1346" t="str">
        <f>TEXT(Raw_Data!B1346,"ddd")</f>
        <v>Tue</v>
      </c>
      <c r="H1346" t="str">
        <f>Raw_Data!D1346</f>
        <v>Invoiced</v>
      </c>
      <c r="I1346" t="str">
        <f>Raw_Data!F1346</f>
        <v>Tele-in</v>
      </c>
      <c r="J1346" t="str">
        <f>Raw_Data!G1346</f>
        <v>Referral-CAM</v>
      </c>
      <c r="K1346" t="str">
        <f>IFERROR(VLOOKUP(J1346,Source_Assumptions!$A:$C,2,0),"Unmapped")</f>
        <v>Referral</v>
      </c>
      <c r="L1346" t="str">
        <f>Raw_Data!H1346</f>
        <v>AMAZE Petrol</v>
      </c>
      <c r="M1346" t="str">
        <f>IFERROR(VLOOKUP(L1346,Model_Assumptions!$A:$D,2,0),"Unmapped")</f>
        <v>Sub-4m Sedan</v>
      </c>
      <c r="N1346" t="str">
        <f>IFERROR(VLOOKUP(L1346,Model_Assumptions!$A:$D,3,0),"Unmapped")</f>
        <v>Petrol</v>
      </c>
      <c r="O1346">
        <f>IFERROR(VLOOKUP(L1346,Model_Assumptions!$A:$D,4,0),0)</f>
        <v>850000</v>
      </c>
      <c r="P1346">
        <f>IFERROR(VLOOKUP(J1346,Source_Assumptions!$A:$C,3,0),0)</f>
        <v>150</v>
      </c>
    </row>
    <row r="1347" spans="1:16" x14ac:dyDescent="0.3">
      <c r="A1347">
        <f>Raw_Data!A1347</f>
        <v>1346</v>
      </c>
      <c r="B1347" s="2">
        <f>Raw_Data!B1347</f>
        <v>45673.602847222202</v>
      </c>
      <c r="C1347">
        <f>YEAR(Raw_Data!B1347)</f>
        <v>2025</v>
      </c>
      <c r="D1347" t="str">
        <f>IF(MONTH(Raw_Data!B1347)&gt;=4,YEAR(Raw_Data!B1347)&amp;"-"&amp;RIGHT(YEAR(Raw_Data!B1347)+1,2),YEAR(Raw_Data!B1347)-1&amp;"-"&amp;RIGHT(YEAR(Raw_Data!B1347),2))</f>
        <v>2024-25</v>
      </c>
      <c r="E1347" t="str">
        <f>"Q"&amp;ROUNDUP(MONTH(Raw_Data!B1347)/3,0)</f>
        <v>Q1</v>
      </c>
      <c r="F1347" t="str">
        <f>TEXT(Raw_Data!B1347,"mmm")</f>
        <v>Jan</v>
      </c>
      <c r="G1347" t="str">
        <f>TEXT(Raw_Data!B1347,"ddd")</f>
        <v>Thu</v>
      </c>
      <c r="H1347" t="str">
        <f>Raw_Data!D1347</f>
        <v>Invoiced</v>
      </c>
      <c r="I1347" t="str">
        <f>Raw_Data!F1347</f>
        <v>Tele-in</v>
      </c>
      <c r="J1347" t="str">
        <f>Raw_Data!G1347</f>
        <v>Dealer Webpage Tele-In</v>
      </c>
      <c r="K1347" t="str">
        <f>IFERROR(VLOOKUP(J1347,Source_Assumptions!$A:$C,2,0),"Unmapped")</f>
        <v>Digital - Owned</v>
      </c>
      <c r="L1347" t="str">
        <f>Raw_Data!H1347</f>
        <v>New Amaze 3G</v>
      </c>
      <c r="M1347" t="str">
        <f>IFERROR(VLOOKUP(L1347,Model_Assumptions!$A:$D,2,0),"Unmapped")</f>
        <v>Sub-4m Sedan</v>
      </c>
      <c r="N1347" t="str">
        <f>IFERROR(VLOOKUP(L1347,Model_Assumptions!$A:$D,3,0),"Unmapped")</f>
        <v>Petrol</v>
      </c>
      <c r="O1347">
        <f>IFERROR(VLOOKUP(L1347,Model_Assumptions!$A:$D,4,0),0)</f>
        <v>950000</v>
      </c>
      <c r="P1347">
        <f>IFERROR(VLOOKUP(J1347,Source_Assumptions!$A:$C,3,0),0)</f>
        <v>300</v>
      </c>
    </row>
    <row r="1348" spans="1:16" x14ac:dyDescent="0.3">
      <c r="A1348">
        <f>Raw_Data!A1348</f>
        <v>1347</v>
      </c>
      <c r="B1348" s="2">
        <f>Raw_Data!B1348</f>
        <v>45675.674953703703</v>
      </c>
      <c r="C1348">
        <f>YEAR(Raw_Data!B1348)</f>
        <v>2025</v>
      </c>
      <c r="D1348" t="str">
        <f>IF(MONTH(Raw_Data!B1348)&gt;=4,YEAR(Raw_Data!B1348)&amp;"-"&amp;RIGHT(YEAR(Raw_Data!B1348)+1,2),YEAR(Raw_Data!B1348)-1&amp;"-"&amp;RIGHT(YEAR(Raw_Data!B1348),2))</f>
        <v>2024-25</v>
      </c>
      <c r="E1348" t="str">
        <f>"Q"&amp;ROUNDUP(MONTH(Raw_Data!B1348)/3,0)</f>
        <v>Q1</v>
      </c>
      <c r="F1348" t="str">
        <f>TEXT(Raw_Data!B1348,"mmm")</f>
        <v>Jan</v>
      </c>
      <c r="G1348" t="str">
        <f>TEXT(Raw_Data!B1348,"ddd")</f>
        <v>Sat</v>
      </c>
      <c r="H1348" t="str">
        <f>Raw_Data!D1348</f>
        <v>Invoiced</v>
      </c>
      <c r="I1348" t="str">
        <f>Raw_Data!F1348</f>
        <v>Walk-in Showroom</v>
      </c>
      <c r="J1348" t="str">
        <f>Raw_Data!G1348</f>
        <v>Referral (HC/HBLP)</v>
      </c>
      <c r="K1348" t="str">
        <f>IFERROR(VLOOKUP(J1348,Source_Assumptions!$A:$C,2,0),"Unmapped")</f>
        <v>Referral (Happy Customer)</v>
      </c>
      <c r="L1348" t="str">
        <f>Raw_Data!H1348</f>
        <v>New Amaze 3G</v>
      </c>
      <c r="M1348" t="str">
        <f>IFERROR(VLOOKUP(L1348,Model_Assumptions!$A:$D,2,0),"Unmapped")</f>
        <v>Sub-4m Sedan</v>
      </c>
      <c r="N1348" t="str">
        <f>IFERROR(VLOOKUP(L1348,Model_Assumptions!$A:$D,3,0),"Unmapped")</f>
        <v>Petrol</v>
      </c>
      <c r="O1348">
        <f>IFERROR(VLOOKUP(L1348,Model_Assumptions!$A:$D,4,0),0)</f>
        <v>950000</v>
      </c>
      <c r="P1348">
        <f>IFERROR(VLOOKUP(J1348,Source_Assumptions!$A:$C,3,0),0)</f>
        <v>100</v>
      </c>
    </row>
    <row r="1349" spans="1:16" x14ac:dyDescent="0.3">
      <c r="A1349">
        <f>Raw_Data!A1349</f>
        <v>1348</v>
      </c>
      <c r="B1349" s="2">
        <f>Raw_Data!B1349</f>
        <v>45678.576527777797</v>
      </c>
      <c r="C1349">
        <f>YEAR(Raw_Data!B1349)</f>
        <v>2025</v>
      </c>
      <c r="D1349" t="str">
        <f>IF(MONTH(Raw_Data!B1349)&gt;=4,YEAR(Raw_Data!B1349)&amp;"-"&amp;RIGHT(YEAR(Raw_Data!B1349)+1,2),YEAR(Raw_Data!B1349)-1&amp;"-"&amp;RIGHT(YEAR(Raw_Data!B1349),2))</f>
        <v>2024-25</v>
      </c>
      <c r="E1349" t="str">
        <f>"Q"&amp;ROUNDUP(MONTH(Raw_Data!B1349)/3,0)</f>
        <v>Q1</v>
      </c>
      <c r="F1349" t="str">
        <f>TEXT(Raw_Data!B1349,"mmm")</f>
        <v>Jan</v>
      </c>
      <c r="G1349" t="str">
        <f>TEXT(Raw_Data!B1349,"ddd")</f>
        <v>Tue</v>
      </c>
      <c r="H1349" t="str">
        <f>Raw_Data!D1349</f>
        <v>Invoiced</v>
      </c>
      <c r="I1349" t="str">
        <f>Raw_Data!F1349</f>
        <v>Tele-in</v>
      </c>
      <c r="J1349" t="str">
        <f>Raw_Data!G1349</f>
        <v>Referral-CAM</v>
      </c>
      <c r="K1349" t="str">
        <f>IFERROR(VLOOKUP(J1349,Source_Assumptions!$A:$C,2,0),"Unmapped")</f>
        <v>Referral</v>
      </c>
      <c r="L1349" t="str">
        <f>Raw_Data!H1349</f>
        <v>New Amaze 3G</v>
      </c>
      <c r="M1349" t="str">
        <f>IFERROR(VLOOKUP(L1349,Model_Assumptions!$A:$D,2,0),"Unmapped")</f>
        <v>Sub-4m Sedan</v>
      </c>
      <c r="N1349" t="str">
        <f>IFERROR(VLOOKUP(L1349,Model_Assumptions!$A:$D,3,0),"Unmapped")</f>
        <v>Petrol</v>
      </c>
      <c r="O1349">
        <f>IFERROR(VLOOKUP(L1349,Model_Assumptions!$A:$D,4,0),0)</f>
        <v>950000</v>
      </c>
      <c r="P1349">
        <f>IFERROR(VLOOKUP(J1349,Source_Assumptions!$A:$C,3,0),0)</f>
        <v>150</v>
      </c>
    </row>
    <row r="1350" spans="1:16" x14ac:dyDescent="0.3">
      <c r="A1350">
        <f>Raw_Data!A1350</f>
        <v>1349</v>
      </c>
      <c r="B1350" s="2">
        <f>Raw_Data!B1350</f>
        <v>45678.735868055599</v>
      </c>
      <c r="C1350">
        <f>YEAR(Raw_Data!B1350)</f>
        <v>2025</v>
      </c>
      <c r="D1350" t="str">
        <f>IF(MONTH(Raw_Data!B1350)&gt;=4,YEAR(Raw_Data!B1350)&amp;"-"&amp;RIGHT(YEAR(Raw_Data!B1350)+1,2),YEAR(Raw_Data!B1350)-1&amp;"-"&amp;RIGHT(YEAR(Raw_Data!B1350),2))</f>
        <v>2024-25</v>
      </c>
      <c r="E1350" t="str">
        <f>"Q"&amp;ROUNDUP(MONTH(Raw_Data!B1350)/3,0)</f>
        <v>Q1</v>
      </c>
      <c r="F1350" t="str">
        <f>TEXT(Raw_Data!B1350,"mmm")</f>
        <v>Jan</v>
      </c>
      <c r="G1350" t="str">
        <f>TEXT(Raw_Data!B1350,"ddd")</f>
        <v>Tue</v>
      </c>
      <c r="H1350" t="str">
        <f>Raw_Data!D1350</f>
        <v>Invoiced</v>
      </c>
      <c r="I1350" t="str">
        <f>Raw_Data!F1350</f>
        <v>SMS/ Tele-Out</v>
      </c>
      <c r="J1350" t="str">
        <f>Raw_Data!G1350</f>
        <v>UIO Re-purchase</v>
      </c>
      <c r="K1350" t="str">
        <f>IFERROR(VLOOKUP(J1350,Source_Assumptions!$A:$C,2,0),"Unmapped")</f>
        <v>Existing Customer</v>
      </c>
      <c r="L1350" t="str">
        <f>Raw_Data!H1350</f>
        <v>New Amaze 3G</v>
      </c>
      <c r="M1350" t="str">
        <f>IFERROR(VLOOKUP(L1350,Model_Assumptions!$A:$D,2,0),"Unmapped")</f>
        <v>Sub-4m Sedan</v>
      </c>
      <c r="N1350" t="str">
        <f>IFERROR(VLOOKUP(L1350,Model_Assumptions!$A:$D,3,0),"Unmapped")</f>
        <v>Petrol</v>
      </c>
      <c r="O1350">
        <f>IFERROR(VLOOKUP(L1350,Model_Assumptions!$A:$D,4,0),0)</f>
        <v>950000</v>
      </c>
      <c r="P1350">
        <f>IFERROR(VLOOKUP(J1350,Source_Assumptions!$A:$C,3,0),0)</f>
        <v>50</v>
      </c>
    </row>
    <row r="1351" spans="1:16" x14ac:dyDescent="0.3">
      <c r="A1351">
        <f>Raw_Data!A1351</f>
        <v>1350</v>
      </c>
      <c r="B1351" s="2">
        <f>Raw_Data!B1351</f>
        <v>45679.675682870402</v>
      </c>
      <c r="C1351">
        <f>YEAR(Raw_Data!B1351)</f>
        <v>2025</v>
      </c>
      <c r="D1351" t="str">
        <f>IF(MONTH(Raw_Data!B1351)&gt;=4,YEAR(Raw_Data!B1351)&amp;"-"&amp;RIGHT(YEAR(Raw_Data!B1351)+1,2),YEAR(Raw_Data!B1351)-1&amp;"-"&amp;RIGHT(YEAR(Raw_Data!B1351),2))</f>
        <v>2024-25</v>
      </c>
      <c r="E1351" t="str">
        <f>"Q"&amp;ROUNDUP(MONTH(Raw_Data!B1351)/3,0)</f>
        <v>Q1</v>
      </c>
      <c r="F1351" t="str">
        <f>TEXT(Raw_Data!B1351,"mmm")</f>
        <v>Jan</v>
      </c>
      <c r="G1351" t="str">
        <f>TEXT(Raw_Data!B1351,"ddd")</f>
        <v>Wed</v>
      </c>
      <c r="H1351" t="str">
        <f>Raw_Data!D1351</f>
        <v>Invoiced</v>
      </c>
      <c r="I1351" t="str">
        <f>Raw_Data!F1351</f>
        <v>Tele-in</v>
      </c>
      <c r="J1351" t="str">
        <f>Raw_Data!G1351</f>
        <v>Dealer Webpage Tele-In</v>
      </c>
      <c r="K1351" t="str">
        <f>IFERROR(VLOOKUP(J1351,Source_Assumptions!$A:$C,2,0),"Unmapped")</f>
        <v>Digital - Owned</v>
      </c>
      <c r="L1351" t="str">
        <f>Raw_Data!H1351</f>
        <v>New Amaze 3G</v>
      </c>
      <c r="M1351" t="str">
        <f>IFERROR(VLOOKUP(L1351,Model_Assumptions!$A:$D,2,0),"Unmapped")</f>
        <v>Sub-4m Sedan</v>
      </c>
      <c r="N1351" t="str">
        <f>IFERROR(VLOOKUP(L1351,Model_Assumptions!$A:$D,3,0),"Unmapped")</f>
        <v>Petrol</v>
      </c>
      <c r="O1351">
        <f>IFERROR(VLOOKUP(L1351,Model_Assumptions!$A:$D,4,0),0)</f>
        <v>950000</v>
      </c>
      <c r="P1351">
        <f>IFERROR(VLOOKUP(J1351,Source_Assumptions!$A:$C,3,0),0)</f>
        <v>300</v>
      </c>
    </row>
    <row r="1352" spans="1:16" x14ac:dyDescent="0.3">
      <c r="A1352">
        <f>Raw_Data!A1352</f>
        <v>1351</v>
      </c>
      <c r="B1352" s="2">
        <f>Raw_Data!B1352</f>
        <v>45680.5441782407</v>
      </c>
      <c r="C1352">
        <f>YEAR(Raw_Data!B1352)</f>
        <v>2025</v>
      </c>
      <c r="D1352" t="str">
        <f>IF(MONTH(Raw_Data!B1352)&gt;=4,YEAR(Raw_Data!B1352)&amp;"-"&amp;RIGHT(YEAR(Raw_Data!B1352)+1,2),YEAR(Raw_Data!B1352)-1&amp;"-"&amp;RIGHT(YEAR(Raw_Data!B1352),2))</f>
        <v>2024-25</v>
      </c>
      <c r="E1352" t="str">
        <f>"Q"&amp;ROUNDUP(MONTH(Raw_Data!B1352)/3,0)</f>
        <v>Q1</v>
      </c>
      <c r="F1352" t="str">
        <f>TEXT(Raw_Data!B1352,"mmm")</f>
        <v>Jan</v>
      </c>
      <c r="G1352" t="str">
        <f>TEXT(Raw_Data!B1352,"ddd")</f>
        <v>Thu</v>
      </c>
      <c r="H1352" t="str">
        <f>Raw_Data!D1352</f>
        <v>Invoiced</v>
      </c>
      <c r="I1352" t="str">
        <f>Raw_Data!F1352</f>
        <v>Walk-in Showroom</v>
      </c>
      <c r="J1352" t="str">
        <f>Raw_Data!G1352</f>
        <v>Adver. (TVC/Print/Hoarding/FM)</v>
      </c>
      <c r="K1352" t="str">
        <f>IFERROR(VLOOKUP(J1352,Source_Assumptions!$A:$C,2,0),"Unmapped")</f>
        <v>Traditional Advertising</v>
      </c>
      <c r="L1352" t="str">
        <f>Raw_Data!H1352</f>
        <v>AMAZE Petrol</v>
      </c>
      <c r="M1352" t="str">
        <f>IFERROR(VLOOKUP(L1352,Model_Assumptions!$A:$D,2,0),"Unmapped")</f>
        <v>Sub-4m Sedan</v>
      </c>
      <c r="N1352" t="str">
        <f>IFERROR(VLOOKUP(L1352,Model_Assumptions!$A:$D,3,0),"Unmapped")</f>
        <v>Petrol</v>
      </c>
      <c r="O1352">
        <f>IFERROR(VLOOKUP(L1352,Model_Assumptions!$A:$D,4,0),0)</f>
        <v>850000</v>
      </c>
      <c r="P1352">
        <f>IFERROR(VLOOKUP(J1352,Source_Assumptions!$A:$C,3,0),0)</f>
        <v>1200</v>
      </c>
    </row>
    <row r="1353" spans="1:16" x14ac:dyDescent="0.3">
      <c r="A1353">
        <f>Raw_Data!A1353</f>
        <v>1352</v>
      </c>
      <c r="B1353" s="2">
        <f>Raw_Data!B1353</f>
        <v>45680.646180555603</v>
      </c>
      <c r="C1353">
        <f>YEAR(Raw_Data!B1353)</f>
        <v>2025</v>
      </c>
      <c r="D1353" t="str">
        <f>IF(MONTH(Raw_Data!B1353)&gt;=4,YEAR(Raw_Data!B1353)&amp;"-"&amp;RIGHT(YEAR(Raw_Data!B1353)+1,2),YEAR(Raw_Data!B1353)-1&amp;"-"&amp;RIGHT(YEAR(Raw_Data!B1353),2))</f>
        <v>2024-25</v>
      </c>
      <c r="E1353" t="str">
        <f>"Q"&amp;ROUNDUP(MONTH(Raw_Data!B1353)/3,0)</f>
        <v>Q1</v>
      </c>
      <c r="F1353" t="str">
        <f>TEXT(Raw_Data!B1353,"mmm")</f>
        <v>Jan</v>
      </c>
      <c r="G1353" t="str">
        <f>TEXT(Raw_Data!B1353,"ddd")</f>
        <v>Thu</v>
      </c>
      <c r="H1353" t="str">
        <f>Raw_Data!D1353</f>
        <v>Invoiced</v>
      </c>
      <c r="I1353" t="str">
        <f>Raw_Data!F1353</f>
        <v>Tele-in</v>
      </c>
      <c r="J1353" t="str">
        <f>Raw_Data!G1353</f>
        <v>Dealer Webpage Tele-In</v>
      </c>
      <c r="K1353" t="str">
        <f>IFERROR(VLOOKUP(J1353,Source_Assumptions!$A:$C,2,0),"Unmapped")</f>
        <v>Digital - Owned</v>
      </c>
      <c r="L1353" t="str">
        <f>Raw_Data!H1353</f>
        <v>ELEVATE</v>
      </c>
      <c r="M1353" t="str">
        <f>IFERROR(VLOOKUP(L1353,Model_Assumptions!$A:$D,2,0),"Unmapped")</f>
        <v>Compact SUV</v>
      </c>
      <c r="N1353" t="str">
        <f>IFERROR(VLOOKUP(L1353,Model_Assumptions!$A:$D,3,0),"Unmapped")</f>
        <v>Petrol</v>
      </c>
      <c r="O1353">
        <f>IFERROR(VLOOKUP(L1353,Model_Assumptions!$A:$D,4,0),0)</f>
        <v>1300000</v>
      </c>
      <c r="P1353">
        <f>IFERROR(VLOOKUP(J1353,Source_Assumptions!$A:$C,3,0),0)</f>
        <v>300</v>
      </c>
    </row>
    <row r="1354" spans="1:16" x14ac:dyDescent="0.3">
      <c r="A1354">
        <f>Raw_Data!A1354</f>
        <v>1353</v>
      </c>
      <c r="B1354" s="2">
        <f>Raw_Data!B1354</f>
        <v>45681.450578703698</v>
      </c>
      <c r="C1354">
        <f>YEAR(Raw_Data!B1354)</f>
        <v>2025</v>
      </c>
      <c r="D1354" t="str">
        <f>IF(MONTH(Raw_Data!B1354)&gt;=4,YEAR(Raw_Data!B1354)&amp;"-"&amp;RIGHT(YEAR(Raw_Data!B1354)+1,2),YEAR(Raw_Data!B1354)-1&amp;"-"&amp;RIGHT(YEAR(Raw_Data!B1354),2))</f>
        <v>2024-25</v>
      </c>
      <c r="E1354" t="str">
        <f>"Q"&amp;ROUNDUP(MONTH(Raw_Data!B1354)/3,0)</f>
        <v>Q1</v>
      </c>
      <c r="F1354" t="str">
        <f>TEXT(Raw_Data!B1354,"mmm")</f>
        <v>Jan</v>
      </c>
      <c r="G1354" t="str">
        <f>TEXT(Raw_Data!B1354,"ddd")</f>
        <v>Fri</v>
      </c>
      <c r="H1354" t="str">
        <f>Raw_Data!D1354</f>
        <v>Invoiced</v>
      </c>
      <c r="I1354" t="str">
        <f>Raw_Data!F1354</f>
        <v>Walk-in Showroom</v>
      </c>
      <c r="J1354" t="str">
        <f>Raw_Data!G1354</f>
        <v>Adver. (TVC/Print/Hoarding/FM)</v>
      </c>
      <c r="K1354" t="str">
        <f>IFERROR(VLOOKUP(J1354,Source_Assumptions!$A:$C,2,0),"Unmapped")</f>
        <v>Traditional Advertising</v>
      </c>
      <c r="L1354" t="str">
        <f>Raw_Data!H1354</f>
        <v>New Amaze 3G</v>
      </c>
      <c r="M1354" t="str">
        <f>IFERROR(VLOOKUP(L1354,Model_Assumptions!$A:$D,2,0),"Unmapped")</f>
        <v>Sub-4m Sedan</v>
      </c>
      <c r="N1354" t="str">
        <f>IFERROR(VLOOKUP(L1354,Model_Assumptions!$A:$D,3,0),"Unmapped")</f>
        <v>Petrol</v>
      </c>
      <c r="O1354">
        <f>IFERROR(VLOOKUP(L1354,Model_Assumptions!$A:$D,4,0),0)</f>
        <v>950000</v>
      </c>
      <c r="P1354">
        <f>IFERROR(VLOOKUP(J1354,Source_Assumptions!$A:$C,3,0),0)</f>
        <v>1200</v>
      </c>
    </row>
    <row r="1355" spans="1:16" x14ac:dyDescent="0.3">
      <c r="A1355">
        <f>Raw_Data!A1355</f>
        <v>1354</v>
      </c>
      <c r="B1355" s="2">
        <f>Raw_Data!B1355</f>
        <v>45681.645150463002</v>
      </c>
      <c r="C1355">
        <f>YEAR(Raw_Data!B1355)</f>
        <v>2025</v>
      </c>
      <c r="D1355" t="str">
        <f>IF(MONTH(Raw_Data!B1355)&gt;=4,YEAR(Raw_Data!B1355)&amp;"-"&amp;RIGHT(YEAR(Raw_Data!B1355)+1,2),YEAR(Raw_Data!B1355)-1&amp;"-"&amp;RIGHT(YEAR(Raw_Data!B1355),2))</f>
        <v>2024-25</v>
      </c>
      <c r="E1355" t="str">
        <f>"Q"&amp;ROUNDUP(MONTH(Raw_Data!B1355)/3,0)</f>
        <v>Q1</v>
      </c>
      <c r="F1355" t="str">
        <f>TEXT(Raw_Data!B1355,"mmm")</f>
        <v>Jan</v>
      </c>
      <c r="G1355" t="str">
        <f>TEXT(Raw_Data!B1355,"ddd")</f>
        <v>Fri</v>
      </c>
      <c r="H1355" t="str">
        <f>Raw_Data!D1355</f>
        <v>Invoiced</v>
      </c>
      <c r="I1355" t="str">
        <f>Raw_Data!F1355</f>
        <v>Web Lead</v>
      </c>
      <c r="J1355" t="str">
        <f>Raw_Data!G1355</f>
        <v>Web_Organic</v>
      </c>
      <c r="K1355" t="str">
        <f>IFERROR(VLOOKUP(J1355,Source_Assumptions!$A:$C,2,0),"Unmapped")</f>
        <v>Digital - Organic</v>
      </c>
      <c r="L1355" t="str">
        <f>Raw_Data!H1355</f>
        <v>New Amaze 3G</v>
      </c>
      <c r="M1355" t="str">
        <f>IFERROR(VLOOKUP(L1355,Model_Assumptions!$A:$D,2,0),"Unmapped")</f>
        <v>Sub-4m Sedan</v>
      </c>
      <c r="N1355" t="str">
        <f>IFERROR(VLOOKUP(L1355,Model_Assumptions!$A:$D,3,0),"Unmapped")</f>
        <v>Petrol</v>
      </c>
      <c r="O1355">
        <f>IFERROR(VLOOKUP(L1355,Model_Assumptions!$A:$D,4,0),0)</f>
        <v>950000</v>
      </c>
      <c r="P1355">
        <f>IFERROR(VLOOKUP(J1355,Source_Assumptions!$A:$C,3,0),0)</f>
        <v>100</v>
      </c>
    </row>
    <row r="1356" spans="1:16" x14ac:dyDescent="0.3">
      <c r="A1356">
        <f>Raw_Data!A1356</f>
        <v>1355</v>
      </c>
      <c r="B1356" s="2">
        <f>Raw_Data!B1356</f>
        <v>45681.704849537004</v>
      </c>
      <c r="C1356">
        <f>YEAR(Raw_Data!B1356)</f>
        <v>2025</v>
      </c>
      <c r="D1356" t="str">
        <f>IF(MONTH(Raw_Data!B1356)&gt;=4,YEAR(Raw_Data!B1356)&amp;"-"&amp;RIGHT(YEAR(Raw_Data!B1356)+1,2),YEAR(Raw_Data!B1356)-1&amp;"-"&amp;RIGHT(YEAR(Raw_Data!B1356),2))</f>
        <v>2024-25</v>
      </c>
      <c r="E1356" t="str">
        <f>"Q"&amp;ROUNDUP(MONTH(Raw_Data!B1356)/3,0)</f>
        <v>Q1</v>
      </c>
      <c r="F1356" t="str">
        <f>TEXT(Raw_Data!B1356,"mmm")</f>
        <v>Jan</v>
      </c>
      <c r="G1356" t="str">
        <f>TEXT(Raw_Data!B1356,"ddd")</f>
        <v>Fri</v>
      </c>
      <c r="H1356" t="str">
        <f>Raw_Data!D1356</f>
        <v>Invoiced</v>
      </c>
      <c r="I1356" t="str">
        <f>Raw_Data!F1356</f>
        <v>Tele-in</v>
      </c>
      <c r="J1356" t="str">
        <f>Raw_Data!G1356</f>
        <v>Referral-CAM</v>
      </c>
      <c r="K1356" t="str">
        <f>IFERROR(VLOOKUP(J1356,Source_Assumptions!$A:$C,2,0),"Unmapped")</f>
        <v>Referral</v>
      </c>
      <c r="L1356" t="str">
        <f>Raw_Data!H1356</f>
        <v>AMAZE Petrol</v>
      </c>
      <c r="M1356" t="str">
        <f>IFERROR(VLOOKUP(L1356,Model_Assumptions!$A:$D,2,0),"Unmapped")</f>
        <v>Sub-4m Sedan</v>
      </c>
      <c r="N1356" t="str">
        <f>IFERROR(VLOOKUP(L1356,Model_Assumptions!$A:$D,3,0),"Unmapped")</f>
        <v>Petrol</v>
      </c>
      <c r="O1356">
        <f>IFERROR(VLOOKUP(L1356,Model_Assumptions!$A:$D,4,0),0)</f>
        <v>850000</v>
      </c>
      <c r="P1356">
        <f>IFERROR(VLOOKUP(J1356,Source_Assumptions!$A:$C,3,0),0)</f>
        <v>150</v>
      </c>
    </row>
    <row r="1357" spans="1:16" x14ac:dyDescent="0.3">
      <c r="A1357">
        <f>Raw_Data!A1357</f>
        <v>1356</v>
      </c>
      <c r="B1357" s="2">
        <f>Raw_Data!B1357</f>
        <v>45688.670509259297</v>
      </c>
      <c r="C1357">
        <f>YEAR(Raw_Data!B1357)</f>
        <v>2025</v>
      </c>
      <c r="D1357" t="str">
        <f>IF(MONTH(Raw_Data!B1357)&gt;=4,YEAR(Raw_Data!B1357)&amp;"-"&amp;RIGHT(YEAR(Raw_Data!B1357)+1,2),YEAR(Raw_Data!B1357)-1&amp;"-"&amp;RIGHT(YEAR(Raw_Data!B1357),2))</f>
        <v>2024-25</v>
      </c>
      <c r="E1357" t="str">
        <f>"Q"&amp;ROUNDUP(MONTH(Raw_Data!B1357)/3,0)</f>
        <v>Q1</v>
      </c>
      <c r="F1357" t="str">
        <f>TEXT(Raw_Data!B1357,"mmm")</f>
        <v>Jan</v>
      </c>
      <c r="G1357" t="str">
        <f>TEXT(Raw_Data!B1357,"ddd")</f>
        <v>Fri</v>
      </c>
      <c r="H1357" t="str">
        <f>Raw_Data!D1357</f>
        <v>Invoiced</v>
      </c>
      <c r="I1357" t="str">
        <f>Raw_Data!F1357</f>
        <v>Tele-in</v>
      </c>
      <c r="J1357" t="str">
        <f>Raw_Data!G1357</f>
        <v>Dealer Webpage Tele-In</v>
      </c>
      <c r="K1357" t="str">
        <f>IFERROR(VLOOKUP(J1357,Source_Assumptions!$A:$C,2,0),"Unmapped")</f>
        <v>Digital - Owned</v>
      </c>
      <c r="L1357" t="str">
        <f>Raw_Data!H1357</f>
        <v>ELEVATE</v>
      </c>
      <c r="M1357" t="str">
        <f>IFERROR(VLOOKUP(L1357,Model_Assumptions!$A:$D,2,0),"Unmapped")</f>
        <v>Compact SUV</v>
      </c>
      <c r="N1357" t="str">
        <f>IFERROR(VLOOKUP(L1357,Model_Assumptions!$A:$D,3,0),"Unmapped")</f>
        <v>Petrol</v>
      </c>
      <c r="O1357">
        <f>IFERROR(VLOOKUP(L1357,Model_Assumptions!$A:$D,4,0),0)</f>
        <v>1300000</v>
      </c>
      <c r="P1357">
        <f>IFERROR(VLOOKUP(J1357,Source_Assumptions!$A:$C,3,0),0)</f>
        <v>300</v>
      </c>
    </row>
    <row r="1358" spans="1:16" x14ac:dyDescent="0.3">
      <c r="A1358">
        <f>Raw_Data!A1358</f>
        <v>1357</v>
      </c>
      <c r="B1358" s="2">
        <f>Raw_Data!B1358</f>
        <v>45693.737939814797</v>
      </c>
      <c r="C1358">
        <f>YEAR(Raw_Data!B1358)</f>
        <v>2025</v>
      </c>
      <c r="D1358" t="str">
        <f>IF(MONTH(Raw_Data!B1358)&gt;=4,YEAR(Raw_Data!B1358)&amp;"-"&amp;RIGHT(YEAR(Raw_Data!B1358)+1,2),YEAR(Raw_Data!B1358)-1&amp;"-"&amp;RIGHT(YEAR(Raw_Data!B1358),2))</f>
        <v>2024-25</v>
      </c>
      <c r="E1358" t="str">
        <f>"Q"&amp;ROUNDUP(MONTH(Raw_Data!B1358)/3,0)</f>
        <v>Q1</v>
      </c>
      <c r="F1358" t="str">
        <f>TEXT(Raw_Data!B1358,"mmm")</f>
        <v>Feb</v>
      </c>
      <c r="G1358" t="str">
        <f>TEXT(Raw_Data!B1358,"ddd")</f>
        <v>Wed</v>
      </c>
      <c r="H1358" t="str">
        <f>Raw_Data!D1358</f>
        <v>Invoiced</v>
      </c>
      <c r="I1358" t="str">
        <f>Raw_Data!F1358</f>
        <v>Walk-in Showroom</v>
      </c>
      <c r="J1358" t="str">
        <f>Raw_Data!G1358</f>
        <v>Referral (HC/HBLP)</v>
      </c>
      <c r="K1358" t="str">
        <f>IFERROR(VLOOKUP(J1358,Source_Assumptions!$A:$C,2,0),"Unmapped")</f>
        <v>Referral (Happy Customer)</v>
      </c>
      <c r="L1358" t="str">
        <f>Raw_Data!H1358</f>
        <v>New Amaze 3G</v>
      </c>
      <c r="M1358" t="str">
        <f>IFERROR(VLOOKUP(L1358,Model_Assumptions!$A:$D,2,0),"Unmapped")</f>
        <v>Sub-4m Sedan</v>
      </c>
      <c r="N1358" t="str">
        <f>IFERROR(VLOOKUP(L1358,Model_Assumptions!$A:$D,3,0),"Unmapped")</f>
        <v>Petrol</v>
      </c>
      <c r="O1358">
        <f>IFERROR(VLOOKUP(L1358,Model_Assumptions!$A:$D,4,0),0)</f>
        <v>950000</v>
      </c>
      <c r="P1358">
        <f>IFERROR(VLOOKUP(J1358,Source_Assumptions!$A:$C,3,0),0)</f>
        <v>100</v>
      </c>
    </row>
    <row r="1359" spans="1:16" x14ac:dyDescent="0.3">
      <c r="A1359">
        <f>Raw_Data!A1359</f>
        <v>1358</v>
      </c>
      <c r="B1359" s="2">
        <f>Raw_Data!B1359</f>
        <v>45694.610740740703</v>
      </c>
      <c r="C1359">
        <f>YEAR(Raw_Data!B1359)</f>
        <v>2025</v>
      </c>
      <c r="D1359" t="str">
        <f>IF(MONTH(Raw_Data!B1359)&gt;=4,YEAR(Raw_Data!B1359)&amp;"-"&amp;RIGHT(YEAR(Raw_Data!B1359)+1,2),YEAR(Raw_Data!B1359)-1&amp;"-"&amp;RIGHT(YEAR(Raw_Data!B1359),2))</f>
        <v>2024-25</v>
      </c>
      <c r="E1359" t="str">
        <f>"Q"&amp;ROUNDUP(MONTH(Raw_Data!B1359)/3,0)</f>
        <v>Q1</v>
      </c>
      <c r="F1359" t="str">
        <f>TEXT(Raw_Data!B1359,"mmm")</f>
        <v>Feb</v>
      </c>
      <c r="G1359" t="str">
        <f>TEXT(Raw_Data!B1359,"ddd")</f>
        <v>Thu</v>
      </c>
      <c r="H1359" t="str">
        <f>Raw_Data!D1359</f>
        <v>Invoiced</v>
      </c>
      <c r="I1359" t="str">
        <f>Raw_Data!F1359</f>
        <v>Tele-in</v>
      </c>
      <c r="J1359" t="str">
        <f>Raw_Data!G1359</f>
        <v>Database Activity(Teleout/SMS)</v>
      </c>
      <c r="K1359" t="str">
        <f>IFERROR(VLOOKUP(J1359,Source_Assumptions!$A:$C,2,0),"Unmapped")</f>
        <v>Outbound/Database</v>
      </c>
      <c r="L1359" t="str">
        <f>Raw_Data!H1359</f>
        <v>New Amaze 3G</v>
      </c>
      <c r="M1359" t="str">
        <f>IFERROR(VLOOKUP(L1359,Model_Assumptions!$A:$D,2,0),"Unmapped")</f>
        <v>Sub-4m Sedan</v>
      </c>
      <c r="N1359" t="str">
        <f>IFERROR(VLOOKUP(L1359,Model_Assumptions!$A:$D,3,0),"Unmapped")</f>
        <v>Petrol</v>
      </c>
      <c r="O1359">
        <f>IFERROR(VLOOKUP(L1359,Model_Assumptions!$A:$D,4,0),0)</f>
        <v>950000</v>
      </c>
      <c r="P1359">
        <f>IFERROR(VLOOKUP(J1359,Source_Assumptions!$A:$C,3,0),0)</f>
        <v>250</v>
      </c>
    </row>
    <row r="1360" spans="1:16" x14ac:dyDescent="0.3">
      <c r="A1360">
        <f>Raw_Data!A1360</f>
        <v>1359</v>
      </c>
      <c r="B1360" s="2">
        <f>Raw_Data!B1360</f>
        <v>45694.629039351901</v>
      </c>
      <c r="C1360">
        <f>YEAR(Raw_Data!B1360)</f>
        <v>2025</v>
      </c>
      <c r="D1360" t="str">
        <f>IF(MONTH(Raw_Data!B1360)&gt;=4,YEAR(Raw_Data!B1360)&amp;"-"&amp;RIGHT(YEAR(Raw_Data!B1360)+1,2),YEAR(Raw_Data!B1360)-1&amp;"-"&amp;RIGHT(YEAR(Raw_Data!B1360),2))</f>
        <v>2024-25</v>
      </c>
      <c r="E1360" t="str">
        <f>"Q"&amp;ROUNDUP(MONTH(Raw_Data!B1360)/3,0)</f>
        <v>Q1</v>
      </c>
      <c r="F1360" t="str">
        <f>TEXT(Raw_Data!B1360,"mmm")</f>
        <v>Feb</v>
      </c>
      <c r="G1360" t="str">
        <f>TEXT(Raw_Data!B1360,"ddd")</f>
        <v>Thu</v>
      </c>
      <c r="H1360" t="str">
        <f>Raw_Data!D1360</f>
        <v>Invoiced</v>
      </c>
      <c r="I1360" t="str">
        <f>Raw_Data!F1360</f>
        <v>SMS/ Tele-Out</v>
      </c>
      <c r="J1360" t="str">
        <f>Raw_Data!G1360</f>
        <v>Database Activity(Teleout/SMS)</v>
      </c>
      <c r="K1360" t="str">
        <f>IFERROR(VLOOKUP(J1360,Source_Assumptions!$A:$C,2,0),"Unmapped")</f>
        <v>Outbound/Database</v>
      </c>
      <c r="L1360" t="str">
        <f>Raw_Data!H1360</f>
        <v>New Amaze 3G</v>
      </c>
      <c r="M1360" t="str">
        <f>IFERROR(VLOOKUP(L1360,Model_Assumptions!$A:$D,2,0),"Unmapped")</f>
        <v>Sub-4m Sedan</v>
      </c>
      <c r="N1360" t="str">
        <f>IFERROR(VLOOKUP(L1360,Model_Assumptions!$A:$D,3,0),"Unmapped")</f>
        <v>Petrol</v>
      </c>
      <c r="O1360">
        <f>IFERROR(VLOOKUP(L1360,Model_Assumptions!$A:$D,4,0),0)</f>
        <v>950000</v>
      </c>
      <c r="P1360">
        <f>IFERROR(VLOOKUP(J1360,Source_Assumptions!$A:$C,3,0),0)</f>
        <v>250</v>
      </c>
    </row>
    <row r="1361" spans="1:16" x14ac:dyDescent="0.3">
      <c r="A1361">
        <f>Raw_Data!A1361</f>
        <v>1360</v>
      </c>
      <c r="B1361" s="2">
        <f>Raw_Data!B1361</f>
        <v>45695.5140509259</v>
      </c>
      <c r="C1361">
        <f>YEAR(Raw_Data!B1361)</f>
        <v>2025</v>
      </c>
      <c r="D1361" t="str">
        <f>IF(MONTH(Raw_Data!B1361)&gt;=4,YEAR(Raw_Data!B1361)&amp;"-"&amp;RIGHT(YEAR(Raw_Data!B1361)+1,2),YEAR(Raw_Data!B1361)-1&amp;"-"&amp;RIGHT(YEAR(Raw_Data!B1361),2))</f>
        <v>2024-25</v>
      </c>
      <c r="E1361" t="str">
        <f>"Q"&amp;ROUNDUP(MONTH(Raw_Data!B1361)/3,0)</f>
        <v>Q1</v>
      </c>
      <c r="F1361" t="str">
        <f>TEXT(Raw_Data!B1361,"mmm")</f>
        <v>Feb</v>
      </c>
      <c r="G1361" t="str">
        <f>TEXT(Raw_Data!B1361,"ddd")</f>
        <v>Fri</v>
      </c>
      <c r="H1361" t="str">
        <f>Raw_Data!D1361</f>
        <v>Invoiced</v>
      </c>
      <c r="I1361" t="str">
        <f>Raw_Data!F1361</f>
        <v>Tele-in</v>
      </c>
      <c r="J1361" t="str">
        <f>Raw_Data!G1361</f>
        <v>Dealer Webpage Tele-In</v>
      </c>
      <c r="K1361" t="str">
        <f>IFERROR(VLOOKUP(J1361,Source_Assumptions!$A:$C,2,0),"Unmapped")</f>
        <v>Digital - Owned</v>
      </c>
      <c r="L1361" t="str">
        <f>Raw_Data!H1361</f>
        <v>AMAZE Petrol</v>
      </c>
      <c r="M1361" t="str">
        <f>IFERROR(VLOOKUP(L1361,Model_Assumptions!$A:$D,2,0),"Unmapped")</f>
        <v>Sub-4m Sedan</v>
      </c>
      <c r="N1361" t="str">
        <f>IFERROR(VLOOKUP(L1361,Model_Assumptions!$A:$D,3,0),"Unmapped")</f>
        <v>Petrol</v>
      </c>
      <c r="O1361">
        <f>IFERROR(VLOOKUP(L1361,Model_Assumptions!$A:$D,4,0),0)</f>
        <v>850000</v>
      </c>
      <c r="P1361">
        <f>IFERROR(VLOOKUP(J1361,Source_Assumptions!$A:$C,3,0),0)</f>
        <v>300</v>
      </c>
    </row>
    <row r="1362" spans="1:16" x14ac:dyDescent="0.3">
      <c r="A1362">
        <f>Raw_Data!A1362</f>
        <v>1361</v>
      </c>
      <c r="B1362" s="2">
        <f>Raw_Data!B1362</f>
        <v>45696.4207060185</v>
      </c>
      <c r="C1362">
        <f>YEAR(Raw_Data!B1362)</f>
        <v>2025</v>
      </c>
      <c r="D1362" t="str">
        <f>IF(MONTH(Raw_Data!B1362)&gt;=4,YEAR(Raw_Data!B1362)&amp;"-"&amp;RIGHT(YEAR(Raw_Data!B1362)+1,2),YEAR(Raw_Data!B1362)-1&amp;"-"&amp;RIGHT(YEAR(Raw_Data!B1362),2))</f>
        <v>2024-25</v>
      </c>
      <c r="E1362" t="str">
        <f>"Q"&amp;ROUNDUP(MONTH(Raw_Data!B1362)/3,0)</f>
        <v>Q1</v>
      </c>
      <c r="F1362" t="str">
        <f>TEXT(Raw_Data!B1362,"mmm")</f>
        <v>Feb</v>
      </c>
      <c r="G1362" t="str">
        <f>TEXT(Raw_Data!B1362,"ddd")</f>
        <v>Sat</v>
      </c>
      <c r="H1362" t="str">
        <f>Raw_Data!D1362</f>
        <v>Invoiced</v>
      </c>
      <c r="I1362" t="str">
        <f>Raw_Data!F1362</f>
        <v>Web Lead</v>
      </c>
      <c r="J1362" t="str">
        <f>Raw_Data!G1362</f>
        <v>Web</v>
      </c>
      <c r="K1362" t="str">
        <f>IFERROR(VLOOKUP(J1362,Source_Assumptions!$A:$C,2,0),"Unmapped")</f>
        <v>Digital - Owned</v>
      </c>
      <c r="L1362" t="str">
        <f>Raw_Data!H1362</f>
        <v>ELEVATE</v>
      </c>
      <c r="M1362" t="str">
        <f>IFERROR(VLOOKUP(L1362,Model_Assumptions!$A:$D,2,0),"Unmapped")</f>
        <v>Compact SUV</v>
      </c>
      <c r="N1362" t="str">
        <f>IFERROR(VLOOKUP(L1362,Model_Assumptions!$A:$D,3,0),"Unmapped")</f>
        <v>Petrol</v>
      </c>
      <c r="O1362">
        <f>IFERROR(VLOOKUP(L1362,Model_Assumptions!$A:$D,4,0),0)</f>
        <v>1300000</v>
      </c>
      <c r="P1362">
        <f>IFERROR(VLOOKUP(J1362,Source_Assumptions!$A:$C,3,0),0)</f>
        <v>300</v>
      </c>
    </row>
    <row r="1363" spans="1:16" x14ac:dyDescent="0.3">
      <c r="A1363">
        <f>Raw_Data!A1363</f>
        <v>1362</v>
      </c>
      <c r="B1363" s="2">
        <f>Raw_Data!B1363</f>
        <v>45698.580543981501</v>
      </c>
      <c r="C1363">
        <f>YEAR(Raw_Data!B1363)</f>
        <v>2025</v>
      </c>
      <c r="D1363" t="str">
        <f>IF(MONTH(Raw_Data!B1363)&gt;=4,YEAR(Raw_Data!B1363)&amp;"-"&amp;RIGHT(YEAR(Raw_Data!B1363)+1,2),YEAR(Raw_Data!B1363)-1&amp;"-"&amp;RIGHT(YEAR(Raw_Data!B1363),2))</f>
        <v>2024-25</v>
      </c>
      <c r="E1363" t="str">
        <f>"Q"&amp;ROUNDUP(MONTH(Raw_Data!B1363)/3,0)</f>
        <v>Q1</v>
      </c>
      <c r="F1363" t="str">
        <f>TEXT(Raw_Data!B1363,"mmm")</f>
        <v>Feb</v>
      </c>
      <c r="G1363" t="str">
        <f>TEXT(Raw_Data!B1363,"ddd")</f>
        <v>Mon</v>
      </c>
      <c r="H1363" t="str">
        <f>Raw_Data!D1363</f>
        <v>Invoiced</v>
      </c>
      <c r="I1363" t="str">
        <f>Raw_Data!F1363</f>
        <v>Walk-in Showroom</v>
      </c>
      <c r="J1363" t="str">
        <f>Raw_Data!G1363</f>
        <v>Adver. (TVC/Print/Hoarding/FM)</v>
      </c>
      <c r="K1363" t="str">
        <f>IFERROR(VLOOKUP(J1363,Source_Assumptions!$A:$C,2,0),"Unmapped")</f>
        <v>Traditional Advertising</v>
      </c>
      <c r="L1363" t="str">
        <f>Raw_Data!H1363</f>
        <v>New Amaze 3G</v>
      </c>
      <c r="M1363" t="str">
        <f>IFERROR(VLOOKUP(L1363,Model_Assumptions!$A:$D,2,0),"Unmapped")</f>
        <v>Sub-4m Sedan</v>
      </c>
      <c r="N1363" t="str">
        <f>IFERROR(VLOOKUP(L1363,Model_Assumptions!$A:$D,3,0),"Unmapped")</f>
        <v>Petrol</v>
      </c>
      <c r="O1363">
        <f>IFERROR(VLOOKUP(L1363,Model_Assumptions!$A:$D,4,0),0)</f>
        <v>950000</v>
      </c>
      <c r="P1363">
        <f>IFERROR(VLOOKUP(J1363,Source_Assumptions!$A:$C,3,0),0)</f>
        <v>1200</v>
      </c>
    </row>
    <row r="1364" spans="1:16" x14ac:dyDescent="0.3">
      <c r="A1364">
        <f>Raw_Data!A1364</f>
        <v>1363</v>
      </c>
      <c r="B1364" s="2">
        <f>Raw_Data!B1364</f>
        <v>45698.590729166703</v>
      </c>
      <c r="C1364">
        <f>YEAR(Raw_Data!B1364)</f>
        <v>2025</v>
      </c>
      <c r="D1364" t="str">
        <f>IF(MONTH(Raw_Data!B1364)&gt;=4,YEAR(Raw_Data!B1364)&amp;"-"&amp;RIGHT(YEAR(Raw_Data!B1364)+1,2),YEAR(Raw_Data!B1364)-1&amp;"-"&amp;RIGHT(YEAR(Raw_Data!B1364),2))</f>
        <v>2024-25</v>
      </c>
      <c r="E1364" t="str">
        <f>"Q"&amp;ROUNDUP(MONTH(Raw_Data!B1364)/3,0)</f>
        <v>Q1</v>
      </c>
      <c r="F1364" t="str">
        <f>TEXT(Raw_Data!B1364,"mmm")</f>
        <v>Feb</v>
      </c>
      <c r="G1364" t="str">
        <f>TEXT(Raw_Data!B1364,"ddd")</f>
        <v>Mon</v>
      </c>
      <c r="H1364" t="str">
        <f>Raw_Data!D1364</f>
        <v>Invoiced</v>
      </c>
      <c r="I1364" t="str">
        <f>Raw_Data!F1364</f>
        <v>Tele-in</v>
      </c>
      <c r="J1364" t="str">
        <f>Raw_Data!G1364</f>
        <v>Dealer Webpage Tele-In</v>
      </c>
      <c r="K1364" t="str">
        <f>IFERROR(VLOOKUP(J1364,Source_Assumptions!$A:$C,2,0),"Unmapped")</f>
        <v>Digital - Owned</v>
      </c>
      <c r="L1364" t="str">
        <f>Raw_Data!H1364</f>
        <v>New Amaze 3G</v>
      </c>
      <c r="M1364" t="str">
        <f>IFERROR(VLOOKUP(L1364,Model_Assumptions!$A:$D,2,0),"Unmapped")</f>
        <v>Sub-4m Sedan</v>
      </c>
      <c r="N1364" t="str">
        <f>IFERROR(VLOOKUP(L1364,Model_Assumptions!$A:$D,3,0),"Unmapped")</f>
        <v>Petrol</v>
      </c>
      <c r="O1364">
        <f>IFERROR(VLOOKUP(L1364,Model_Assumptions!$A:$D,4,0),0)</f>
        <v>950000</v>
      </c>
      <c r="P1364">
        <f>IFERROR(VLOOKUP(J1364,Source_Assumptions!$A:$C,3,0),0)</f>
        <v>300</v>
      </c>
    </row>
    <row r="1365" spans="1:16" x14ac:dyDescent="0.3">
      <c r="A1365">
        <f>Raw_Data!A1365</f>
        <v>1364</v>
      </c>
      <c r="B1365" s="2">
        <f>Raw_Data!B1365</f>
        <v>45699.682083333297</v>
      </c>
      <c r="C1365">
        <f>YEAR(Raw_Data!B1365)</f>
        <v>2025</v>
      </c>
      <c r="D1365" t="str">
        <f>IF(MONTH(Raw_Data!B1365)&gt;=4,YEAR(Raw_Data!B1365)&amp;"-"&amp;RIGHT(YEAR(Raw_Data!B1365)+1,2),YEAR(Raw_Data!B1365)-1&amp;"-"&amp;RIGHT(YEAR(Raw_Data!B1365),2))</f>
        <v>2024-25</v>
      </c>
      <c r="E1365" t="str">
        <f>"Q"&amp;ROUNDUP(MONTH(Raw_Data!B1365)/3,0)</f>
        <v>Q1</v>
      </c>
      <c r="F1365" t="str">
        <f>TEXT(Raw_Data!B1365,"mmm")</f>
        <v>Feb</v>
      </c>
      <c r="G1365" t="str">
        <f>TEXT(Raw_Data!B1365,"ddd")</f>
        <v>Tue</v>
      </c>
      <c r="H1365" t="str">
        <f>Raw_Data!D1365</f>
        <v>Invoiced</v>
      </c>
      <c r="I1365" t="str">
        <f>Raw_Data!F1365</f>
        <v>Tele-in</v>
      </c>
      <c r="J1365" t="str">
        <f>Raw_Data!G1365</f>
        <v>Referral-CAM</v>
      </c>
      <c r="K1365" t="str">
        <f>IFERROR(VLOOKUP(J1365,Source_Assumptions!$A:$C,2,0),"Unmapped")</f>
        <v>Referral</v>
      </c>
      <c r="L1365" t="str">
        <f>Raw_Data!H1365</f>
        <v>ELEVATE</v>
      </c>
      <c r="M1365" t="str">
        <f>IFERROR(VLOOKUP(L1365,Model_Assumptions!$A:$D,2,0),"Unmapped")</f>
        <v>Compact SUV</v>
      </c>
      <c r="N1365" t="str">
        <f>IFERROR(VLOOKUP(L1365,Model_Assumptions!$A:$D,3,0),"Unmapped")</f>
        <v>Petrol</v>
      </c>
      <c r="O1365">
        <f>IFERROR(VLOOKUP(L1365,Model_Assumptions!$A:$D,4,0),0)</f>
        <v>1300000</v>
      </c>
      <c r="P1365">
        <f>IFERROR(VLOOKUP(J1365,Source_Assumptions!$A:$C,3,0),0)</f>
        <v>150</v>
      </c>
    </row>
    <row r="1366" spans="1:16" x14ac:dyDescent="0.3">
      <c r="A1366">
        <f>Raw_Data!A1366</f>
        <v>1365</v>
      </c>
      <c r="B1366" s="2">
        <f>Raw_Data!B1366</f>
        <v>45701.7028587963</v>
      </c>
      <c r="C1366">
        <f>YEAR(Raw_Data!B1366)</f>
        <v>2025</v>
      </c>
      <c r="D1366" t="str">
        <f>IF(MONTH(Raw_Data!B1366)&gt;=4,YEAR(Raw_Data!B1366)&amp;"-"&amp;RIGHT(YEAR(Raw_Data!B1366)+1,2),YEAR(Raw_Data!B1366)-1&amp;"-"&amp;RIGHT(YEAR(Raw_Data!B1366),2))</f>
        <v>2024-25</v>
      </c>
      <c r="E1366" t="str">
        <f>"Q"&amp;ROUNDUP(MONTH(Raw_Data!B1366)/3,0)</f>
        <v>Q1</v>
      </c>
      <c r="F1366" t="str">
        <f>TEXT(Raw_Data!B1366,"mmm")</f>
        <v>Feb</v>
      </c>
      <c r="G1366" t="str">
        <f>TEXT(Raw_Data!B1366,"ddd")</f>
        <v>Thu</v>
      </c>
      <c r="H1366" t="str">
        <f>Raw_Data!D1366</f>
        <v>Invoiced</v>
      </c>
      <c r="I1366" t="str">
        <f>Raw_Data!F1366</f>
        <v>Web Lead</v>
      </c>
      <c r="J1366" t="str">
        <f>Raw_Data!G1366</f>
        <v>Web_Organic</v>
      </c>
      <c r="K1366" t="str">
        <f>IFERROR(VLOOKUP(J1366,Source_Assumptions!$A:$C,2,0),"Unmapped")</f>
        <v>Digital - Organic</v>
      </c>
      <c r="L1366" t="str">
        <f>Raw_Data!H1366</f>
        <v>ELEVATE</v>
      </c>
      <c r="M1366" t="str">
        <f>IFERROR(VLOOKUP(L1366,Model_Assumptions!$A:$D,2,0),"Unmapped")</f>
        <v>Compact SUV</v>
      </c>
      <c r="N1366" t="str">
        <f>IFERROR(VLOOKUP(L1366,Model_Assumptions!$A:$D,3,0),"Unmapped")</f>
        <v>Petrol</v>
      </c>
      <c r="O1366">
        <f>IFERROR(VLOOKUP(L1366,Model_Assumptions!$A:$D,4,0),0)</f>
        <v>1300000</v>
      </c>
      <c r="P1366">
        <f>IFERROR(VLOOKUP(J1366,Source_Assumptions!$A:$C,3,0),0)</f>
        <v>100</v>
      </c>
    </row>
    <row r="1367" spans="1:16" x14ac:dyDescent="0.3">
      <c r="A1367">
        <f>Raw_Data!A1367</f>
        <v>1366</v>
      </c>
      <c r="B1367" s="2">
        <f>Raw_Data!B1367</f>
        <v>45702.411793981497</v>
      </c>
      <c r="C1367">
        <f>YEAR(Raw_Data!B1367)</f>
        <v>2025</v>
      </c>
      <c r="D1367" t="str">
        <f>IF(MONTH(Raw_Data!B1367)&gt;=4,YEAR(Raw_Data!B1367)&amp;"-"&amp;RIGHT(YEAR(Raw_Data!B1367)+1,2),YEAR(Raw_Data!B1367)-1&amp;"-"&amp;RIGHT(YEAR(Raw_Data!B1367),2))</f>
        <v>2024-25</v>
      </c>
      <c r="E1367" t="str">
        <f>"Q"&amp;ROUNDUP(MONTH(Raw_Data!B1367)/3,0)</f>
        <v>Q1</v>
      </c>
      <c r="F1367" t="str">
        <f>TEXT(Raw_Data!B1367,"mmm")</f>
        <v>Feb</v>
      </c>
      <c r="G1367" t="str">
        <f>TEXT(Raw_Data!B1367,"ddd")</f>
        <v>Fri</v>
      </c>
      <c r="H1367" t="str">
        <f>Raw_Data!D1367</f>
        <v>Invoiced</v>
      </c>
      <c r="I1367" t="str">
        <f>Raw_Data!F1367</f>
        <v>Tele-in</v>
      </c>
      <c r="J1367" t="str">
        <f>Raw_Data!G1367</f>
        <v>Dealer Webpage Tele-In</v>
      </c>
      <c r="K1367" t="str">
        <f>IFERROR(VLOOKUP(J1367,Source_Assumptions!$A:$C,2,0),"Unmapped")</f>
        <v>Digital - Owned</v>
      </c>
      <c r="L1367" t="str">
        <f>Raw_Data!H1367</f>
        <v>AMAZE Petrol</v>
      </c>
      <c r="M1367" t="str">
        <f>IFERROR(VLOOKUP(L1367,Model_Assumptions!$A:$D,2,0),"Unmapped")</f>
        <v>Sub-4m Sedan</v>
      </c>
      <c r="N1367" t="str">
        <f>IFERROR(VLOOKUP(L1367,Model_Assumptions!$A:$D,3,0),"Unmapped")</f>
        <v>Petrol</v>
      </c>
      <c r="O1367">
        <f>IFERROR(VLOOKUP(L1367,Model_Assumptions!$A:$D,4,0),0)</f>
        <v>850000</v>
      </c>
      <c r="P1367">
        <f>IFERROR(VLOOKUP(J1367,Source_Assumptions!$A:$C,3,0),0)</f>
        <v>300</v>
      </c>
    </row>
    <row r="1368" spans="1:16" x14ac:dyDescent="0.3">
      <c r="A1368">
        <f>Raw_Data!A1368</f>
        <v>1367</v>
      </c>
      <c r="B1368" s="2">
        <f>Raw_Data!B1368</f>
        <v>45702.437106481499</v>
      </c>
      <c r="C1368">
        <f>YEAR(Raw_Data!B1368)</f>
        <v>2025</v>
      </c>
      <c r="D1368" t="str">
        <f>IF(MONTH(Raw_Data!B1368)&gt;=4,YEAR(Raw_Data!B1368)&amp;"-"&amp;RIGHT(YEAR(Raw_Data!B1368)+1,2),YEAR(Raw_Data!B1368)-1&amp;"-"&amp;RIGHT(YEAR(Raw_Data!B1368),2))</f>
        <v>2024-25</v>
      </c>
      <c r="E1368" t="str">
        <f>"Q"&amp;ROUNDUP(MONTH(Raw_Data!B1368)/3,0)</f>
        <v>Q1</v>
      </c>
      <c r="F1368" t="str">
        <f>TEXT(Raw_Data!B1368,"mmm")</f>
        <v>Feb</v>
      </c>
      <c r="G1368" t="str">
        <f>TEXT(Raw_Data!B1368,"ddd")</f>
        <v>Fri</v>
      </c>
      <c r="H1368" t="str">
        <f>Raw_Data!D1368</f>
        <v>Invoiced</v>
      </c>
      <c r="I1368" t="str">
        <f>Raw_Data!F1368</f>
        <v>Walk-in Showroom</v>
      </c>
      <c r="J1368" t="str">
        <f>Raw_Data!G1368</f>
        <v>Service Visit</v>
      </c>
      <c r="K1368" t="str">
        <f>IFERROR(VLOOKUP(J1368,Source_Assumptions!$A:$C,2,0),"Unmapped")</f>
        <v>Existing Customer</v>
      </c>
      <c r="L1368" t="str">
        <f>Raw_Data!H1368</f>
        <v>New Amaze 3G</v>
      </c>
      <c r="M1368" t="str">
        <f>IFERROR(VLOOKUP(L1368,Model_Assumptions!$A:$D,2,0),"Unmapped")</f>
        <v>Sub-4m Sedan</v>
      </c>
      <c r="N1368" t="str">
        <f>IFERROR(VLOOKUP(L1368,Model_Assumptions!$A:$D,3,0),"Unmapped")</f>
        <v>Petrol</v>
      </c>
      <c r="O1368">
        <f>IFERROR(VLOOKUP(L1368,Model_Assumptions!$A:$D,4,0),0)</f>
        <v>950000</v>
      </c>
      <c r="P1368">
        <f>IFERROR(VLOOKUP(J1368,Source_Assumptions!$A:$C,3,0),0)</f>
        <v>50</v>
      </c>
    </row>
    <row r="1369" spans="1:16" x14ac:dyDescent="0.3">
      <c r="A1369">
        <f>Raw_Data!A1369</f>
        <v>1368</v>
      </c>
      <c r="B1369" s="2">
        <f>Raw_Data!B1369</f>
        <v>45703.520185185203</v>
      </c>
      <c r="C1369">
        <f>YEAR(Raw_Data!B1369)</f>
        <v>2025</v>
      </c>
      <c r="D1369" t="str">
        <f>IF(MONTH(Raw_Data!B1369)&gt;=4,YEAR(Raw_Data!B1369)&amp;"-"&amp;RIGHT(YEAR(Raw_Data!B1369)+1,2),YEAR(Raw_Data!B1369)-1&amp;"-"&amp;RIGHT(YEAR(Raw_Data!B1369),2))</f>
        <v>2024-25</v>
      </c>
      <c r="E1369" t="str">
        <f>"Q"&amp;ROUNDUP(MONTH(Raw_Data!B1369)/3,0)</f>
        <v>Q1</v>
      </c>
      <c r="F1369" t="str">
        <f>TEXT(Raw_Data!B1369,"mmm")</f>
        <v>Feb</v>
      </c>
      <c r="G1369" t="str">
        <f>TEXT(Raw_Data!B1369,"ddd")</f>
        <v>Sat</v>
      </c>
      <c r="H1369" t="str">
        <f>Raw_Data!D1369</f>
        <v>Invoiced</v>
      </c>
      <c r="I1369" t="str">
        <f>Raw_Data!F1369</f>
        <v>Walk-in Showroom</v>
      </c>
      <c r="J1369" t="str">
        <f>Raw_Data!G1369</f>
        <v>Referral (HC/HBLP)</v>
      </c>
      <c r="K1369" t="str">
        <f>IFERROR(VLOOKUP(J1369,Source_Assumptions!$A:$C,2,0),"Unmapped")</f>
        <v>Referral (Happy Customer)</v>
      </c>
      <c r="L1369" t="str">
        <f>Raw_Data!H1369</f>
        <v>ELEVATE</v>
      </c>
      <c r="M1369" t="str">
        <f>IFERROR(VLOOKUP(L1369,Model_Assumptions!$A:$D,2,0),"Unmapped")</f>
        <v>Compact SUV</v>
      </c>
      <c r="N1369" t="str">
        <f>IFERROR(VLOOKUP(L1369,Model_Assumptions!$A:$D,3,0),"Unmapped")</f>
        <v>Petrol</v>
      </c>
      <c r="O1369">
        <f>IFERROR(VLOOKUP(L1369,Model_Assumptions!$A:$D,4,0),0)</f>
        <v>1300000</v>
      </c>
      <c r="P1369">
        <f>IFERROR(VLOOKUP(J1369,Source_Assumptions!$A:$C,3,0),0)</f>
        <v>100</v>
      </c>
    </row>
    <row r="1370" spans="1:16" x14ac:dyDescent="0.3">
      <c r="A1370">
        <f>Raw_Data!A1370</f>
        <v>1369</v>
      </c>
      <c r="B1370" s="2">
        <f>Raw_Data!B1370</f>
        <v>45706.515474537002</v>
      </c>
      <c r="C1370">
        <f>YEAR(Raw_Data!B1370)</f>
        <v>2025</v>
      </c>
      <c r="D1370" t="str">
        <f>IF(MONTH(Raw_Data!B1370)&gt;=4,YEAR(Raw_Data!B1370)&amp;"-"&amp;RIGHT(YEAR(Raw_Data!B1370)+1,2),YEAR(Raw_Data!B1370)-1&amp;"-"&amp;RIGHT(YEAR(Raw_Data!B1370),2))</f>
        <v>2024-25</v>
      </c>
      <c r="E1370" t="str">
        <f>"Q"&amp;ROUNDUP(MONTH(Raw_Data!B1370)/3,0)</f>
        <v>Q1</v>
      </c>
      <c r="F1370" t="str">
        <f>TEXT(Raw_Data!B1370,"mmm")</f>
        <v>Feb</v>
      </c>
      <c r="G1370" t="str">
        <f>TEXT(Raw_Data!B1370,"ddd")</f>
        <v>Tue</v>
      </c>
      <c r="H1370" t="str">
        <f>Raw_Data!D1370</f>
        <v>Invoiced</v>
      </c>
      <c r="I1370" t="str">
        <f>Raw_Data!F1370</f>
        <v>Tele-in</v>
      </c>
      <c r="J1370" t="str">
        <f>Raw_Data!G1370</f>
        <v>Dealer Webpage Tele-In</v>
      </c>
      <c r="K1370" t="str">
        <f>IFERROR(VLOOKUP(J1370,Source_Assumptions!$A:$C,2,0),"Unmapped")</f>
        <v>Digital - Owned</v>
      </c>
      <c r="L1370" t="str">
        <f>Raw_Data!H1370</f>
        <v>New Amaze 3G</v>
      </c>
      <c r="M1370" t="str">
        <f>IFERROR(VLOOKUP(L1370,Model_Assumptions!$A:$D,2,0),"Unmapped")</f>
        <v>Sub-4m Sedan</v>
      </c>
      <c r="N1370" t="str">
        <f>IFERROR(VLOOKUP(L1370,Model_Assumptions!$A:$D,3,0),"Unmapped")</f>
        <v>Petrol</v>
      </c>
      <c r="O1370">
        <f>IFERROR(VLOOKUP(L1370,Model_Assumptions!$A:$D,4,0),0)</f>
        <v>950000</v>
      </c>
      <c r="P1370">
        <f>IFERROR(VLOOKUP(J1370,Source_Assumptions!$A:$C,3,0),0)</f>
        <v>300</v>
      </c>
    </row>
    <row r="1371" spans="1:16" x14ac:dyDescent="0.3">
      <c r="A1371">
        <f>Raw_Data!A1371</f>
        <v>1370</v>
      </c>
      <c r="B1371" s="2">
        <f>Raw_Data!B1371</f>
        <v>45706.732685185198</v>
      </c>
      <c r="C1371">
        <f>YEAR(Raw_Data!B1371)</f>
        <v>2025</v>
      </c>
      <c r="D1371" t="str">
        <f>IF(MONTH(Raw_Data!B1371)&gt;=4,YEAR(Raw_Data!B1371)&amp;"-"&amp;RIGHT(YEAR(Raw_Data!B1371)+1,2),YEAR(Raw_Data!B1371)-1&amp;"-"&amp;RIGHT(YEAR(Raw_Data!B1371),2))</f>
        <v>2024-25</v>
      </c>
      <c r="E1371" t="str">
        <f>"Q"&amp;ROUNDUP(MONTH(Raw_Data!B1371)/3,0)</f>
        <v>Q1</v>
      </c>
      <c r="F1371" t="str">
        <f>TEXT(Raw_Data!B1371,"mmm")</f>
        <v>Feb</v>
      </c>
      <c r="G1371" t="str">
        <f>TEXT(Raw_Data!B1371,"ddd")</f>
        <v>Tue</v>
      </c>
      <c r="H1371" t="str">
        <f>Raw_Data!D1371</f>
        <v>Invoiced</v>
      </c>
      <c r="I1371" t="str">
        <f>Raw_Data!F1371</f>
        <v>Walk-in Showroom</v>
      </c>
      <c r="J1371" t="str">
        <f>Raw_Data!G1371</f>
        <v>Referral-CAM</v>
      </c>
      <c r="K1371" t="str">
        <f>IFERROR(VLOOKUP(J1371,Source_Assumptions!$A:$C,2,0),"Unmapped")</f>
        <v>Referral</v>
      </c>
      <c r="L1371" t="str">
        <f>Raw_Data!H1371</f>
        <v>5TH GEN CITY PE</v>
      </c>
      <c r="M1371" t="str">
        <f>IFERROR(VLOOKUP(L1371,Model_Assumptions!$A:$D,2,0),"Unmapped")</f>
        <v>Mid-size Sedan</v>
      </c>
      <c r="N1371" t="str">
        <f>IFERROR(VLOOKUP(L1371,Model_Assumptions!$A:$D,3,0),"Unmapped")</f>
        <v>Petrol</v>
      </c>
      <c r="O1371">
        <f>IFERROR(VLOOKUP(L1371,Model_Assumptions!$A:$D,4,0),0)</f>
        <v>1250000</v>
      </c>
      <c r="P1371">
        <f>IFERROR(VLOOKUP(J1371,Source_Assumptions!$A:$C,3,0),0)</f>
        <v>150</v>
      </c>
    </row>
    <row r="1372" spans="1:16" x14ac:dyDescent="0.3">
      <c r="A1372">
        <f>Raw_Data!A1372</f>
        <v>1371</v>
      </c>
      <c r="B1372" s="2">
        <f>Raw_Data!B1372</f>
        <v>45707.715011574102</v>
      </c>
      <c r="C1372">
        <f>YEAR(Raw_Data!B1372)</f>
        <v>2025</v>
      </c>
      <c r="D1372" t="str">
        <f>IF(MONTH(Raw_Data!B1372)&gt;=4,YEAR(Raw_Data!B1372)&amp;"-"&amp;RIGHT(YEAR(Raw_Data!B1372)+1,2),YEAR(Raw_Data!B1372)-1&amp;"-"&amp;RIGHT(YEAR(Raw_Data!B1372),2))</f>
        <v>2024-25</v>
      </c>
      <c r="E1372" t="str">
        <f>"Q"&amp;ROUNDUP(MONTH(Raw_Data!B1372)/3,0)</f>
        <v>Q1</v>
      </c>
      <c r="F1372" t="str">
        <f>TEXT(Raw_Data!B1372,"mmm")</f>
        <v>Feb</v>
      </c>
      <c r="G1372" t="str">
        <f>TEXT(Raw_Data!B1372,"ddd")</f>
        <v>Wed</v>
      </c>
      <c r="H1372" t="str">
        <f>Raw_Data!D1372</f>
        <v>Invoiced</v>
      </c>
      <c r="I1372" t="str">
        <f>Raw_Data!F1372</f>
        <v>Web Lead</v>
      </c>
      <c r="J1372" t="str">
        <f>Raw_Data!G1372</f>
        <v>Web_Facebook</v>
      </c>
      <c r="K1372" t="str">
        <f>IFERROR(VLOOKUP(J1372,Source_Assumptions!$A:$C,2,0),"Unmapped")</f>
        <v>Digital - Paid Social</v>
      </c>
      <c r="L1372" t="str">
        <f>Raw_Data!H1372</f>
        <v>New Amaze 3G</v>
      </c>
      <c r="M1372" t="str">
        <f>IFERROR(VLOOKUP(L1372,Model_Assumptions!$A:$D,2,0),"Unmapped")</f>
        <v>Sub-4m Sedan</v>
      </c>
      <c r="N1372" t="str">
        <f>IFERROR(VLOOKUP(L1372,Model_Assumptions!$A:$D,3,0),"Unmapped")</f>
        <v>Petrol</v>
      </c>
      <c r="O1372">
        <f>IFERROR(VLOOKUP(L1372,Model_Assumptions!$A:$D,4,0),0)</f>
        <v>950000</v>
      </c>
      <c r="P1372">
        <f>IFERROR(VLOOKUP(J1372,Source_Assumptions!$A:$C,3,0),0)</f>
        <v>600</v>
      </c>
    </row>
    <row r="1373" spans="1:16" x14ac:dyDescent="0.3">
      <c r="A1373">
        <f>Raw_Data!A1373</f>
        <v>1372</v>
      </c>
      <c r="B1373" s="2">
        <f>Raw_Data!B1373</f>
        <v>45708.424178240697</v>
      </c>
      <c r="C1373">
        <f>YEAR(Raw_Data!B1373)</f>
        <v>2025</v>
      </c>
      <c r="D1373" t="str">
        <f>IF(MONTH(Raw_Data!B1373)&gt;=4,YEAR(Raw_Data!B1373)&amp;"-"&amp;RIGHT(YEAR(Raw_Data!B1373)+1,2),YEAR(Raw_Data!B1373)-1&amp;"-"&amp;RIGHT(YEAR(Raw_Data!B1373),2))</f>
        <v>2024-25</v>
      </c>
      <c r="E1373" t="str">
        <f>"Q"&amp;ROUNDUP(MONTH(Raw_Data!B1373)/3,0)</f>
        <v>Q1</v>
      </c>
      <c r="F1373" t="str">
        <f>TEXT(Raw_Data!B1373,"mmm")</f>
        <v>Feb</v>
      </c>
      <c r="G1373" t="str">
        <f>TEXT(Raw_Data!B1373,"ddd")</f>
        <v>Thu</v>
      </c>
      <c r="H1373" t="str">
        <f>Raw_Data!D1373</f>
        <v>Invoiced</v>
      </c>
      <c r="I1373" t="str">
        <f>Raw_Data!F1373</f>
        <v>Tele-in</v>
      </c>
      <c r="J1373" t="str">
        <f>Raw_Data!G1373</f>
        <v>Dealer Webpage Tele-In</v>
      </c>
      <c r="K1373" t="str">
        <f>IFERROR(VLOOKUP(J1373,Source_Assumptions!$A:$C,2,0),"Unmapped")</f>
        <v>Digital - Owned</v>
      </c>
      <c r="L1373" t="str">
        <f>Raw_Data!H1373</f>
        <v>ELEVATE</v>
      </c>
      <c r="M1373" t="str">
        <f>IFERROR(VLOOKUP(L1373,Model_Assumptions!$A:$D,2,0),"Unmapped")</f>
        <v>Compact SUV</v>
      </c>
      <c r="N1373" t="str">
        <f>IFERROR(VLOOKUP(L1373,Model_Assumptions!$A:$D,3,0),"Unmapped")</f>
        <v>Petrol</v>
      </c>
      <c r="O1373">
        <f>IFERROR(VLOOKUP(L1373,Model_Assumptions!$A:$D,4,0),0)</f>
        <v>1300000</v>
      </c>
      <c r="P1373">
        <f>IFERROR(VLOOKUP(J1373,Source_Assumptions!$A:$C,3,0),0)</f>
        <v>300</v>
      </c>
    </row>
    <row r="1374" spans="1:16" x14ac:dyDescent="0.3">
      <c r="A1374">
        <f>Raw_Data!A1374</f>
        <v>1373</v>
      </c>
      <c r="B1374" s="2">
        <f>Raw_Data!B1374</f>
        <v>45709.724374999998</v>
      </c>
      <c r="C1374">
        <f>YEAR(Raw_Data!B1374)</f>
        <v>2025</v>
      </c>
      <c r="D1374" t="str">
        <f>IF(MONTH(Raw_Data!B1374)&gt;=4,YEAR(Raw_Data!B1374)&amp;"-"&amp;RIGHT(YEAR(Raw_Data!B1374)+1,2),YEAR(Raw_Data!B1374)-1&amp;"-"&amp;RIGHT(YEAR(Raw_Data!B1374),2))</f>
        <v>2024-25</v>
      </c>
      <c r="E1374" t="str">
        <f>"Q"&amp;ROUNDUP(MONTH(Raw_Data!B1374)/3,0)</f>
        <v>Q1</v>
      </c>
      <c r="F1374" t="str">
        <f>TEXT(Raw_Data!B1374,"mmm")</f>
        <v>Feb</v>
      </c>
      <c r="G1374" t="str">
        <f>TEXT(Raw_Data!B1374,"ddd")</f>
        <v>Fri</v>
      </c>
      <c r="H1374" t="str">
        <f>Raw_Data!D1374</f>
        <v>Invoiced</v>
      </c>
      <c r="I1374" t="str">
        <f>Raw_Data!F1374</f>
        <v>Tele-in</v>
      </c>
      <c r="J1374" t="str">
        <f>Raw_Data!G1374</f>
        <v>Dealer Webpage Lead</v>
      </c>
      <c r="K1374" t="str">
        <f>IFERROR(VLOOKUP(J1374,Source_Assumptions!$A:$C,2,0),"Unmapped")</f>
        <v>Digital - Owned</v>
      </c>
      <c r="L1374" t="str">
        <f>Raw_Data!H1374</f>
        <v>5TH GEN CITY PE</v>
      </c>
      <c r="M1374" t="str">
        <f>IFERROR(VLOOKUP(L1374,Model_Assumptions!$A:$D,2,0),"Unmapped")</f>
        <v>Mid-size Sedan</v>
      </c>
      <c r="N1374" t="str">
        <f>IFERROR(VLOOKUP(L1374,Model_Assumptions!$A:$D,3,0),"Unmapped")</f>
        <v>Petrol</v>
      </c>
      <c r="O1374">
        <f>IFERROR(VLOOKUP(L1374,Model_Assumptions!$A:$D,4,0),0)</f>
        <v>1250000</v>
      </c>
      <c r="P1374">
        <f>IFERROR(VLOOKUP(J1374,Source_Assumptions!$A:$C,3,0),0)</f>
        <v>300</v>
      </c>
    </row>
    <row r="1375" spans="1:16" x14ac:dyDescent="0.3">
      <c r="A1375">
        <f>Raw_Data!A1375</f>
        <v>1374</v>
      </c>
      <c r="B1375" s="2">
        <f>Raw_Data!B1375</f>
        <v>45710.4406018519</v>
      </c>
      <c r="C1375">
        <f>YEAR(Raw_Data!B1375)</f>
        <v>2025</v>
      </c>
      <c r="D1375" t="str">
        <f>IF(MONTH(Raw_Data!B1375)&gt;=4,YEAR(Raw_Data!B1375)&amp;"-"&amp;RIGHT(YEAR(Raw_Data!B1375)+1,2),YEAR(Raw_Data!B1375)-1&amp;"-"&amp;RIGHT(YEAR(Raw_Data!B1375),2))</f>
        <v>2024-25</v>
      </c>
      <c r="E1375" t="str">
        <f>"Q"&amp;ROUNDUP(MONTH(Raw_Data!B1375)/3,0)</f>
        <v>Q1</v>
      </c>
      <c r="F1375" t="str">
        <f>TEXT(Raw_Data!B1375,"mmm")</f>
        <v>Feb</v>
      </c>
      <c r="G1375" t="str">
        <f>TEXT(Raw_Data!B1375,"ddd")</f>
        <v>Sat</v>
      </c>
      <c r="H1375" t="str">
        <f>Raw_Data!D1375</f>
        <v>Invoiced</v>
      </c>
      <c r="I1375" t="str">
        <f>Raw_Data!F1375</f>
        <v>Walk-in Showroom</v>
      </c>
      <c r="J1375" t="str">
        <f>Raw_Data!G1375</f>
        <v>Referral (HC/HBLP)</v>
      </c>
      <c r="K1375" t="str">
        <f>IFERROR(VLOOKUP(J1375,Source_Assumptions!$A:$C,2,0),"Unmapped")</f>
        <v>Referral (Happy Customer)</v>
      </c>
      <c r="L1375" t="str">
        <f>Raw_Data!H1375</f>
        <v>ELEVATE</v>
      </c>
      <c r="M1375" t="str">
        <f>IFERROR(VLOOKUP(L1375,Model_Assumptions!$A:$D,2,0),"Unmapped")</f>
        <v>Compact SUV</v>
      </c>
      <c r="N1375" t="str">
        <f>IFERROR(VLOOKUP(L1375,Model_Assumptions!$A:$D,3,0),"Unmapped")</f>
        <v>Petrol</v>
      </c>
      <c r="O1375">
        <f>IFERROR(VLOOKUP(L1375,Model_Assumptions!$A:$D,4,0),0)</f>
        <v>1300000</v>
      </c>
      <c r="P1375">
        <f>IFERROR(VLOOKUP(J1375,Source_Assumptions!$A:$C,3,0),0)</f>
        <v>100</v>
      </c>
    </row>
    <row r="1376" spans="1:16" x14ac:dyDescent="0.3">
      <c r="A1376">
        <f>Raw_Data!A1376</f>
        <v>1375</v>
      </c>
      <c r="B1376" s="2">
        <f>Raw_Data!B1376</f>
        <v>45712.7335185185</v>
      </c>
      <c r="C1376">
        <f>YEAR(Raw_Data!B1376)</f>
        <v>2025</v>
      </c>
      <c r="D1376" t="str">
        <f>IF(MONTH(Raw_Data!B1376)&gt;=4,YEAR(Raw_Data!B1376)&amp;"-"&amp;RIGHT(YEAR(Raw_Data!B1376)+1,2),YEAR(Raw_Data!B1376)-1&amp;"-"&amp;RIGHT(YEAR(Raw_Data!B1376),2))</f>
        <v>2024-25</v>
      </c>
      <c r="E1376" t="str">
        <f>"Q"&amp;ROUNDUP(MONTH(Raw_Data!B1376)/3,0)</f>
        <v>Q1</v>
      </c>
      <c r="F1376" t="str">
        <f>TEXT(Raw_Data!B1376,"mmm")</f>
        <v>Feb</v>
      </c>
      <c r="G1376" t="str">
        <f>TEXT(Raw_Data!B1376,"ddd")</f>
        <v>Mon</v>
      </c>
      <c r="H1376" t="str">
        <f>Raw_Data!D1376</f>
        <v>Invoiced</v>
      </c>
      <c r="I1376" t="str">
        <f>Raw_Data!F1376</f>
        <v>Walk-in Showroom</v>
      </c>
      <c r="J1376" t="str">
        <f>Raw_Data!G1376</f>
        <v>Service Visit</v>
      </c>
      <c r="K1376" t="str">
        <f>IFERROR(VLOOKUP(J1376,Source_Assumptions!$A:$C,2,0),"Unmapped")</f>
        <v>Existing Customer</v>
      </c>
      <c r="L1376" t="str">
        <f>Raw_Data!H1376</f>
        <v>New Amaze 3G</v>
      </c>
      <c r="M1376" t="str">
        <f>IFERROR(VLOOKUP(L1376,Model_Assumptions!$A:$D,2,0),"Unmapped")</f>
        <v>Sub-4m Sedan</v>
      </c>
      <c r="N1376" t="str">
        <f>IFERROR(VLOOKUP(L1376,Model_Assumptions!$A:$D,3,0),"Unmapped")</f>
        <v>Petrol</v>
      </c>
      <c r="O1376">
        <f>IFERROR(VLOOKUP(L1376,Model_Assumptions!$A:$D,4,0),0)</f>
        <v>950000</v>
      </c>
      <c r="P1376">
        <f>IFERROR(VLOOKUP(J1376,Source_Assumptions!$A:$C,3,0),0)</f>
        <v>50</v>
      </c>
    </row>
    <row r="1377" spans="1:16" x14ac:dyDescent="0.3">
      <c r="A1377">
        <f>Raw_Data!A1377</f>
        <v>1376</v>
      </c>
      <c r="B1377" s="2">
        <f>Raw_Data!B1377</f>
        <v>45713.72</v>
      </c>
      <c r="C1377">
        <f>YEAR(Raw_Data!B1377)</f>
        <v>2025</v>
      </c>
      <c r="D1377" t="str">
        <f>IF(MONTH(Raw_Data!B1377)&gt;=4,YEAR(Raw_Data!B1377)&amp;"-"&amp;RIGHT(YEAR(Raw_Data!B1377)+1,2),YEAR(Raw_Data!B1377)-1&amp;"-"&amp;RIGHT(YEAR(Raw_Data!B1377),2))</f>
        <v>2024-25</v>
      </c>
      <c r="E1377" t="str">
        <f>"Q"&amp;ROUNDUP(MONTH(Raw_Data!B1377)/3,0)</f>
        <v>Q1</v>
      </c>
      <c r="F1377" t="str">
        <f>TEXT(Raw_Data!B1377,"mmm")</f>
        <v>Feb</v>
      </c>
      <c r="G1377" t="str">
        <f>TEXT(Raw_Data!B1377,"ddd")</f>
        <v>Tue</v>
      </c>
      <c r="H1377" t="str">
        <f>Raw_Data!D1377</f>
        <v>Invoiced</v>
      </c>
      <c r="I1377" t="str">
        <f>Raw_Data!F1377</f>
        <v>Web Lead</v>
      </c>
      <c r="J1377" t="str">
        <f>Raw_Data!G1377</f>
        <v>Web</v>
      </c>
      <c r="K1377" t="str">
        <f>IFERROR(VLOOKUP(J1377,Source_Assumptions!$A:$C,2,0),"Unmapped")</f>
        <v>Digital - Owned</v>
      </c>
      <c r="L1377" t="str">
        <f>Raw_Data!H1377</f>
        <v>New Amaze 3G</v>
      </c>
      <c r="M1377" t="str">
        <f>IFERROR(VLOOKUP(L1377,Model_Assumptions!$A:$D,2,0),"Unmapped")</f>
        <v>Sub-4m Sedan</v>
      </c>
      <c r="N1377" t="str">
        <f>IFERROR(VLOOKUP(L1377,Model_Assumptions!$A:$D,3,0),"Unmapped")</f>
        <v>Petrol</v>
      </c>
      <c r="O1377">
        <f>IFERROR(VLOOKUP(L1377,Model_Assumptions!$A:$D,4,0),0)</f>
        <v>950000</v>
      </c>
      <c r="P1377">
        <f>IFERROR(VLOOKUP(J1377,Source_Assumptions!$A:$C,3,0),0)</f>
        <v>300</v>
      </c>
    </row>
    <row r="1378" spans="1:16" x14ac:dyDescent="0.3">
      <c r="A1378">
        <f>Raw_Data!A1378</f>
        <v>1377</v>
      </c>
      <c r="B1378" s="2">
        <f>Raw_Data!B1378</f>
        <v>45715.5291782407</v>
      </c>
      <c r="C1378">
        <f>YEAR(Raw_Data!B1378)</f>
        <v>2025</v>
      </c>
      <c r="D1378" t="str">
        <f>IF(MONTH(Raw_Data!B1378)&gt;=4,YEAR(Raw_Data!B1378)&amp;"-"&amp;RIGHT(YEAR(Raw_Data!B1378)+1,2),YEAR(Raw_Data!B1378)-1&amp;"-"&amp;RIGHT(YEAR(Raw_Data!B1378),2))</f>
        <v>2024-25</v>
      </c>
      <c r="E1378" t="str">
        <f>"Q"&amp;ROUNDUP(MONTH(Raw_Data!B1378)/3,0)</f>
        <v>Q1</v>
      </c>
      <c r="F1378" t="str">
        <f>TEXT(Raw_Data!B1378,"mmm")</f>
        <v>Feb</v>
      </c>
      <c r="G1378" t="str">
        <f>TEXT(Raw_Data!B1378,"ddd")</f>
        <v>Thu</v>
      </c>
      <c r="H1378" t="str">
        <f>Raw_Data!D1378</f>
        <v>Invoiced</v>
      </c>
      <c r="I1378" t="str">
        <f>Raw_Data!F1378</f>
        <v>SMS/ Tele-Out</v>
      </c>
      <c r="J1378" t="str">
        <f>Raw_Data!G1378</f>
        <v>Database Activity(Teleout/SMS)</v>
      </c>
      <c r="K1378" t="str">
        <f>IFERROR(VLOOKUP(J1378,Source_Assumptions!$A:$C,2,0),"Unmapped")</f>
        <v>Outbound/Database</v>
      </c>
      <c r="L1378" t="str">
        <f>Raw_Data!H1378</f>
        <v>ELEVATE</v>
      </c>
      <c r="M1378" t="str">
        <f>IFERROR(VLOOKUP(L1378,Model_Assumptions!$A:$D,2,0),"Unmapped")</f>
        <v>Compact SUV</v>
      </c>
      <c r="N1378" t="str">
        <f>IFERROR(VLOOKUP(L1378,Model_Assumptions!$A:$D,3,0),"Unmapped")</f>
        <v>Petrol</v>
      </c>
      <c r="O1378">
        <f>IFERROR(VLOOKUP(L1378,Model_Assumptions!$A:$D,4,0),0)</f>
        <v>1300000</v>
      </c>
      <c r="P1378">
        <f>IFERROR(VLOOKUP(J1378,Source_Assumptions!$A:$C,3,0),0)</f>
        <v>250</v>
      </c>
    </row>
    <row r="1379" spans="1:16" x14ac:dyDescent="0.3">
      <c r="A1379">
        <f>Raw_Data!A1379</f>
        <v>1378</v>
      </c>
      <c r="B1379" s="2">
        <f>Raw_Data!B1379</f>
        <v>45715.752592592602</v>
      </c>
      <c r="C1379">
        <f>YEAR(Raw_Data!B1379)</f>
        <v>2025</v>
      </c>
      <c r="D1379" t="str">
        <f>IF(MONTH(Raw_Data!B1379)&gt;=4,YEAR(Raw_Data!B1379)&amp;"-"&amp;RIGHT(YEAR(Raw_Data!B1379)+1,2),YEAR(Raw_Data!B1379)-1&amp;"-"&amp;RIGHT(YEAR(Raw_Data!B1379),2))</f>
        <v>2024-25</v>
      </c>
      <c r="E1379" t="str">
        <f>"Q"&amp;ROUNDUP(MONTH(Raw_Data!B1379)/3,0)</f>
        <v>Q1</v>
      </c>
      <c r="F1379" t="str">
        <f>TEXT(Raw_Data!B1379,"mmm")</f>
        <v>Feb</v>
      </c>
      <c r="G1379" t="str">
        <f>TEXT(Raw_Data!B1379,"ddd")</f>
        <v>Thu</v>
      </c>
      <c r="H1379" t="str">
        <f>Raw_Data!D1379</f>
        <v>Invoiced</v>
      </c>
      <c r="I1379" t="str">
        <f>Raw_Data!F1379</f>
        <v>SMS/ Tele-Out</v>
      </c>
      <c r="J1379" t="str">
        <f>Raw_Data!G1379</f>
        <v>Database Activity(Teleout/SMS)</v>
      </c>
      <c r="K1379" t="str">
        <f>IFERROR(VLOOKUP(J1379,Source_Assumptions!$A:$C,2,0),"Unmapped")</f>
        <v>Outbound/Database</v>
      </c>
      <c r="L1379" t="str">
        <f>Raw_Data!H1379</f>
        <v>AMAZE Petrol</v>
      </c>
      <c r="M1379" t="str">
        <f>IFERROR(VLOOKUP(L1379,Model_Assumptions!$A:$D,2,0),"Unmapped")</f>
        <v>Sub-4m Sedan</v>
      </c>
      <c r="N1379" t="str">
        <f>IFERROR(VLOOKUP(L1379,Model_Assumptions!$A:$D,3,0),"Unmapped")</f>
        <v>Petrol</v>
      </c>
      <c r="O1379">
        <f>IFERROR(VLOOKUP(L1379,Model_Assumptions!$A:$D,4,0),0)</f>
        <v>850000</v>
      </c>
      <c r="P1379">
        <f>IFERROR(VLOOKUP(J1379,Source_Assumptions!$A:$C,3,0),0)</f>
        <v>250</v>
      </c>
    </row>
    <row r="1380" spans="1:16" x14ac:dyDescent="0.3">
      <c r="A1380">
        <f>Raw_Data!A1380</f>
        <v>1379</v>
      </c>
      <c r="B1380" s="2">
        <f>Raw_Data!B1380</f>
        <v>45716.769849536999</v>
      </c>
      <c r="C1380">
        <f>YEAR(Raw_Data!B1380)</f>
        <v>2025</v>
      </c>
      <c r="D1380" t="str">
        <f>IF(MONTH(Raw_Data!B1380)&gt;=4,YEAR(Raw_Data!B1380)&amp;"-"&amp;RIGHT(YEAR(Raw_Data!B1380)+1,2),YEAR(Raw_Data!B1380)-1&amp;"-"&amp;RIGHT(YEAR(Raw_Data!B1380),2))</f>
        <v>2024-25</v>
      </c>
      <c r="E1380" t="str">
        <f>"Q"&amp;ROUNDUP(MONTH(Raw_Data!B1380)/3,0)</f>
        <v>Q1</v>
      </c>
      <c r="F1380" t="str">
        <f>TEXT(Raw_Data!B1380,"mmm")</f>
        <v>Feb</v>
      </c>
      <c r="G1380" t="str">
        <f>TEXT(Raw_Data!B1380,"ddd")</f>
        <v>Fri</v>
      </c>
      <c r="H1380" t="str">
        <f>Raw_Data!D1380</f>
        <v>Invoiced</v>
      </c>
      <c r="I1380" t="str">
        <f>Raw_Data!F1380</f>
        <v>Web Lead</v>
      </c>
      <c r="J1380" t="str">
        <f>Raw_Data!G1380</f>
        <v>Web</v>
      </c>
      <c r="K1380" t="str">
        <f>IFERROR(VLOOKUP(J1380,Source_Assumptions!$A:$C,2,0),"Unmapped")</f>
        <v>Digital - Owned</v>
      </c>
      <c r="L1380" t="str">
        <f>Raw_Data!H1380</f>
        <v>New Amaze 3G</v>
      </c>
      <c r="M1380" t="str">
        <f>IFERROR(VLOOKUP(L1380,Model_Assumptions!$A:$D,2,0),"Unmapped")</f>
        <v>Sub-4m Sedan</v>
      </c>
      <c r="N1380" t="str">
        <f>IFERROR(VLOOKUP(L1380,Model_Assumptions!$A:$D,3,0),"Unmapped")</f>
        <v>Petrol</v>
      </c>
      <c r="O1380">
        <f>IFERROR(VLOOKUP(L1380,Model_Assumptions!$A:$D,4,0),0)</f>
        <v>950000</v>
      </c>
      <c r="P1380">
        <f>IFERROR(VLOOKUP(J1380,Source_Assumptions!$A:$C,3,0),0)</f>
        <v>300</v>
      </c>
    </row>
    <row r="1381" spans="1:16" x14ac:dyDescent="0.3">
      <c r="A1381">
        <f>Raw_Data!A1381</f>
        <v>1380</v>
      </c>
      <c r="B1381" s="2">
        <f>Raw_Data!B1381</f>
        <v>45716.821412037003</v>
      </c>
      <c r="C1381">
        <f>YEAR(Raw_Data!B1381)</f>
        <v>2025</v>
      </c>
      <c r="D1381" t="str">
        <f>IF(MONTH(Raw_Data!B1381)&gt;=4,YEAR(Raw_Data!B1381)&amp;"-"&amp;RIGHT(YEAR(Raw_Data!B1381)+1,2),YEAR(Raw_Data!B1381)-1&amp;"-"&amp;RIGHT(YEAR(Raw_Data!B1381),2))</f>
        <v>2024-25</v>
      </c>
      <c r="E1381" t="str">
        <f>"Q"&amp;ROUNDUP(MONTH(Raw_Data!B1381)/3,0)</f>
        <v>Q1</v>
      </c>
      <c r="F1381" t="str">
        <f>TEXT(Raw_Data!B1381,"mmm")</f>
        <v>Feb</v>
      </c>
      <c r="G1381" t="str">
        <f>TEXT(Raw_Data!B1381,"ddd")</f>
        <v>Fri</v>
      </c>
      <c r="H1381" t="str">
        <f>Raw_Data!D1381</f>
        <v>Invoiced</v>
      </c>
      <c r="I1381" t="str">
        <f>Raw_Data!F1381</f>
        <v>Tele-in</v>
      </c>
      <c r="J1381" t="str">
        <f>Raw_Data!G1381</f>
        <v>Referral-CAM</v>
      </c>
      <c r="K1381" t="str">
        <f>IFERROR(VLOOKUP(J1381,Source_Assumptions!$A:$C,2,0),"Unmapped")</f>
        <v>Referral</v>
      </c>
      <c r="L1381" t="str">
        <f>Raw_Data!H1381</f>
        <v>New Amaze 3G</v>
      </c>
      <c r="M1381" t="str">
        <f>IFERROR(VLOOKUP(L1381,Model_Assumptions!$A:$D,2,0),"Unmapped")</f>
        <v>Sub-4m Sedan</v>
      </c>
      <c r="N1381" t="str">
        <f>IFERROR(VLOOKUP(L1381,Model_Assumptions!$A:$D,3,0),"Unmapped")</f>
        <v>Petrol</v>
      </c>
      <c r="O1381">
        <f>IFERROR(VLOOKUP(L1381,Model_Assumptions!$A:$D,4,0),0)</f>
        <v>950000</v>
      </c>
      <c r="P1381">
        <f>IFERROR(VLOOKUP(J1381,Source_Assumptions!$A:$C,3,0),0)</f>
        <v>150</v>
      </c>
    </row>
    <row r="1382" spans="1:16" x14ac:dyDescent="0.3">
      <c r="A1382">
        <f>Raw_Data!A1382</f>
        <v>1381</v>
      </c>
      <c r="B1382" s="2">
        <f>Raw_Data!B1382</f>
        <v>45716.937083333301</v>
      </c>
      <c r="C1382">
        <f>YEAR(Raw_Data!B1382)</f>
        <v>2025</v>
      </c>
      <c r="D1382" t="str">
        <f>IF(MONTH(Raw_Data!B1382)&gt;=4,YEAR(Raw_Data!B1382)&amp;"-"&amp;RIGHT(YEAR(Raw_Data!B1382)+1,2),YEAR(Raw_Data!B1382)-1&amp;"-"&amp;RIGHT(YEAR(Raw_Data!B1382),2))</f>
        <v>2024-25</v>
      </c>
      <c r="E1382" t="str">
        <f>"Q"&amp;ROUNDUP(MONTH(Raw_Data!B1382)/3,0)</f>
        <v>Q1</v>
      </c>
      <c r="F1382" t="str">
        <f>TEXT(Raw_Data!B1382,"mmm")</f>
        <v>Feb</v>
      </c>
      <c r="G1382" t="str">
        <f>TEXT(Raw_Data!B1382,"ddd")</f>
        <v>Fri</v>
      </c>
      <c r="H1382" t="str">
        <f>Raw_Data!D1382</f>
        <v>Invoiced</v>
      </c>
      <c r="I1382" t="str">
        <f>Raw_Data!F1382</f>
        <v>Walk-in Showroom</v>
      </c>
      <c r="J1382" t="str">
        <f>Raw_Data!G1382</f>
        <v>Adver. (TVC/Print/Hoarding/FM)</v>
      </c>
      <c r="K1382" t="str">
        <f>IFERROR(VLOOKUP(J1382,Source_Assumptions!$A:$C,2,0),"Unmapped")</f>
        <v>Traditional Advertising</v>
      </c>
      <c r="L1382" t="str">
        <f>Raw_Data!H1382</f>
        <v>ELEVATE</v>
      </c>
      <c r="M1382" t="str">
        <f>IFERROR(VLOOKUP(L1382,Model_Assumptions!$A:$D,2,0),"Unmapped")</f>
        <v>Compact SUV</v>
      </c>
      <c r="N1382" t="str">
        <f>IFERROR(VLOOKUP(L1382,Model_Assumptions!$A:$D,3,0),"Unmapped")</f>
        <v>Petrol</v>
      </c>
      <c r="O1382">
        <f>IFERROR(VLOOKUP(L1382,Model_Assumptions!$A:$D,4,0),0)</f>
        <v>1300000</v>
      </c>
      <c r="P1382">
        <f>IFERROR(VLOOKUP(J1382,Source_Assumptions!$A:$C,3,0),0)</f>
        <v>1200</v>
      </c>
    </row>
    <row r="1383" spans="1:16" x14ac:dyDescent="0.3">
      <c r="A1383">
        <f>Raw_Data!A1383</f>
        <v>1382</v>
      </c>
      <c r="B1383" s="2">
        <f>Raw_Data!B1383</f>
        <v>45716.948865740698</v>
      </c>
      <c r="C1383">
        <f>YEAR(Raw_Data!B1383)</f>
        <v>2025</v>
      </c>
      <c r="D1383" t="str">
        <f>IF(MONTH(Raw_Data!B1383)&gt;=4,YEAR(Raw_Data!B1383)&amp;"-"&amp;RIGHT(YEAR(Raw_Data!B1383)+1,2),YEAR(Raw_Data!B1383)-1&amp;"-"&amp;RIGHT(YEAR(Raw_Data!B1383),2))</f>
        <v>2024-25</v>
      </c>
      <c r="E1383" t="str">
        <f>"Q"&amp;ROUNDUP(MONTH(Raw_Data!B1383)/3,0)</f>
        <v>Q1</v>
      </c>
      <c r="F1383" t="str">
        <f>TEXT(Raw_Data!B1383,"mmm")</f>
        <v>Feb</v>
      </c>
      <c r="G1383" t="str">
        <f>TEXT(Raw_Data!B1383,"ddd")</f>
        <v>Fri</v>
      </c>
      <c r="H1383" t="str">
        <f>Raw_Data!D1383</f>
        <v>Invoiced</v>
      </c>
      <c r="I1383" t="str">
        <f>Raw_Data!F1383</f>
        <v>Tele-in</v>
      </c>
      <c r="J1383" t="str">
        <f>Raw_Data!G1383</f>
        <v>I-BAP Referral</v>
      </c>
      <c r="K1383" t="str">
        <f>IFERROR(VLOOKUP(J1383,Source_Assumptions!$A:$C,2,0),"Unmapped")</f>
        <v>Referral (Insurance/Banking Partner)</v>
      </c>
      <c r="L1383" t="str">
        <f>Raw_Data!H1383</f>
        <v>New Amaze 3G</v>
      </c>
      <c r="M1383" t="str">
        <f>IFERROR(VLOOKUP(L1383,Model_Assumptions!$A:$D,2,0),"Unmapped")</f>
        <v>Sub-4m Sedan</v>
      </c>
      <c r="N1383" t="str">
        <f>IFERROR(VLOOKUP(L1383,Model_Assumptions!$A:$D,3,0),"Unmapped")</f>
        <v>Petrol</v>
      </c>
      <c r="O1383">
        <f>IFERROR(VLOOKUP(L1383,Model_Assumptions!$A:$D,4,0),0)</f>
        <v>950000</v>
      </c>
      <c r="P1383">
        <f>IFERROR(VLOOKUP(J1383,Source_Assumptions!$A:$C,3,0),0)</f>
        <v>150</v>
      </c>
    </row>
    <row r="1384" spans="1:16" x14ac:dyDescent="0.3">
      <c r="A1384">
        <f>Raw_Data!A1384</f>
        <v>1383</v>
      </c>
      <c r="B1384" s="2">
        <f>Raw_Data!B1384</f>
        <v>45723.715081018498</v>
      </c>
      <c r="C1384">
        <f>YEAR(Raw_Data!B1384)</f>
        <v>2025</v>
      </c>
      <c r="D1384" t="str">
        <f>IF(MONTH(Raw_Data!B1384)&gt;=4,YEAR(Raw_Data!B1384)&amp;"-"&amp;RIGHT(YEAR(Raw_Data!B1384)+1,2),YEAR(Raw_Data!B1384)-1&amp;"-"&amp;RIGHT(YEAR(Raw_Data!B1384),2))</f>
        <v>2024-25</v>
      </c>
      <c r="E1384" t="str">
        <f>"Q"&amp;ROUNDUP(MONTH(Raw_Data!B1384)/3,0)</f>
        <v>Q1</v>
      </c>
      <c r="F1384" t="str">
        <f>TEXT(Raw_Data!B1384,"mmm")</f>
        <v>Mar</v>
      </c>
      <c r="G1384" t="str">
        <f>TEXT(Raw_Data!B1384,"ddd")</f>
        <v>Fri</v>
      </c>
      <c r="H1384" t="str">
        <f>Raw_Data!D1384</f>
        <v>Invoiced</v>
      </c>
      <c r="I1384" t="str">
        <f>Raw_Data!F1384</f>
        <v>Walk-in Showroom</v>
      </c>
      <c r="J1384" t="str">
        <f>Raw_Data!G1384</f>
        <v>I-BAP Self</v>
      </c>
      <c r="K1384" t="str">
        <f>IFERROR(VLOOKUP(J1384,Source_Assumptions!$A:$C,2,0),"Unmapped")</f>
        <v>Referral (Insurance/Banking Partner)</v>
      </c>
      <c r="L1384" t="str">
        <f>Raw_Data!H1384</f>
        <v>New Amaze 3G</v>
      </c>
      <c r="M1384" t="str">
        <f>IFERROR(VLOOKUP(L1384,Model_Assumptions!$A:$D,2,0),"Unmapped")</f>
        <v>Sub-4m Sedan</v>
      </c>
      <c r="N1384" t="str">
        <f>IFERROR(VLOOKUP(L1384,Model_Assumptions!$A:$D,3,0),"Unmapped")</f>
        <v>Petrol</v>
      </c>
      <c r="O1384">
        <f>IFERROR(VLOOKUP(L1384,Model_Assumptions!$A:$D,4,0),0)</f>
        <v>950000</v>
      </c>
      <c r="P1384">
        <f>IFERROR(VLOOKUP(J1384,Source_Assumptions!$A:$C,3,0),0)</f>
        <v>100</v>
      </c>
    </row>
    <row r="1385" spans="1:16" x14ac:dyDescent="0.3">
      <c r="A1385">
        <f>Raw_Data!A1385</f>
        <v>1384</v>
      </c>
      <c r="B1385" s="2">
        <f>Raw_Data!B1385</f>
        <v>45728.535393518498</v>
      </c>
      <c r="C1385">
        <f>YEAR(Raw_Data!B1385)</f>
        <v>2025</v>
      </c>
      <c r="D1385" t="str">
        <f>IF(MONTH(Raw_Data!B1385)&gt;=4,YEAR(Raw_Data!B1385)&amp;"-"&amp;RIGHT(YEAR(Raw_Data!B1385)+1,2),YEAR(Raw_Data!B1385)-1&amp;"-"&amp;RIGHT(YEAR(Raw_Data!B1385),2))</f>
        <v>2024-25</v>
      </c>
      <c r="E1385" t="str">
        <f>"Q"&amp;ROUNDUP(MONTH(Raw_Data!B1385)/3,0)</f>
        <v>Q1</v>
      </c>
      <c r="F1385" t="str">
        <f>TEXT(Raw_Data!B1385,"mmm")</f>
        <v>Mar</v>
      </c>
      <c r="G1385" t="str">
        <f>TEXT(Raw_Data!B1385,"ddd")</f>
        <v>Wed</v>
      </c>
      <c r="H1385" t="str">
        <f>Raw_Data!D1385</f>
        <v>Invoiced</v>
      </c>
      <c r="I1385" t="str">
        <f>Raw_Data!F1385</f>
        <v>Walk-in Showroom</v>
      </c>
      <c r="J1385" t="str">
        <f>Raw_Data!G1385</f>
        <v>Referral (HC/HBLP)</v>
      </c>
      <c r="K1385" t="str">
        <f>IFERROR(VLOOKUP(J1385,Source_Assumptions!$A:$C,2,0),"Unmapped")</f>
        <v>Referral (Happy Customer)</v>
      </c>
      <c r="L1385" t="str">
        <f>Raw_Data!H1385</f>
        <v>New Amaze 3G</v>
      </c>
      <c r="M1385" t="str">
        <f>IFERROR(VLOOKUP(L1385,Model_Assumptions!$A:$D,2,0),"Unmapped")</f>
        <v>Sub-4m Sedan</v>
      </c>
      <c r="N1385" t="str">
        <f>IFERROR(VLOOKUP(L1385,Model_Assumptions!$A:$D,3,0),"Unmapped")</f>
        <v>Petrol</v>
      </c>
      <c r="O1385">
        <f>IFERROR(VLOOKUP(L1385,Model_Assumptions!$A:$D,4,0),0)</f>
        <v>950000</v>
      </c>
      <c r="P1385">
        <f>IFERROR(VLOOKUP(J1385,Source_Assumptions!$A:$C,3,0),0)</f>
        <v>100</v>
      </c>
    </row>
    <row r="1386" spans="1:16" x14ac:dyDescent="0.3">
      <c r="A1386">
        <f>Raw_Data!A1386</f>
        <v>1385</v>
      </c>
      <c r="B1386" s="2">
        <f>Raw_Data!B1386</f>
        <v>45728.573043981502</v>
      </c>
      <c r="C1386">
        <f>YEAR(Raw_Data!B1386)</f>
        <v>2025</v>
      </c>
      <c r="D1386" t="str">
        <f>IF(MONTH(Raw_Data!B1386)&gt;=4,YEAR(Raw_Data!B1386)&amp;"-"&amp;RIGHT(YEAR(Raw_Data!B1386)+1,2),YEAR(Raw_Data!B1386)-1&amp;"-"&amp;RIGHT(YEAR(Raw_Data!B1386),2))</f>
        <v>2024-25</v>
      </c>
      <c r="E1386" t="str">
        <f>"Q"&amp;ROUNDUP(MONTH(Raw_Data!B1386)/3,0)</f>
        <v>Q1</v>
      </c>
      <c r="F1386" t="str">
        <f>TEXT(Raw_Data!B1386,"mmm")</f>
        <v>Mar</v>
      </c>
      <c r="G1386" t="str">
        <f>TEXT(Raw_Data!B1386,"ddd")</f>
        <v>Wed</v>
      </c>
      <c r="H1386" t="str">
        <f>Raw_Data!D1386</f>
        <v>Invoiced</v>
      </c>
      <c r="I1386" t="str">
        <f>Raw_Data!F1386</f>
        <v>Tele-in</v>
      </c>
      <c r="J1386" t="str">
        <f>Raw_Data!G1386</f>
        <v>I-BAP Referral</v>
      </c>
      <c r="K1386" t="str">
        <f>IFERROR(VLOOKUP(J1386,Source_Assumptions!$A:$C,2,0),"Unmapped")</f>
        <v>Referral (Insurance/Banking Partner)</v>
      </c>
      <c r="L1386" t="str">
        <f>Raw_Data!H1386</f>
        <v>5TH GEN CITY PE</v>
      </c>
      <c r="M1386" t="str">
        <f>IFERROR(VLOOKUP(L1386,Model_Assumptions!$A:$D,2,0),"Unmapped")</f>
        <v>Mid-size Sedan</v>
      </c>
      <c r="N1386" t="str">
        <f>IFERROR(VLOOKUP(L1386,Model_Assumptions!$A:$D,3,0),"Unmapped")</f>
        <v>Petrol</v>
      </c>
      <c r="O1386">
        <f>IFERROR(VLOOKUP(L1386,Model_Assumptions!$A:$D,4,0),0)</f>
        <v>1250000</v>
      </c>
      <c r="P1386">
        <f>IFERROR(VLOOKUP(J1386,Source_Assumptions!$A:$C,3,0),0)</f>
        <v>150</v>
      </c>
    </row>
    <row r="1387" spans="1:16" x14ac:dyDescent="0.3">
      <c r="A1387">
        <f>Raw_Data!A1387</f>
        <v>1386</v>
      </c>
      <c r="B1387" s="2">
        <f>Raw_Data!B1387</f>
        <v>45728.577511574098</v>
      </c>
      <c r="C1387">
        <f>YEAR(Raw_Data!B1387)</f>
        <v>2025</v>
      </c>
      <c r="D1387" t="str">
        <f>IF(MONTH(Raw_Data!B1387)&gt;=4,YEAR(Raw_Data!B1387)&amp;"-"&amp;RIGHT(YEAR(Raw_Data!B1387)+1,2),YEAR(Raw_Data!B1387)-1&amp;"-"&amp;RIGHT(YEAR(Raw_Data!B1387),2))</f>
        <v>2024-25</v>
      </c>
      <c r="E1387" t="str">
        <f>"Q"&amp;ROUNDUP(MONTH(Raw_Data!B1387)/3,0)</f>
        <v>Q1</v>
      </c>
      <c r="F1387" t="str">
        <f>TEXT(Raw_Data!B1387,"mmm")</f>
        <v>Mar</v>
      </c>
      <c r="G1387" t="str">
        <f>TEXT(Raw_Data!B1387,"ddd")</f>
        <v>Wed</v>
      </c>
      <c r="H1387" t="str">
        <f>Raw_Data!D1387</f>
        <v>Invoiced</v>
      </c>
      <c r="I1387" t="str">
        <f>Raw_Data!F1387</f>
        <v>SMS/ Tele-Out</v>
      </c>
      <c r="J1387" t="str">
        <f>Raw_Data!G1387</f>
        <v>Database Activity(Teleout/SMS)</v>
      </c>
      <c r="K1387" t="str">
        <f>IFERROR(VLOOKUP(J1387,Source_Assumptions!$A:$C,2,0),"Unmapped")</f>
        <v>Outbound/Database</v>
      </c>
      <c r="L1387" t="str">
        <f>Raw_Data!H1387</f>
        <v>New Amaze 3G</v>
      </c>
      <c r="M1387" t="str">
        <f>IFERROR(VLOOKUP(L1387,Model_Assumptions!$A:$D,2,0),"Unmapped")</f>
        <v>Sub-4m Sedan</v>
      </c>
      <c r="N1387" t="str">
        <f>IFERROR(VLOOKUP(L1387,Model_Assumptions!$A:$D,3,0),"Unmapped")</f>
        <v>Petrol</v>
      </c>
      <c r="O1387">
        <f>IFERROR(VLOOKUP(L1387,Model_Assumptions!$A:$D,4,0),0)</f>
        <v>950000</v>
      </c>
      <c r="P1387">
        <f>IFERROR(VLOOKUP(J1387,Source_Assumptions!$A:$C,3,0),0)</f>
        <v>250</v>
      </c>
    </row>
    <row r="1388" spans="1:16" x14ac:dyDescent="0.3">
      <c r="A1388">
        <f>Raw_Data!A1388</f>
        <v>1387</v>
      </c>
      <c r="B1388" s="2">
        <f>Raw_Data!B1388</f>
        <v>45730.680196759298</v>
      </c>
      <c r="C1388">
        <f>YEAR(Raw_Data!B1388)</f>
        <v>2025</v>
      </c>
      <c r="D1388" t="str">
        <f>IF(MONTH(Raw_Data!B1388)&gt;=4,YEAR(Raw_Data!B1388)&amp;"-"&amp;RIGHT(YEAR(Raw_Data!B1388)+1,2),YEAR(Raw_Data!B1388)-1&amp;"-"&amp;RIGHT(YEAR(Raw_Data!B1388),2))</f>
        <v>2024-25</v>
      </c>
      <c r="E1388" t="str">
        <f>"Q"&amp;ROUNDUP(MONTH(Raw_Data!B1388)/3,0)</f>
        <v>Q1</v>
      </c>
      <c r="F1388" t="str">
        <f>TEXT(Raw_Data!B1388,"mmm")</f>
        <v>Mar</v>
      </c>
      <c r="G1388" t="str">
        <f>TEXT(Raw_Data!B1388,"ddd")</f>
        <v>Fri</v>
      </c>
      <c r="H1388" t="str">
        <f>Raw_Data!D1388</f>
        <v>Invoiced</v>
      </c>
      <c r="I1388" t="str">
        <f>Raw_Data!F1388</f>
        <v>Walk-in Showroom</v>
      </c>
      <c r="J1388" t="str">
        <f>Raw_Data!G1388</f>
        <v>Adver. (TVC/Print/Hoarding/FM)</v>
      </c>
      <c r="K1388" t="str">
        <f>IFERROR(VLOOKUP(J1388,Source_Assumptions!$A:$C,2,0),"Unmapped")</f>
        <v>Traditional Advertising</v>
      </c>
      <c r="L1388" t="str">
        <f>Raw_Data!H1388</f>
        <v>New Amaze 3G</v>
      </c>
      <c r="M1388" t="str">
        <f>IFERROR(VLOOKUP(L1388,Model_Assumptions!$A:$D,2,0),"Unmapped")</f>
        <v>Sub-4m Sedan</v>
      </c>
      <c r="N1388" t="str">
        <f>IFERROR(VLOOKUP(L1388,Model_Assumptions!$A:$D,3,0),"Unmapped")</f>
        <v>Petrol</v>
      </c>
      <c r="O1388">
        <f>IFERROR(VLOOKUP(L1388,Model_Assumptions!$A:$D,4,0),0)</f>
        <v>950000</v>
      </c>
      <c r="P1388">
        <f>IFERROR(VLOOKUP(J1388,Source_Assumptions!$A:$C,3,0),0)</f>
        <v>1200</v>
      </c>
    </row>
    <row r="1389" spans="1:16" x14ac:dyDescent="0.3">
      <c r="A1389">
        <f>Raw_Data!A1389</f>
        <v>1388</v>
      </c>
      <c r="B1389" s="2">
        <f>Raw_Data!B1389</f>
        <v>45734.651782407404</v>
      </c>
      <c r="C1389">
        <f>YEAR(Raw_Data!B1389)</f>
        <v>2025</v>
      </c>
      <c r="D1389" t="str">
        <f>IF(MONTH(Raw_Data!B1389)&gt;=4,YEAR(Raw_Data!B1389)&amp;"-"&amp;RIGHT(YEAR(Raw_Data!B1389)+1,2),YEAR(Raw_Data!B1389)-1&amp;"-"&amp;RIGHT(YEAR(Raw_Data!B1389),2))</f>
        <v>2024-25</v>
      </c>
      <c r="E1389" t="str">
        <f>"Q"&amp;ROUNDUP(MONTH(Raw_Data!B1389)/3,0)</f>
        <v>Q1</v>
      </c>
      <c r="F1389" t="str">
        <f>TEXT(Raw_Data!B1389,"mmm")</f>
        <v>Mar</v>
      </c>
      <c r="G1389" t="str">
        <f>TEXT(Raw_Data!B1389,"ddd")</f>
        <v>Tue</v>
      </c>
      <c r="H1389" t="str">
        <f>Raw_Data!D1389</f>
        <v>Invoiced</v>
      </c>
      <c r="I1389" t="str">
        <f>Raw_Data!F1389</f>
        <v>Tele-in</v>
      </c>
      <c r="J1389" t="str">
        <f>Raw_Data!G1389</f>
        <v>UIO Re-purchase</v>
      </c>
      <c r="K1389" t="str">
        <f>IFERROR(VLOOKUP(J1389,Source_Assumptions!$A:$C,2,0),"Unmapped")</f>
        <v>Existing Customer</v>
      </c>
      <c r="L1389" t="str">
        <f>Raw_Data!H1389</f>
        <v>New Amaze 3G</v>
      </c>
      <c r="M1389" t="str">
        <f>IFERROR(VLOOKUP(L1389,Model_Assumptions!$A:$D,2,0),"Unmapped")</f>
        <v>Sub-4m Sedan</v>
      </c>
      <c r="N1389" t="str">
        <f>IFERROR(VLOOKUP(L1389,Model_Assumptions!$A:$D,3,0),"Unmapped")</f>
        <v>Petrol</v>
      </c>
      <c r="O1389">
        <f>IFERROR(VLOOKUP(L1389,Model_Assumptions!$A:$D,4,0),0)</f>
        <v>950000</v>
      </c>
      <c r="P1389">
        <f>IFERROR(VLOOKUP(J1389,Source_Assumptions!$A:$C,3,0),0)</f>
        <v>50</v>
      </c>
    </row>
    <row r="1390" spans="1:16" x14ac:dyDescent="0.3">
      <c r="A1390">
        <f>Raw_Data!A1390</f>
        <v>1389</v>
      </c>
      <c r="B1390" s="2">
        <f>Raw_Data!B1390</f>
        <v>45735.7415162037</v>
      </c>
      <c r="C1390">
        <f>YEAR(Raw_Data!B1390)</f>
        <v>2025</v>
      </c>
      <c r="D1390" t="str">
        <f>IF(MONTH(Raw_Data!B1390)&gt;=4,YEAR(Raw_Data!B1390)&amp;"-"&amp;RIGHT(YEAR(Raw_Data!B1390)+1,2),YEAR(Raw_Data!B1390)-1&amp;"-"&amp;RIGHT(YEAR(Raw_Data!B1390),2))</f>
        <v>2024-25</v>
      </c>
      <c r="E1390" t="str">
        <f>"Q"&amp;ROUNDUP(MONTH(Raw_Data!B1390)/3,0)</f>
        <v>Q1</v>
      </c>
      <c r="F1390" t="str">
        <f>TEXT(Raw_Data!B1390,"mmm")</f>
        <v>Mar</v>
      </c>
      <c r="G1390" t="str">
        <f>TEXT(Raw_Data!B1390,"ddd")</f>
        <v>Wed</v>
      </c>
      <c r="H1390" t="str">
        <f>Raw_Data!D1390</f>
        <v>Invoiced</v>
      </c>
      <c r="I1390" t="str">
        <f>Raw_Data!F1390</f>
        <v>Web Lead</v>
      </c>
      <c r="J1390" t="str">
        <f>Raw_Data!G1390</f>
        <v>Web_Organic</v>
      </c>
      <c r="K1390" t="str">
        <f>IFERROR(VLOOKUP(J1390,Source_Assumptions!$A:$C,2,0),"Unmapped")</f>
        <v>Digital - Organic</v>
      </c>
      <c r="L1390" t="str">
        <f>Raw_Data!H1390</f>
        <v>ELEVATE</v>
      </c>
      <c r="M1390" t="str">
        <f>IFERROR(VLOOKUP(L1390,Model_Assumptions!$A:$D,2,0),"Unmapped")</f>
        <v>Compact SUV</v>
      </c>
      <c r="N1390" t="str">
        <f>IFERROR(VLOOKUP(L1390,Model_Assumptions!$A:$D,3,0),"Unmapped")</f>
        <v>Petrol</v>
      </c>
      <c r="O1390">
        <f>IFERROR(VLOOKUP(L1390,Model_Assumptions!$A:$D,4,0),0)</f>
        <v>1300000</v>
      </c>
      <c r="P1390">
        <f>IFERROR(VLOOKUP(J1390,Source_Assumptions!$A:$C,3,0),0)</f>
        <v>100</v>
      </c>
    </row>
    <row r="1391" spans="1:16" x14ac:dyDescent="0.3">
      <c r="A1391">
        <f>Raw_Data!A1391</f>
        <v>1390</v>
      </c>
      <c r="B1391" s="2">
        <f>Raw_Data!B1391</f>
        <v>45736.658460648199</v>
      </c>
      <c r="C1391">
        <f>YEAR(Raw_Data!B1391)</f>
        <v>2025</v>
      </c>
      <c r="D1391" t="str">
        <f>IF(MONTH(Raw_Data!B1391)&gt;=4,YEAR(Raw_Data!B1391)&amp;"-"&amp;RIGHT(YEAR(Raw_Data!B1391)+1,2),YEAR(Raw_Data!B1391)-1&amp;"-"&amp;RIGHT(YEAR(Raw_Data!B1391),2))</f>
        <v>2024-25</v>
      </c>
      <c r="E1391" t="str">
        <f>"Q"&amp;ROUNDUP(MONTH(Raw_Data!B1391)/3,0)</f>
        <v>Q1</v>
      </c>
      <c r="F1391" t="str">
        <f>TEXT(Raw_Data!B1391,"mmm")</f>
        <v>Mar</v>
      </c>
      <c r="G1391" t="str">
        <f>TEXT(Raw_Data!B1391,"ddd")</f>
        <v>Thu</v>
      </c>
      <c r="H1391" t="str">
        <f>Raw_Data!D1391</f>
        <v>Invoiced</v>
      </c>
      <c r="I1391" t="str">
        <f>Raw_Data!F1391</f>
        <v>SMS/ Tele-Out</v>
      </c>
      <c r="J1391" t="str">
        <f>Raw_Data!G1391</f>
        <v>Database Activity(Teleout/SMS)</v>
      </c>
      <c r="K1391" t="str">
        <f>IFERROR(VLOOKUP(J1391,Source_Assumptions!$A:$C,2,0),"Unmapped")</f>
        <v>Outbound/Database</v>
      </c>
      <c r="L1391" t="str">
        <f>Raw_Data!H1391</f>
        <v>New Amaze 3G</v>
      </c>
      <c r="M1391" t="str">
        <f>IFERROR(VLOOKUP(L1391,Model_Assumptions!$A:$D,2,0),"Unmapped")</f>
        <v>Sub-4m Sedan</v>
      </c>
      <c r="N1391" t="str">
        <f>IFERROR(VLOOKUP(L1391,Model_Assumptions!$A:$D,3,0),"Unmapped")</f>
        <v>Petrol</v>
      </c>
      <c r="O1391">
        <f>IFERROR(VLOOKUP(L1391,Model_Assumptions!$A:$D,4,0),0)</f>
        <v>950000</v>
      </c>
      <c r="P1391">
        <f>IFERROR(VLOOKUP(J1391,Source_Assumptions!$A:$C,3,0),0)</f>
        <v>250</v>
      </c>
    </row>
    <row r="1392" spans="1:16" x14ac:dyDescent="0.3">
      <c r="A1392">
        <f>Raw_Data!A1392</f>
        <v>1391</v>
      </c>
      <c r="B1392" s="2">
        <f>Raw_Data!B1392</f>
        <v>45736.6747106482</v>
      </c>
      <c r="C1392">
        <f>YEAR(Raw_Data!B1392)</f>
        <v>2025</v>
      </c>
      <c r="D1392" t="str">
        <f>IF(MONTH(Raw_Data!B1392)&gt;=4,YEAR(Raw_Data!B1392)&amp;"-"&amp;RIGHT(YEAR(Raw_Data!B1392)+1,2),YEAR(Raw_Data!B1392)-1&amp;"-"&amp;RIGHT(YEAR(Raw_Data!B1392),2))</f>
        <v>2024-25</v>
      </c>
      <c r="E1392" t="str">
        <f>"Q"&amp;ROUNDUP(MONTH(Raw_Data!B1392)/3,0)</f>
        <v>Q1</v>
      </c>
      <c r="F1392" t="str">
        <f>TEXT(Raw_Data!B1392,"mmm")</f>
        <v>Mar</v>
      </c>
      <c r="G1392" t="str">
        <f>TEXT(Raw_Data!B1392,"ddd")</f>
        <v>Thu</v>
      </c>
      <c r="H1392" t="str">
        <f>Raw_Data!D1392</f>
        <v>Invoiced</v>
      </c>
      <c r="I1392" t="str">
        <f>Raw_Data!F1392</f>
        <v>Tele-in</v>
      </c>
      <c r="J1392" t="str">
        <f>Raw_Data!G1392</f>
        <v>Referral-CAM</v>
      </c>
      <c r="K1392" t="str">
        <f>IFERROR(VLOOKUP(J1392,Source_Assumptions!$A:$C,2,0),"Unmapped")</f>
        <v>Referral</v>
      </c>
      <c r="L1392" t="str">
        <f>Raw_Data!H1392</f>
        <v>New Amaze 3G</v>
      </c>
      <c r="M1392" t="str">
        <f>IFERROR(VLOOKUP(L1392,Model_Assumptions!$A:$D,2,0),"Unmapped")</f>
        <v>Sub-4m Sedan</v>
      </c>
      <c r="N1392" t="str">
        <f>IFERROR(VLOOKUP(L1392,Model_Assumptions!$A:$D,3,0),"Unmapped")</f>
        <v>Petrol</v>
      </c>
      <c r="O1392">
        <f>IFERROR(VLOOKUP(L1392,Model_Assumptions!$A:$D,4,0),0)</f>
        <v>950000</v>
      </c>
      <c r="P1392">
        <f>IFERROR(VLOOKUP(J1392,Source_Assumptions!$A:$C,3,0),0)</f>
        <v>150</v>
      </c>
    </row>
    <row r="1393" spans="1:16" x14ac:dyDescent="0.3">
      <c r="A1393">
        <f>Raw_Data!A1393</f>
        <v>1392</v>
      </c>
      <c r="B1393" s="2">
        <f>Raw_Data!B1393</f>
        <v>45736.748611111099</v>
      </c>
      <c r="C1393">
        <f>YEAR(Raw_Data!B1393)</f>
        <v>2025</v>
      </c>
      <c r="D1393" t="str">
        <f>IF(MONTH(Raw_Data!B1393)&gt;=4,YEAR(Raw_Data!B1393)&amp;"-"&amp;RIGHT(YEAR(Raw_Data!B1393)+1,2),YEAR(Raw_Data!B1393)-1&amp;"-"&amp;RIGHT(YEAR(Raw_Data!B1393),2))</f>
        <v>2024-25</v>
      </c>
      <c r="E1393" t="str">
        <f>"Q"&amp;ROUNDUP(MONTH(Raw_Data!B1393)/3,0)</f>
        <v>Q1</v>
      </c>
      <c r="F1393" t="str">
        <f>TEXT(Raw_Data!B1393,"mmm")</f>
        <v>Mar</v>
      </c>
      <c r="G1393" t="str">
        <f>TEXT(Raw_Data!B1393,"ddd")</f>
        <v>Thu</v>
      </c>
      <c r="H1393" t="str">
        <f>Raw_Data!D1393</f>
        <v>Invoiced</v>
      </c>
      <c r="I1393" t="str">
        <f>Raw_Data!F1393</f>
        <v>Walk-in Showroom</v>
      </c>
      <c r="J1393" t="str">
        <f>Raw_Data!G1393</f>
        <v>UIO Re-purchase</v>
      </c>
      <c r="K1393" t="str">
        <f>IFERROR(VLOOKUP(J1393,Source_Assumptions!$A:$C,2,0),"Unmapped")</f>
        <v>Existing Customer</v>
      </c>
      <c r="L1393" t="str">
        <f>Raw_Data!H1393</f>
        <v>5TH GEN CITY PE</v>
      </c>
      <c r="M1393" t="str">
        <f>IFERROR(VLOOKUP(L1393,Model_Assumptions!$A:$D,2,0),"Unmapped")</f>
        <v>Mid-size Sedan</v>
      </c>
      <c r="N1393" t="str">
        <f>IFERROR(VLOOKUP(L1393,Model_Assumptions!$A:$D,3,0),"Unmapped")</f>
        <v>Petrol</v>
      </c>
      <c r="O1393">
        <f>IFERROR(VLOOKUP(L1393,Model_Assumptions!$A:$D,4,0),0)</f>
        <v>1250000</v>
      </c>
      <c r="P1393">
        <f>IFERROR(VLOOKUP(J1393,Source_Assumptions!$A:$C,3,0),0)</f>
        <v>50</v>
      </c>
    </row>
    <row r="1394" spans="1:16" x14ac:dyDescent="0.3">
      <c r="A1394">
        <f>Raw_Data!A1394</f>
        <v>1393</v>
      </c>
      <c r="B1394" s="2">
        <f>Raw_Data!B1394</f>
        <v>45738.513865740701</v>
      </c>
      <c r="C1394">
        <f>YEAR(Raw_Data!B1394)</f>
        <v>2025</v>
      </c>
      <c r="D1394" t="str">
        <f>IF(MONTH(Raw_Data!B1394)&gt;=4,YEAR(Raw_Data!B1394)&amp;"-"&amp;RIGHT(YEAR(Raw_Data!B1394)+1,2),YEAR(Raw_Data!B1394)-1&amp;"-"&amp;RIGHT(YEAR(Raw_Data!B1394),2))</f>
        <v>2024-25</v>
      </c>
      <c r="E1394" t="str">
        <f>"Q"&amp;ROUNDUP(MONTH(Raw_Data!B1394)/3,0)</f>
        <v>Q1</v>
      </c>
      <c r="F1394" t="str">
        <f>TEXT(Raw_Data!B1394,"mmm")</f>
        <v>Mar</v>
      </c>
      <c r="G1394" t="str">
        <f>TEXT(Raw_Data!B1394,"ddd")</f>
        <v>Sat</v>
      </c>
      <c r="H1394" t="str">
        <f>Raw_Data!D1394</f>
        <v>Invoiced</v>
      </c>
      <c r="I1394" t="str">
        <f>Raw_Data!F1394</f>
        <v>SMS/ Tele-Out</v>
      </c>
      <c r="J1394" t="str">
        <f>Raw_Data!G1394</f>
        <v>Database Activity(Teleout/SMS)</v>
      </c>
      <c r="K1394" t="str">
        <f>IFERROR(VLOOKUP(J1394,Source_Assumptions!$A:$C,2,0),"Unmapped")</f>
        <v>Outbound/Database</v>
      </c>
      <c r="L1394" t="str">
        <f>Raw_Data!H1394</f>
        <v>ELEVATE</v>
      </c>
      <c r="M1394" t="str">
        <f>IFERROR(VLOOKUP(L1394,Model_Assumptions!$A:$D,2,0),"Unmapped")</f>
        <v>Compact SUV</v>
      </c>
      <c r="N1394" t="str">
        <f>IFERROR(VLOOKUP(L1394,Model_Assumptions!$A:$D,3,0),"Unmapped")</f>
        <v>Petrol</v>
      </c>
      <c r="O1394">
        <f>IFERROR(VLOOKUP(L1394,Model_Assumptions!$A:$D,4,0),0)</f>
        <v>1300000</v>
      </c>
      <c r="P1394">
        <f>IFERROR(VLOOKUP(J1394,Source_Assumptions!$A:$C,3,0),0)</f>
        <v>250</v>
      </c>
    </row>
    <row r="1395" spans="1:16" x14ac:dyDescent="0.3">
      <c r="A1395">
        <f>Raw_Data!A1395</f>
        <v>1394</v>
      </c>
      <c r="B1395" s="2">
        <f>Raw_Data!B1395</f>
        <v>45740.696041666699</v>
      </c>
      <c r="C1395">
        <f>YEAR(Raw_Data!B1395)</f>
        <v>2025</v>
      </c>
      <c r="D1395" t="str">
        <f>IF(MONTH(Raw_Data!B1395)&gt;=4,YEAR(Raw_Data!B1395)&amp;"-"&amp;RIGHT(YEAR(Raw_Data!B1395)+1,2),YEAR(Raw_Data!B1395)-1&amp;"-"&amp;RIGHT(YEAR(Raw_Data!B1395),2))</f>
        <v>2024-25</v>
      </c>
      <c r="E1395" t="str">
        <f>"Q"&amp;ROUNDUP(MONTH(Raw_Data!B1395)/3,0)</f>
        <v>Q1</v>
      </c>
      <c r="F1395" t="str">
        <f>TEXT(Raw_Data!B1395,"mmm")</f>
        <v>Mar</v>
      </c>
      <c r="G1395" t="str">
        <f>TEXT(Raw_Data!B1395,"ddd")</f>
        <v>Mon</v>
      </c>
      <c r="H1395" t="str">
        <f>Raw_Data!D1395</f>
        <v>Invoiced</v>
      </c>
      <c r="I1395" t="str">
        <f>Raw_Data!F1395</f>
        <v>SMS/ Tele-Out</v>
      </c>
      <c r="J1395" t="str">
        <f>Raw_Data!G1395</f>
        <v>Referral-CAM</v>
      </c>
      <c r="K1395" t="str">
        <f>IFERROR(VLOOKUP(J1395,Source_Assumptions!$A:$C,2,0),"Unmapped")</f>
        <v>Referral</v>
      </c>
      <c r="L1395" t="str">
        <f>Raw_Data!H1395</f>
        <v>ELEVATE</v>
      </c>
      <c r="M1395" t="str">
        <f>IFERROR(VLOOKUP(L1395,Model_Assumptions!$A:$D,2,0),"Unmapped")</f>
        <v>Compact SUV</v>
      </c>
      <c r="N1395" t="str">
        <f>IFERROR(VLOOKUP(L1395,Model_Assumptions!$A:$D,3,0),"Unmapped")</f>
        <v>Petrol</v>
      </c>
      <c r="O1395">
        <f>IFERROR(VLOOKUP(L1395,Model_Assumptions!$A:$D,4,0),0)</f>
        <v>1300000</v>
      </c>
      <c r="P1395">
        <f>IFERROR(VLOOKUP(J1395,Source_Assumptions!$A:$C,3,0),0)</f>
        <v>150</v>
      </c>
    </row>
    <row r="1396" spans="1:16" x14ac:dyDescent="0.3">
      <c r="A1396">
        <f>Raw_Data!A1396</f>
        <v>1395</v>
      </c>
      <c r="B1396" s="2">
        <f>Raw_Data!B1396</f>
        <v>45740.6980555556</v>
      </c>
      <c r="C1396">
        <f>YEAR(Raw_Data!B1396)</f>
        <v>2025</v>
      </c>
      <c r="D1396" t="str">
        <f>IF(MONTH(Raw_Data!B1396)&gt;=4,YEAR(Raw_Data!B1396)&amp;"-"&amp;RIGHT(YEAR(Raw_Data!B1396)+1,2),YEAR(Raw_Data!B1396)-1&amp;"-"&amp;RIGHT(YEAR(Raw_Data!B1396),2))</f>
        <v>2024-25</v>
      </c>
      <c r="E1396" t="str">
        <f>"Q"&amp;ROUNDUP(MONTH(Raw_Data!B1396)/3,0)</f>
        <v>Q1</v>
      </c>
      <c r="F1396" t="str">
        <f>TEXT(Raw_Data!B1396,"mmm")</f>
        <v>Mar</v>
      </c>
      <c r="G1396" t="str">
        <f>TEXT(Raw_Data!B1396,"ddd")</f>
        <v>Mon</v>
      </c>
      <c r="H1396" t="str">
        <f>Raw_Data!D1396</f>
        <v>Invoiced</v>
      </c>
      <c r="I1396" t="str">
        <f>Raw_Data!F1396</f>
        <v>SMS/ Tele-Out</v>
      </c>
      <c r="J1396" t="str">
        <f>Raw_Data!G1396</f>
        <v>Database Activity(Teleout/SMS)</v>
      </c>
      <c r="K1396" t="str">
        <f>IFERROR(VLOOKUP(J1396,Source_Assumptions!$A:$C,2,0),"Unmapped")</f>
        <v>Outbound/Database</v>
      </c>
      <c r="L1396" t="str">
        <f>Raw_Data!H1396</f>
        <v>ELEVATE</v>
      </c>
      <c r="M1396" t="str">
        <f>IFERROR(VLOOKUP(L1396,Model_Assumptions!$A:$D,2,0),"Unmapped")</f>
        <v>Compact SUV</v>
      </c>
      <c r="N1396" t="str">
        <f>IFERROR(VLOOKUP(L1396,Model_Assumptions!$A:$D,3,0),"Unmapped")</f>
        <v>Petrol</v>
      </c>
      <c r="O1396">
        <f>IFERROR(VLOOKUP(L1396,Model_Assumptions!$A:$D,4,0),0)</f>
        <v>1300000</v>
      </c>
      <c r="P1396">
        <f>IFERROR(VLOOKUP(J1396,Source_Assumptions!$A:$C,3,0),0)</f>
        <v>250</v>
      </c>
    </row>
    <row r="1397" spans="1:16" x14ac:dyDescent="0.3">
      <c r="A1397">
        <f>Raw_Data!A1397</f>
        <v>1396</v>
      </c>
      <c r="B1397" s="2">
        <f>Raw_Data!B1397</f>
        <v>45741.645347222198</v>
      </c>
      <c r="C1397">
        <f>YEAR(Raw_Data!B1397)</f>
        <v>2025</v>
      </c>
      <c r="D1397" t="str">
        <f>IF(MONTH(Raw_Data!B1397)&gt;=4,YEAR(Raw_Data!B1397)&amp;"-"&amp;RIGHT(YEAR(Raw_Data!B1397)+1,2),YEAR(Raw_Data!B1397)-1&amp;"-"&amp;RIGHT(YEAR(Raw_Data!B1397),2))</f>
        <v>2024-25</v>
      </c>
      <c r="E1397" t="str">
        <f>"Q"&amp;ROUNDUP(MONTH(Raw_Data!B1397)/3,0)</f>
        <v>Q1</v>
      </c>
      <c r="F1397" t="str">
        <f>TEXT(Raw_Data!B1397,"mmm")</f>
        <v>Mar</v>
      </c>
      <c r="G1397" t="str">
        <f>TEXT(Raw_Data!B1397,"ddd")</f>
        <v>Tue</v>
      </c>
      <c r="H1397" t="str">
        <f>Raw_Data!D1397</f>
        <v>Invoiced</v>
      </c>
      <c r="I1397" t="str">
        <f>Raw_Data!F1397</f>
        <v>Walk-in Showroom</v>
      </c>
      <c r="J1397" t="str">
        <f>Raw_Data!G1397</f>
        <v>I-BAP Referral</v>
      </c>
      <c r="K1397" t="str">
        <f>IFERROR(VLOOKUP(J1397,Source_Assumptions!$A:$C,2,0),"Unmapped")</f>
        <v>Referral (Insurance/Banking Partner)</v>
      </c>
      <c r="L1397" t="str">
        <f>Raw_Data!H1397</f>
        <v>New Amaze 3G</v>
      </c>
      <c r="M1397" t="str">
        <f>IFERROR(VLOOKUP(L1397,Model_Assumptions!$A:$D,2,0),"Unmapped")</f>
        <v>Sub-4m Sedan</v>
      </c>
      <c r="N1397" t="str">
        <f>IFERROR(VLOOKUP(L1397,Model_Assumptions!$A:$D,3,0),"Unmapped")</f>
        <v>Petrol</v>
      </c>
      <c r="O1397">
        <f>IFERROR(VLOOKUP(L1397,Model_Assumptions!$A:$D,4,0),0)</f>
        <v>950000</v>
      </c>
      <c r="P1397">
        <f>IFERROR(VLOOKUP(J1397,Source_Assumptions!$A:$C,3,0),0)</f>
        <v>150</v>
      </c>
    </row>
    <row r="1398" spans="1:16" x14ac:dyDescent="0.3">
      <c r="A1398">
        <f>Raw_Data!A1398</f>
        <v>1397</v>
      </c>
      <c r="B1398" s="2">
        <f>Raw_Data!B1398</f>
        <v>45741.646562499998</v>
      </c>
      <c r="C1398">
        <f>YEAR(Raw_Data!B1398)</f>
        <v>2025</v>
      </c>
      <c r="D1398" t="str">
        <f>IF(MONTH(Raw_Data!B1398)&gt;=4,YEAR(Raw_Data!B1398)&amp;"-"&amp;RIGHT(YEAR(Raw_Data!B1398)+1,2),YEAR(Raw_Data!B1398)-1&amp;"-"&amp;RIGHT(YEAR(Raw_Data!B1398),2))</f>
        <v>2024-25</v>
      </c>
      <c r="E1398" t="str">
        <f>"Q"&amp;ROUNDUP(MONTH(Raw_Data!B1398)/3,0)</f>
        <v>Q1</v>
      </c>
      <c r="F1398" t="str">
        <f>TEXT(Raw_Data!B1398,"mmm")</f>
        <v>Mar</v>
      </c>
      <c r="G1398" t="str">
        <f>TEXT(Raw_Data!B1398,"ddd")</f>
        <v>Tue</v>
      </c>
      <c r="H1398" t="str">
        <f>Raw_Data!D1398</f>
        <v>Invoiced</v>
      </c>
      <c r="I1398" t="str">
        <f>Raw_Data!F1398</f>
        <v>SMS/ Tele-Out</v>
      </c>
      <c r="J1398" t="str">
        <f>Raw_Data!G1398</f>
        <v>Database Activity(Teleout/SMS)</v>
      </c>
      <c r="K1398" t="str">
        <f>IFERROR(VLOOKUP(J1398,Source_Assumptions!$A:$C,2,0),"Unmapped")</f>
        <v>Outbound/Database</v>
      </c>
      <c r="L1398" t="str">
        <f>Raw_Data!H1398</f>
        <v>New Amaze 3G</v>
      </c>
      <c r="M1398" t="str">
        <f>IFERROR(VLOOKUP(L1398,Model_Assumptions!$A:$D,2,0),"Unmapped")</f>
        <v>Sub-4m Sedan</v>
      </c>
      <c r="N1398" t="str">
        <f>IFERROR(VLOOKUP(L1398,Model_Assumptions!$A:$D,3,0),"Unmapped")</f>
        <v>Petrol</v>
      </c>
      <c r="O1398">
        <f>IFERROR(VLOOKUP(L1398,Model_Assumptions!$A:$D,4,0),0)</f>
        <v>950000</v>
      </c>
      <c r="P1398">
        <f>IFERROR(VLOOKUP(J1398,Source_Assumptions!$A:$C,3,0),0)</f>
        <v>250</v>
      </c>
    </row>
    <row r="1399" spans="1:16" x14ac:dyDescent="0.3">
      <c r="A1399">
        <f>Raw_Data!A1399</f>
        <v>1398</v>
      </c>
      <c r="B1399" s="2">
        <f>Raw_Data!B1399</f>
        <v>45741.711689814802</v>
      </c>
      <c r="C1399">
        <f>YEAR(Raw_Data!B1399)</f>
        <v>2025</v>
      </c>
      <c r="D1399" t="str">
        <f>IF(MONTH(Raw_Data!B1399)&gt;=4,YEAR(Raw_Data!B1399)&amp;"-"&amp;RIGHT(YEAR(Raw_Data!B1399)+1,2),YEAR(Raw_Data!B1399)-1&amp;"-"&amp;RIGHT(YEAR(Raw_Data!B1399),2))</f>
        <v>2024-25</v>
      </c>
      <c r="E1399" t="str">
        <f>"Q"&amp;ROUNDUP(MONTH(Raw_Data!B1399)/3,0)</f>
        <v>Q1</v>
      </c>
      <c r="F1399" t="str">
        <f>TEXT(Raw_Data!B1399,"mmm")</f>
        <v>Mar</v>
      </c>
      <c r="G1399" t="str">
        <f>TEXT(Raw_Data!B1399,"ddd")</f>
        <v>Tue</v>
      </c>
      <c r="H1399" t="str">
        <f>Raw_Data!D1399</f>
        <v>Invoiced</v>
      </c>
      <c r="I1399" t="str">
        <f>Raw_Data!F1399</f>
        <v>Walk-in Showroom</v>
      </c>
      <c r="J1399" t="str">
        <f>Raw_Data!G1399</f>
        <v>Referral (HC/HBLP)</v>
      </c>
      <c r="K1399" t="str">
        <f>IFERROR(VLOOKUP(J1399,Source_Assumptions!$A:$C,2,0),"Unmapped")</f>
        <v>Referral (Happy Customer)</v>
      </c>
      <c r="L1399" t="str">
        <f>Raw_Data!H1399</f>
        <v>ELEVATE</v>
      </c>
      <c r="M1399" t="str">
        <f>IFERROR(VLOOKUP(L1399,Model_Assumptions!$A:$D,2,0),"Unmapped")</f>
        <v>Compact SUV</v>
      </c>
      <c r="N1399" t="str">
        <f>IFERROR(VLOOKUP(L1399,Model_Assumptions!$A:$D,3,0),"Unmapped")</f>
        <v>Petrol</v>
      </c>
      <c r="O1399">
        <f>IFERROR(VLOOKUP(L1399,Model_Assumptions!$A:$D,4,0),0)</f>
        <v>1300000</v>
      </c>
      <c r="P1399">
        <f>IFERROR(VLOOKUP(J1399,Source_Assumptions!$A:$C,3,0),0)</f>
        <v>100</v>
      </c>
    </row>
    <row r="1400" spans="1:16" x14ac:dyDescent="0.3">
      <c r="A1400">
        <f>Raw_Data!A1400</f>
        <v>1399</v>
      </c>
      <c r="B1400" s="2">
        <f>Raw_Data!B1400</f>
        <v>45742.4313541667</v>
      </c>
      <c r="C1400">
        <f>YEAR(Raw_Data!B1400)</f>
        <v>2025</v>
      </c>
      <c r="D1400" t="str">
        <f>IF(MONTH(Raw_Data!B1400)&gt;=4,YEAR(Raw_Data!B1400)&amp;"-"&amp;RIGHT(YEAR(Raw_Data!B1400)+1,2),YEAR(Raw_Data!B1400)-1&amp;"-"&amp;RIGHT(YEAR(Raw_Data!B1400),2))</f>
        <v>2024-25</v>
      </c>
      <c r="E1400" t="str">
        <f>"Q"&amp;ROUNDUP(MONTH(Raw_Data!B1400)/3,0)</f>
        <v>Q1</v>
      </c>
      <c r="F1400" t="str">
        <f>TEXT(Raw_Data!B1400,"mmm")</f>
        <v>Mar</v>
      </c>
      <c r="G1400" t="str">
        <f>TEXT(Raw_Data!B1400,"ddd")</f>
        <v>Wed</v>
      </c>
      <c r="H1400" t="str">
        <f>Raw_Data!D1400</f>
        <v>Invoiced</v>
      </c>
      <c r="I1400" t="str">
        <f>Raw_Data!F1400</f>
        <v>SMS/ Tele-Out</v>
      </c>
      <c r="J1400" t="str">
        <f>Raw_Data!G1400</f>
        <v>I-BAP Referral</v>
      </c>
      <c r="K1400" t="str">
        <f>IFERROR(VLOOKUP(J1400,Source_Assumptions!$A:$C,2,0),"Unmapped")</f>
        <v>Referral (Insurance/Banking Partner)</v>
      </c>
      <c r="L1400" t="str">
        <f>Raw_Data!H1400</f>
        <v>5TH GEN CITY e:HEV</v>
      </c>
      <c r="M1400" t="str">
        <f>IFERROR(VLOOKUP(L1400,Model_Assumptions!$A:$D,2,0),"Unmapped")</f>
        <v>Mid-size Sedan</v>
      </c>
      <c r="N1400" t="str">
        <f>IFERROR(VLOOKUP(L1400,Model_Assumptions!$A:$D,3,0),"Unmapped")</f>
        <v>Hybrid</v>
      </c>
      <c r="O1400">
        <f>IFERROR(VLOOKUP(L1400,Model_Assumptions!$A:$D,4,0),0)</f>
        <v>1950000</v>
      </c>
      <c r="P1400">
        <f>IFERROR(VLOOKUP(J1400,Source_Assumptions!$A:$C,3,0),0)</f>
        <v>150</v>
      </c>
    </row>
    <row r="1401" spans="1:16" x14ac:dyDescent="0.3">
      <c r="A1401">
        <f>Raw_Data!A1401</f>
        <v>1400</v>
      </c>
      <c r="B1401" s="2">
        <f>Raw_Data!B1401</f>
        <v>45742</v>
      </c>
      <c r="C1401">
        <f>YEAR(Raw_Data!B1401)</f>
        <v>2025</v>
      </c>
      <c r="D1401" t="str">
        <f>IF(MONTH(Raw_Data!B1401)&gt;=4,YEAR(Raw_Data!B1401)&amp;"-"&amp;RIGHT(YEAR(Raw_Data!B1401)+1,2),YEAR(Raw_Data!B1401)-1&amp;"-"&amp;RIGHT(YEAR(Raw_Data!B1401),2))</f>
        <v>2024-25</v>
      </c>
      <c r="E1401" t="str">
        <f>"Q"&amp;ROUNDUP(MONTH(Raw_Data!B1401)/3,0)</f>
        <v>Q1</v>
      </c>
      <c r="F1401" t="str">
        <f>TEXT(Raw_Data!B1401,"mmm")</f>
        <v>Mar</v>
      </c>
      <c r="G1401" t="str">
        <f>TEXT(Raw_Data!B1401,"ddd")</f>
        <v>Wed</v>
      </c>
      <c r="H1401" t="str">
        <f>Raw_Data!D1401</f>
        <v>Invoiced</v>
      </c>
      <c r="I1401" t="str">
        <f>Raw_Data!F1401</f>
        <v>Walk-in Showroom</v>
      </c>
      <c r="J1401" t="str">
        <f>Raw_Data!G1401</f>
        <v>I-BAP Referral</v>
      </c>
      <c r="K1401" t="str">
        <f>IFERROR(VLOOKUP(J1401,Source_Assumptions!$A:$C,2,0),"Unmapped")</f>
        <v>Referral (Insurance/Banking Partner)</v>
      </c>
      <c r="L1401" t="str">
        <f>Raw_Data!H1401</f>
        <v>New Amaze 3G</v>
      </c>
      <c r="M1401" t="str">
        <f>IFERROR(VLOOKUP(L1401,Model_Assumptions!$A:$D,2,0),"Unmapped")</f>
        <v>Sub-4m Sedan</v>
      </c>
      <c r="N1401" t="str">
        <f>IFERROR(VLOOKUP(L1401,Model_Assumptions!$A:$D,3,0),"Unmapped")</f>
        <v>Petrol</v>
      </c>
      <c r="O1401">
        <f>IFERROR(VLOOKUP(L1401,Model_Assumptions!$A:$D,4,0),0)</f>
        <v>950000</v>
      </c>
      <c r="P1401">
        <f>IFERROR(VLOOKUP(J1401,Source_Assumptions!$A:$C,3,0),0)</f>
        <v>150</v>
      </c>
    </row>
    <row r="1402" spans="1:16" x14ac:dyDescent="0.3">
      <c r="A1402">
        <f>Raw_Data!A1402</f>
        <v>1401</v>
      </c>
      <c r="B1402" s="2">
        <f>Raw_Data!B1402</f>
        <v>45742</v>
      </c>
      <c r="C1402">
        <f>YEAR(Raw_Data!B1402)</f>
        <v>2025</v>
      </c>
      <c r="D1402" t="str">
        <f>IF(MONTH(Raw_Data!B1402)&gt;=4,YEAR(Raw_Data!B1402)&amp;"-"&amp;RIGHT(YEAR(Raw_Data!B1402)+1,2),YEAR(Raw_Data!B1402)-1&amp;"-"&amp;RIGHT(YEAR(Raw_Data!B1402),2))</f>
        <v>2024-25</v>
      </c>
      <c r="E1402" t="str">
        <f>"Q"&amp;ROUNDUP(MONTH(Raw_Data!B1402)/3,0)</f>
        <v>Q1</v>
      </c>
      <c r="F1402" t="str">
        <f>TEXT(Raw_Data!B1402,"mmm")</f>
        <v>Mar</v>
      </c>
      <c r="G1402" t="str">
        <f>TEXT(Raw_Data!B1402,"ddd")</f>
        <v>Wed</v>
      </c>
      <c r="H1402" t="str">
        <f>Raw_Data!D1402</f>
        <v>Invoiced</v>
      </c>
      <c r="I1402" t="str">
        <f>Raw_Data!F1402</f>
        <v>Walk-in Showroom</v>
      </c>
      <c r="J1402" t="str">
        <f>Raw_Data!G1402</f>
        <v>Adver. (TVC/Print/Hoarding/FM)</v>
      </c>
      <c r="K1402" t="str">
        <f>IFERROR(VLOOKUP(J1402,Source_Assumptions!$A:$C,2,0),"Unmapped")</f>
        <v>Traditional Advertising</v>
      </c>
      <c r="L1402" t="str">
        <f>Raw_Data!H1402</f>
        <v>New Amaze 3G</v>
      </c>
      <c r="M1402" t="str">
        <f>IFERROR(VLOOKUP(L1402,Model_Assumptions!$A:$D,2,0),"Unmapped")</f>
        <v>Sub-4m Sedan</v>
      </c>
      <c r="N1402" t="str">
        <f>IFERROR(VLOOKUP(L1402,Model_Assumptions!$A:$D,3,0),"Unmapped")</f>
        <v>Petrol</v>
      </c>
      <c r="O1402">
        <f>IFERROR(VLOOKUP(L1402,Model_Assumptions!$A:$D,4,0),0)</f>
        <v>950000</v>
      </c>
      <c r="P1402">
        <f>IFERROR(VLOOKUP(J1402,Source_Assumptions!$A:$C,3,0),0)</f>
        <v>1200</v>
      </c>
    </row>
    <row r="1403" spans="1:16" x14ac:dyDescent="0.3">
      <c r="A1403">
        <f>Raw_Data!A1403</f>
        <v>1402</v>
      </c>
      <c r="B1403" s="2">
        <f>Raw_Data!B1403</f>
        <v>45742</v>
      </c>
      <c r="C1403">
        <f>YEAR(Raw_Data!B1403)</f>
        <v>2025</v>
      </c>
      <c r="D1403" t="str">
        <f>IF(MONTH(Raw_Data!B1403)&gt;=4,YEAR(Raw_Data!B1403)&amp;"-"&amp;RIGHT(YEAR(Raw_Data!B1403)+1,2),YEAR(Raw_Data!B1403)-1&amp;"-"&amp;RIGHT(YEAR(Raw_Data!B1403),2))</f>
        <v>2024-25</v>
      </c>
      <c r="E1403" t="str">
        <f>"Q"&amp;ROUNDUP(MONTH(Raw_Data!B1403)/3,0)</f>
        <v>Q1</v>
      </c>
      <c r="F1403" t="str">
        <f>TEXT(Raw_Data!B1403,"mmm")</f>
        <v>Mar</v>
      </c>
      <c r="G1403" t="str">
        <f>TEXT(Raw_Data!B1403,"ddd")</f>
        <v>Wed</v>
      </c>
      <c r="H1403" t="str">
        <f>Raw_Data!D1403</f>
        <v>Invoiced</v>
      </c>
      <c r="I1403" t="str">
        <f>Raw_Data!F1403</f>
        <v>Walk-in Showroom</v>
      </c>
      <c r="J1403" t="str">
        <f>Raw_Data!G1403</f>
        <v>Adver. (TVC/Print/Hoarding/FM)</v>
      </c>
      <c r="K1403" t="str">
        <f>IFERROR(VLOOKUP(J1403,Source_Assumptions!$A:$C,2,0),"Unmapped")</f>
        <v>Traditional Advertising</v>
      </c>
      <c r="L1403" t="str">
        <f>Raw_Data!H1403</f>
        <v>New Amaze 3G</v>
      </c>
      <c r="M1403" t="str">
        <f>IFERROR(VLOOKUP(L1403,Model_Assumptions!$A:$D,2,0),"Unmapped")</f>
        <v>Sub-4m Sedan</v>
      </c>
      <c r="N1403" t="str">
        <f>IFERROR(VLOOKUP(L1403,Model_Assumptions!$A:$D,3,0),"Unmapped")</f>
        <v>Petrol</v>
      </c>
      <c r="O1403">
        <f>IFERROR(VLOOKUP(L1403,Model_Assumptions!$A:$D,4,0),0)</f>
        <v>950000</v>
      </c>
      <c r="P1403">
        <f>IFERROR(VLOOKUP(J1403,Source_Assumptions!$A:$C,3,0),0)</f>
        <v>1200</v>
      </c>
    </row>
    <row r="1404" spans="1:16" x14ac:dyDescent="0.3">
      <c r="A1404">
        <f>Raw_Data!A1404</f>
        <v>1403</v>
      </c>
      <c r="B1404" s="2">
        <f>Raw_Data!B1404</f>
        <v>45743</v>
      </c>
      <c r="C1404">
        <f>YEAR(Raw_Data!B1404)</f>
        <v>2025</v>
      </c>
      <c r="D1404" t="str">
        <f>IF(MONTH(Raw_Data!B1404)&gt;=4,YEAR(Raw_Data!B1404)&amp;"-"&amp;RIGHT(YEAR(Raw_Data!B1404)+1,2),YEAR(Raw_Data!B1404)-1&amp;"-"&amp;RIGHT(YEAR(Raw_Data!B1404),2))</f>
        <v>2024-25</v>
      </c>
      <c r="E1404" t="str">
        <f>"Q"&amp;ROUNDUP(MONTH(Raw_Data!B1404)/3,0)</f>
        <v>Q1</v>
      </c>
      <c r="F1404" t="str">
        <f>TEXT(Raw_Data!B1404,"mmm")</f>
        <v>Mar</v>
      </c>
      <c r="G1404" t="str">
        <f>TEXT(Raw_Data!B1404,"ddd")</f>
        <v>Thu</v>
      </c>
      <c r="H1404" t="str">
        <f>Raw_Data!D1404</f>
        <v>Invoiced</v>
      </c>
      <c r="I1404" t="str">
        <f>Raw_Data!F1404</f>
        <v>Tele-in</v>
      </c>
      <c r="J1404" t="str">
        <f>Raw_Data!G1404</f>
        <v>Dealer Webpage Tele-In</v>
      </c>
      <c r="K1404" t="str">
        <f>IFERROR(VLOOKUP(J1404,Source_Assumptions!$A:$C,2,0),"Unmapped")</f>
        <v>Digital - Owned</v>
      </c>
      <c r="L1404" t="str">
        <f>Raw_Data!H1404</f>
        <v>AMAZE Petrol</v>
      </c>
      <c r="M1404" t="str">
        <f>IFERROR(VLOOKUP(L1404,Model_Assumptions!$A:$D,2,0),"Unmapped")</f>
        <v>Sub-4m Sedan</v>
      </c>
      <c r="N1404" t="str">
        <f>IFERROR(VLOOKUP(L1404,Model_Assumptions!$A:$D,3,0),"Unmapped")</f>
        <v>Petrol</v>
      </c>
      <c r="O1404">
        <f>IFERROR(VLOOKUP(L1404,Model_Assumptions!$A:$D,4,0),0)</f>
        <v>850000</v>
      </c>
      <c r="P1404">
        <f>IFERROR(VLOOKUP(J1404,Source_Assumptions!$A:$C,3,0),0)</f>
        <v>300</v>
      </c>
    </row>
    <row r="1405" spans="1:16" x14ac:dyDescent="0.3">
      <c r="A1405">
        <f>Raw_Data!A1405</f>
        <v>1404</v>
      </c>
      <c r="B1405" s="2">
        <f>Raw_Data!B1405</f>
        <v>45743</v>
      </c>
      <c r="C1405">
        <f>YEAR(Raw_Data!B1405)</f>
        <v>2025</v>
      </c>
      <c r="D1405" t="str">
        <f>IF(MONTH(Raw_Data!B1405)&gt;=4,YEAR(Raw_Data!B1405)&amp;"-"&amp;RIGHT(YEAR(Raw_Data!B1405)+1,2),YEAR(Raw_Data!B1405)-1&amp;"-"&amp;RIGHT(YEAR(Raw_Data!B1405),2))</f>
        <v>2024-25</v>
      </c>
      <c r="E1405" t="str">
        <f>"Q"&amp;ROUNDUP(MONTH(Raw_Data!B1405)/3,0)</f>
        <v>Q1</v>
      </c>
      <c r="F1405" t="str">
        <f>TEXT(Raw_Data!B1405,"mmm")</f>
        <v>Mar</v>
      </c>
      <c r="G1405" t="str">
        <f>TEXT(Raw_Data!B1405,"ddd")</f>
        <v>Thu</v>
      </c>
      <c r="H1405" t="str">
        <f>Raw_Data!D1405</f>
        <v>Invoiced</v>
      </c>
      <c r="I1405" t="str">
        <f>Raw_Data!F1405</f>
        <v>Walk-in Showroom</v>
      </c>
      <c r="J1405" t="str">
        <f>Raw_Data!G1405</f>
        <v>Service Visit</v>
      </c>
      <c r="K1405" t="str">
        <f>IFERROR(VLOOKUP(J1405,Source_Assumptions!$A:$C,2,0),"Unmapped")</f>
        <v>Existing Customer</v>
      </c>
      <c r="L1405" t="str">
        <f>Raw_Data!H1405</f>
        <v>5TH GEN CITY PE</v>
      </c>
      <c r="M1405" t="str">
        <f>IFERROR(VLOOKUP(L1405,Model_Assumptions!$A:$D,2,0),"Unmapped")</f>
        <v>Mid-size Sedan</v>
      </c>
      <c r="N1405" t="str">
        <f>IFERROR(VLOOKUP(L1405,Model_Assumptions!$A:$D,3,0),"Unmapped")</f>
        <v>Petrol</v>
      </c>
      <c r="O1405">
        <f>IFERROR(VLOOKUP(L1405,Model_Assumptions!$A:$D,4,0),0)</f>
        <v>1250000</v>
      </c>
      <c r="P1405">
        <f>IFERROR(VLOOKUP(J1405,Source_Assumptions!$A:$C,3,0),0)</f>
        <v>50</v>
      </c>
    </row>
    <row r="1406" spans="1:16" x14ac:dyDescent="0.3">
      <c r="A1406">
        <f>Raw_Data!A1406</f>
        <v>1405</v>
      </c>
      <c r="B1406" s="2">
        <f>Raw_Data!B1406</f>
        <v>45743</v>
      </c>
      <c r="C1406">
        <f>YEAR(Raw_Data!B1406)</f>
        <v>2025</v>
      </c>
      <c r="D1406" t="str">
        <f>IF(MONTH(Raw_Data!B1406)&gt;=4,YEAR(Raw_Data!B1406)&amp;"-"&amp;RIGHT(YEAR(Raw_Data!B1406)+1,2),YEAR(Raw_Data!B1406)-1&amp;"-"&amp;RIGHT(YEAR(Raw_Data!B1406),2))</f>
        <v>2024-25</v>
      </c>
      <c r="E1406" t="str">
        <f>"Q"&amp;ROUNDUP(MONTH(Raw_Data!B1406)/3,0)</f>
        <v>Q1</v>
      </c>
      <c r="F1406" t="str">
        <f>TEXT(Raw_Data!B1406,"mmm")</f>
        <v>Mar</v>
      </c>
      <c r="G1406" t="str">
        <f>TEXT(Raw_Data!B1406,"ddd")</f>
        <v>Thu</v>
      </c>
      <c r="H1406" t="str">
        <f>Raw_Data!D1406</f>
        <v>Invoiced</v>
      </c>
      <c r="I1406" t="str">
        <f>Raw_Data!F1406</f>
        <v>Web Lead</v>
      </c>
      <c r="J1406" t="str">
        <f>Raw_Data!G1406</f>
        <v>Web_Facebook</v>
      </c>
      <c r="K1406" t="str">
        <f>IFERROR(VLOOKUP(J1406,Source_Assumptions!$A:$C,2,0),"Unmapped")</f>
        <v>Digital - Paid Social</v>
      </c>
      <c r="L1406" t="str">
        <f>Raw_Data!H1406</f>
        <v>AMAZE Petrol</v>
      </c>
      <c r="M1406" t="str">
        <f>IFERROR(VLOOKUP(L1406,Model_Assumptions!$A:$D,2,0),"Unmapped")</f>
        <v>Sub-4m Sedan</v>
      </c>
      <c r="N1406" t="str">
        <f>IFERROR(VLOOKUP(L1406,Model_Assumptions!$A:$D,3,0),"Unmapped")</f>
        <v>Petrol</v>
      </c>
      <c r="O1406">
        <f>IFERROR(VLOOKUP(L1406,Model_Assumptions!$A:$D,4,0),0)</f>
        <v>850000</v>
      </c>
      <c r="P1406">
        <f>IFERROR(VLOOKUP(J1406,Source_Assumptions!$A:$C,3,0),0)</f>
        <v>600</v>
      </c>
    </row>
    <row r="1407" spans="1:16" x14ac:dyDescent="0.3">
      <c r="A1407">
        <f>Raw_Data!A1407</f>
        <v>1406</v>
      </c>
      <c r="B1407" s="2">
        <f>Raw_Data!B1407</f>
        <v>45744</v>
      </c>
      <c r="C1407">
        <f>YEAR(Raw_Data!B1407)</f>
        <v>2025</v>
      </c>
      <c r="D1407" t="str">
        <f>IF(MONTH(Raw_Data!B1407)&gt;=4,YEAR(Raw_Data!B1407)&amp;"-"&amp;RIGHT(YEAR(Raw_Data!B1407)+1,2),YEAR(Raw_Data!B1407)-1&amp;"-"&amp;RIGHT(YEAR(Raw_Data!B1407),2))</f>
        <v>2024-25</v>
      </c>
      <c r="E1407" t="str">
        <f>"Q"&amp;ROUNDUP(MONTH(Raw_Data!B1407)/3,0)</f>
        <v>Q1</v>
      </c>
      <c r="F1407" t="str">
        <f>TEXT(Raw_Data!B1407,"mmm")</f>
        <v>Mar</v>
      </c>
      <c r="G1407" t="str">
        <f>TEXT(Raw_Data!B1407,"ddd")</f>
        <v>Fri</v>
      </c>
      <c r="H1407" t="str">
        <f>Raw_Data!D1407</f>
        <v>Invoiced</v>
      </c>
      <c r="I1407" t="str">
        <f>Raw_Data!F1407</f>
        <v>Web Lead</v>
      </c>
      <c r="J1407" t="str">
        <f>Raw_Data!G1407</f>
        <v>91Wheels</v>
      </c>
      <c r="K1407" t="str">
        <f>IFERROR(VLOOKUP(J1407,Source_Assumptions!$A:$C,2,0),"Unmapped")</f>
        <v>Digital - Aggregator (Paid)</v>
      </c>
      <c r="L1407" t="str">
        <f>Raw_Data!H1407</f>
        <v>New Amaze 3G</v>
      </c>
      <c r="M1407" t="str">
        <f>IFERROR(VLOOKUP(L1407,Model_Assumptions!$A:$D,2,0),"Unmapped")</f>
        <v>Sub-4m Sedan</v>
      </c>
      <c r="N1407" t="str">
        <f>IFERROR(VLOOKUP(L1407,Model_Assumptions!$A:$D,3,0),"Unmapped")</f>
        <v>Petrol</v>
      </c>
      <c r="O1407">
        <f>IFERROR(VLOOKUP(L1407,Model_Assumptions!$A:$D,4,0),0)</f>
        <v>950000</v>
      </c>
      <c r="P1407">
        <f>IFERROR(VLOOKUP(J1407,Source_Assumptions!$A:$C,3,0),0)</f>
        <v>900</v>
      </c>
    </row>
    <row r="1408" spans="1:16" x14ac:dyDescent="0.3">
      <c r="A1408">
        <f>Raw_Data!A1408</f>
        <v>1407</v>
      </c>
      <c r="B1408" s="2">
        <f>Raw_Data!B1408</f>
        <v>45745</v>
      </c>
      <c r="C1408">
        <f>YEAR(Raw_Data!B1408)</f>
        <v>2025</v>
      </c>
      <c r="D1408" t="str">
        <f>IF(MONTH(Raw_Data!B1408)&gt;=4,YEAR(Raw_Data!B1408)&amp;"-"&amp;RIGHT(YEAR(Raw_Data!B1408)+1,2),YEAR(Raw_Data!B1408)-1&amp;"-"&amp;RIGHT(YEAR(Raw_Data!B1408),2))</f>
        <v>2024-25</v>
      </c>
      <c r="E1408" t="str">
        <f>"Q"&amp;ROUNDUP(MONTH(Raw_Data!B1408)/3,0)</f>
        <v>Q1</v>
      </c>
      <c r="F1408" t="str">
        <f>TEXT(Raw_Data!B1408,"mmm")</f>
        <v>Mar</v>
      </c>
      <c r="G1408" t="str">
        <f>TEXT(Raw_Data!B1408,"ddd")</f>
        <v>Sat</v>
      </c>
      <c r="H1408" t="str">
        <f>Raw_Data!D1408</f>
        <v>Invoiced</v>
      </c>
      <c r="I1408" t="str">
        <f>Raw_Data!F1408</f>
        <v>Web Lead</v>
      </c>
      <c r="J1408" t="str">
        <f>Raw_Data!G1408</f>
        <v>Web_Organic</v>
      </c>
      <c r="K1408" t="str">
        <f>IFERROR(VLOOKUP(J1408,Source_Assumptions!$A:$C,2,0),"Unmapped")</f>
        <v>Digital - Organic</v>
      </c>
      <c r="L1408" t="str">
        <f>Raw_Data!H1408</f>
        <v>5TH GEN CITY PE</v>
      </c>
      <c r="M1408" t="str">
        <f>IFERROR(VLOOKUP(L1408,Model_Assumptions!$A:$D,2,0),"Unmapped")</f>
        <v>Mid-size Sedan</v>
      </c>
      <c r="N1408" t="str">
        <f>IFERROR(VLOOKUP(L1408,Model_Assumptions!$A:$D,3,0),"Unmapped")</f>
        <v>Petrol</v>
      </c>
      <c r="O1408">
        <f>IFERROR(VLOOKUP(L1408,Model_Assumptions!$A:$D,4,0),0)</f>
        <v>1250000</v>
      </c>
      <c r="P1408">
        <f>IFERROR(VLOOKUP(J1408,Source_Assumptions!$A:$C,3,0),0)</f>
        <v>100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08"/>
  <sheetViews>
    <sheetView tabSelected="1" zoomScaleNormal="100" workbookViewId="0"/>
  </sheetViews>
  <sheetFormatPr defaultColWidth="8.6640625" defaultRowHeight="14.4" x14ac:dyDescent="0.3"/>
  <sheetData>
    <row r="1" spans="1:8" x14ac:dyDescent="0.3">
      <c r="A1" t="s">
        <v>16</v>
      </c>
      <c r="B1" t="s">
        <v>1</v>
      </c>
      <c r="C1" t="s">
        <v>17</v>
      </c>
      <c r="D1" t="s">
        <v>7</v>
      </c>
      <c r="E1" t="s">
        <v>18</v>
      </c>
      <c r="F1" t="s">
        <v>8</v>
      </c>
      <c r="G1" t="s">
        <v>9</v>
      </c>
      <c r="H1" t="s">
        <v>11</v>
      </c>
    </row>
    <row r="2" spans="1:8" x14ac:dyDescent="0.3">
      <c r="A2">
        <v>1</v>
      </c>
      <c r="B2" s="3">
        <v>44566.576828703699</v>
      </c>
      <c r="C2" s="3">
        <v>44562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</row>
    <row r="3" spans="1:8" x14ac:dyDescent="0.3">
      <c r="A3">
        <v>2</v>
      </c>
      <c r="B3" s="3">
        <v>44572.411226851902</v>
      </c>
      <c r="C3" s="3">
        <v>44562</v>
      </c>
      <c r="D3" t="s">
        <v>19</v>
      </c>
      <c r="E3" t="s">
        <v>24</v>
      </c>
      <c r="F3" t="s">
        <v>25</v>
      </c>
      <c r="G3" t="s">
        <v>26</v>
      </c>
      <c r="H3" t="s">
        <v>27</v>
      </c>
    </row>
    <row r="4" spans="1:8" x14ac:dyDescent="0.3">
      <c r="A4">
        <v>3</v>
      </c>
      <c r="B4" s="3">
        <v>44575.495625000003</v>
      </c>
      <c r="C4" s="3">
        <v>44562</v>
      </c>
      <c r="D4" t="s">
        <v>19</v>
      </c>
      <c r="E4" t="s">
        <v>28</v>
      </c>
      <c r="F4" t="s">
        <v>21</v>
      </c>
      <c r="G4" t="s">
        <v>29</v>
      </c>
      <c r="H4" t="s">
        <v>30</v>
      </c>
    </row>
    <row r="5" spans="1:8" x14ac:dyDescent="0.3">
      <c r="A5">
        <v>4</v>
      </c>
      <c r="B5" s="3">
        <v>44576.494791666701</v>
      </c>
      <c r="C5" s="3">
        <v>44562</v>
      </c>
      <c r="D5" t="s">
        <v>19</v>
      </c>
      <c r="E5" t="s">
        <v>31</v>
      </c>
      <c r="F5" t="s">
        <v>32</v>
      </c>
      <c r="G5" t="s">
        <v>33</v>
      </c>
      <c r="H5" t="s">
        <v>30</v>
      </c>
    </row>
    <row r="6" spans="1:8" x14ac:dyDescent="0.3">
      <c r="A6">
        <v>5</v>
      </c>
      <c r="B6" s="3">
        <v>44576.5773611111</v>
      </c>
      <c r="C6" s="3">
        <v>44562</v>
      </c>
      <c r="D6" t="s">
        <v>19</v>
      </c>
      <c r="E6" t="s">
        <v>34</v>
      </c>
      <c r="F6" t="s">
        <v>32</v>
      </c>
      <c r="G6" t="s">
        <v>33</v>
      </c>
      <c r="H6" t="s">
        <v>30</v>
      </c>
    </row>
    <row r="7" spans="1:8" x14ac:dyDescent="0.3">
      <c r="A7">
        <v>6</v>
      </c>
      <c r="B7" s="3">
        <v>44576.652233796303</v>
      </c>
      <c r="C7" s="3">
        <v>44562</v>
      </c>
      <c r="D7" t="s">
        <v>19</v>
      </c>
      <c r="E7" t="s">
        <v>35</v>
      </c>
      <c r="F7" t="s">
        <v>32</v>
      </c>
      <c r="G7" t="s">
        <v>33</v>
      </c>
      <c r="H7" t="s">
        <v>27</v>
      </c>
    </row>
    <row r="8" spans="1:8" x14ac:dyDescent="0.3">
      <c r="A8">
        <v>7</v>
      </c>
      <c r="B8" s="3">
        <v>44576.6631597222</v>
      </c>
      <c r="C8" s="3">
        <v>44562</v>
      </c>
      <c r="D8" t="s">
        <v>19</v>
      </c>
      <c r="E8" t="s">
        <v>36</v>
      </c>
      <c r="F8" t="s">
        <v>21</v>
      </c>
      <c r="G8" t="s">
        <v>22</v>
      </c>
      <c r="H8" t="s">
        <v>30</v>
      </c>
    </row>
    <row r="9" spans="1:8" x14ac:dyDescent="0.3">
      <c r="A9">
        <v>8</v>
      </c>
      <c r="B9" s="3">
        <v>44578.748252314799</v>
      </c>
      <c r="C9" s="3">
        <v>44562</v>
      </c>
      <c r="D9" t="s">
        <v>19</v>
      </c>
      <c r="E9" t="s">
        <v>37</v>
      </c>
      <c r="F9" t="s">
        <v>21</v>
      </c>
      <c r="G9" t="s">
        <v>22</v>
      </c>
      <c r="H9" t="s">
        <v>30</v>
      </c>
    </row>
    <row r="10" spans="1:8" x14ac:dyDescent="0.3">
      <c r="A10">
        <v>9</v>
      </c>
      <c r="B10" s="3">
        <v>44579.6024652778</v>
      </c>
      <c r="C10" s="3">
        <v>44562</v>
      </c>
      <c r="D10" t="s">
        <v>19</v>
      </c>
      <c r="E10" t="s">
        <v>38</v>
      </c>
      <c r="F10" t="s">
        <v>21</v>
      </c>
      <c r="G10" t="s">
        <v>29</v>
      </c>
      <c r="H10" t="s">
        <v>30</v>
      </c>
    </row>
    <row r="11" spans="1:8" x14ac:dyDescent="0.3">
      <c r="A11">
        <v>10</v>
      </c>
      <c r="B11" s="3">
        <v>44579.608344907399</v>
      </c>
      <c r="C11" s="3">
        <v>44562</v>
      </c>
      <c r="D11" t="s">
        <v>19</v>
      </c>
      <c r="E11" t="s">
        <v>39</v>
      </c>
      <c r="F11" t="s">
        <v>40</v>
      </c>
      <c r="G11" t="s">
        <v>41</v>
      </c>
      <c r="H11" t="s">
        <v>27</v>
      </c>
    </row>
    <row r="12" spans="1:8" x14ac:dyDescent="0.3">
      <c r="A12">
        <v>11</v>
      </c>
      <c r="B12" s="3">
        <v>44579.612754629597</v>
      </c>
      <c r="C12" s="3">
        <v>44562</v>
      </c>
      <c r="D12" t="s">
        <v>19</v>
      </c>
      <c r="E12" t="s">
        <v>42</v>
      </c>
      <c r="F12" t="s">
        <v>21</v>
      </c>
      <c r="G12" t="s">
        <v>29</v>
      </c>
      <c r="H12" t="s">
        <v>27</v>
      </c>
    </row>
    <row r="13" spans="1:8" x14ac:dyDescent="0.3">
      <c r="A13">
        <v>12</v>
      </c>
      <c r="B13" s="3">
        <v>44579.642268518503</v>
      </c>
      <c r="C13" s="3">
        <v>44562</v>
      </c>
      <c r="D13" t="s">
        <v>19</v>
      </c>
      <c r="E13" t="s">
        <v>43</v>
      </c>
      <c r="F13" t="s">
        <v>21</v>
      </c>
      <c r="G13" t="s">
        <v>29</v>
      </c>
      <c r="H13" t="s">
        <v>27</v>
      </c>
    </row>
    <row r="14" spans="1:8" x14ac:dyDescent="0.3">
      <c r="A14">
        <v>13</v>
      </c>
      <c r="B14" s="3">
        <v>44579.6463657407</v>
      </c>
      <c r="C14" s="3">
        <v>44562</v>
      </c>
      <c r="D14" t="s">
        <v>19</v>
      </c>
      <c r="E14" t="s">
        <v>44</v>
      </c>
      <c r="F14" t="s">
        <v>21</v>
      </c>
      <c r="G14" t="s">
        <v>22</v>
      </c>
      <c r="H14" t="s">
        <v>30</v>
      </c>
    </row>
    <row r="15" spans="1:8" x14ac:dyDescent="0.3">
      <c r="A15">
        <v>14</v>
      </c>
      <c r="B15" s="3">
        <v>44579.732615740701</v>
      </c>
      <c r="C15" s="3">
        <v>44562</v>
      </c>
      <c r="D15" t="s">
        <v>19</v>
      </c>
      <c r="E15" t="s">
        <v>45</v>
      </c>
      <c r="F15" t="s">
        <v>21</v>
      </c>
      <c r="G15" t="s">
        <v>29</v>
      </c>
      <c r="H15" t="s">
        <v>30</v>
      </c>
    </row>
    <row r="16" spans="1:8" x14ac:dyDescent="0.3">
      <c r="A16">
        <v>15</v>
      </c>
      <c r="B16" s="3">
        <v>44579.737604166701</v>
      </c>
      <c r="C16" s="3">
        <v>44562</v>
      </c>
      <c r="D16" t="s">
        <v>19</v>
      </c>
      <c r="E16" t="s">
        <v>46</v>
      </c>
      <c r="F16" t="s">
        <v>25</v>
      </c>
      <c r="G16" t="s">
        <v>29</v>
      </c>
      <c r="H16" t="s">
        <v>30</v>
      </c>
    </row>
    <row r="17" spans="1:8" x14ac:dyDescent="0.3">
      <c r="A17">
        <v>16</v>
      </c>
      <c r="B17" s="3">
        <v>44580.4578819444</v>
      </c>
      <c r="C17" s="3">
        <v>44562</v>
      </c>
      <c r="D17" t="s">
        <v>19</v>
      </c>
      <c r="E17" t="s">
        <v>47</v>
      </c>
      <c r="F17" t="s">
        <v>40</v>
      </c>
      <c r="G17" t="s">
        <v>48</v>
      </c>
      <c r="H17" t="s">
        <v>30</v>
      </c>
    </row>
    <row r="18" spans="1:8" x14ac:dyDescent="0.3">
      <c r="A18">
        <v>17</v>
      </c>
      <c r="B18" s="3">
        <v>44580.5441782407</v>
      </c>
      <c r="C18" s="3">
        <v>44562</v>
      </c>
      <c r="D18" t="s">
        <v>19</v>
      </c>
      <c r="E18" t="s">
        <v>49</v>
      </c>
      <c r="F18" t="s">
        <v>21</v>
      </c>
      <c r="G18" t="s">
        <v>29</v>
      </c>
      <c r="H18" t="s">
        <v>27</v>
      </c>
    </row>
    <row r="19" spans="1:8" x14ac:dyDescent="0.3">
      <c r="A19">
        <v>18</v>
      </c>
      <c r="B19" s="3">
        <v>44580.726307870398</v>
      </c>
      <c r="C19" s="3">
        <v>44562</v>
      </c>
      <c r="D19" t="s">
        <v>19</v>
      </c>
      <c r="E19" t="s">
        <v>50</v>
      </c>
      <c r="F19" t="s">
        <v>21</v>
      </c>
      <c r="G19" t="s">
        <v>29</v>
      </c>
      <c r="H19" t="s">
        <v>51</v>
      </c>
    </row>
    <row r="20" spans="1:8" x14ac:dyDescent="0.3">
      <c r="A20">
        <v>19</v>
      </c>
      <c r="B20" s="3">
        <v>44581.583749999998</v>
      </c>
      <c r="C20" s="3">
        <v>44562</v>
      </c>
      <c r="D20" t="s">
        <v>19</v>
      </c>
      <c r="E20" t="s">
        <v>52</v>
      </c>
      <c r="F20" t="s">
        <v>21</v>
      </c>
      <c r="G20" t="s">
        <v>29</v>
      </c>
      <c r="H20" t="s">
        <v>27</v>
      </c>
    </row>
    <row r="21" spans="1:8" x14ac:dyDescent="0.3">
      <c r="A21">
        <v>20</v>
      </c>
      <c r="B21" s="3">
        <v>44582.505081018498</v>
      </c>
      <c r="C21" s="3">
        <v>44562</v>
      </c>
      <c r="D21" t="s">
        <v>19</v>
      </c>
      <c r="E21" t="s">
        <v>53</v>
      </c>
      <c r="F21" t="s">
        <v>25</v>
      </c>
      <c r="G21" t="s">
        <v>26</v>
      </c>
      <c r="H21" t="s">
        <v>27</v>
      </c>
    </row>
    <row r="22" spans="1:8" x14ac:dyDescent="0.3">
      <c r="A22">
        <v>21</v>
      </c>
      <c r="B22" s="3">
        <v>44582.515625</v>
      </c>
      <c r="C22" s="3">
        <v>44562</v>
      </c>
      <c r="D22" t="s">
        <v>19</v>
      </c>
      <c r="E22" t="s">
        <v>54</v>
      </c>
      <c r="F22" t="s">
        <v>21</v>
      </c>
      <c r="G22" t="s">
        <v>29</v>
      </c>
      <c r="H22" t="s">
        <v>30</v>
      </c>
    </row>
    <row r="23" spans="1:8" x14ac:dyDescent="0.3">
      <c r="A23">
        <v>22</v>
      </c>
      <c r="B23" s="3">
        <v>44582.6777546296</v>
      </c>
      <c r="C23" s="3">
        <v>44562</v>
      </c>
      <c r="D23" t="s">
        <v>19</v>
      </c>
      <c r="E23" t="s">
        <v>55</v>
      </c>
      <c r="F23" t="s">
        <v>21</v>
      </c>
      <c r="G23" t="s">
        <v>22</v>
      </c>
      <c r="H23" t="s">
        <v>27</v>
      </c>
    </row>
    <row r="24" spans="1:8" x14ac:dyDescent="0.3">
      <c r="A24">
        <v>23</v>
      </c>
      <c r="B24" s="3">
        <v>44582.679745370398</v>
      </c>
      <c r="C24" s="3">
        <v>44562</v>
      </c>
      <c r="D24" t="s">
        <v>19</v>
      </c>
      <c r="E24" t="s">
        <v>56</v>
      </c>
      <c r="F24" t="s">
        <v>21</v>
      </c>
      <c r="G24" t="s">
        <v>29</v>
      </c>
      <c r="H24" t="s">
        <v>30</v>
      </c>
    </row>
    <row r="25" spans="1:8" x14ac:dyDescent="0.3">
      <c r="A25">
        <v>24</v>
      </c>
      <c r="B25" s="3">
        <v>44582.684004629598</v>
      </c>
      <c r="C25" s="3">
        <v>44562</v>
      </c>
      <c r="D25" t="s">
        <v>19</v>
      </c>
      <c r="E25" t="s">
        <v>57</v>
      </c>
      <c r="F25" t="s">
        <v>40</v>
      </c>
      <c r="G25" t="s">
        <v>58</v>
      </c>
      <c r="H25" t="s">
        <v>30</v>
      </c>
    </row>
    <row r="26" spans="1:8" x14ac:dyDescent="0.3">
      <c r="A26">
        <v>25</v>
      </c>
      <c r="B26" s="3">
        <v>44583.530092592599</v>
      </c>
      <c r="C26" s="3">
        <v>44562</v>
      </c>
      <c r="D26" t="s">
        <v>19</v>
      </c>
      <c r="E26" t="s">
        <v>59</v>
      </c>
      <c r="F26" t="s">
        <v>21</v>
      </c>
      <c r="G26" t="s">
        <v>29</v>
      </c>
      <c r="H26" t="s">
        <v>51</v>
      </c>
    </row>
    <row r="27" spans="1:8" x14ac:dyDescent="0.3">
      <c r="A27">
        <v>26</v>
      </c>
      <c r="B27" s="3">
        <v>44583.621689814798</v>
      </c>
      <c r="C27" s="3">
        <v>44562</v>
      </c>
      <c r="D27" t="s">
        <v>19</v>
      </c>
      <c r="E27" t="s">
        <v>60</v>
      </c>
      <c r="F27" t="s">
        <v>21</v>
      </c>
      <c r="G27" t="s">
        <v>22</v>
      </c>
      <c r="H27" t="s">
        <v>27</v>
      </c>
    </row>
    <row r="28" spans="1:8" x14ac:dyDescent="0.3">
      <c r="A28">
        <v>27</v>
      </c>
      <c r="B28" s="3">
        <v>44583.669039351902</v>
      </c>
      <c r="C28" s="3">
        <v>44562</v>
      </c>
      <c r="D28" t="s">
        <v>19</v>
      </c>
      <c r="E28" t="s">
        <v>61</v>
      </c>
      <c r="F28" t="s">
        <v>32</v>
      </c>
      <c r="G28" t="s">
        <v>33</v>
      </c>
      <c r="H28" t="s">
        <v>30</v>
      </c>
    </row>
    <row r="29" spans="1:8" x14ac:dyDescent="0.3">
      <c r="A29">
        <v>28</v>
      </c>
      <c r="B29" s="3">
        <v>44585.571655092601</v>
      </c>
      <c r="C29" s="3">
        <v>44562</v>
      </c>
      <c r="D29" t="s">
        <v>19</v>
      </c>
      <c r="E29" t="s">
        <v>62</v>
      </c>
      <c r="F29" t="s">
        <v>25</v>
      </c>
      <c r="G29" t="s">
        <v>26</v>
      </c>
      <c r="H29" t="s">
        <v>30</v>
      </c>
    </row>
    <row r="30" spans="1:8" x14ac:dyDescent="0.3">
      <c r="A30">
        <v>29</v>
      </c>
      <c r="B30" s="3">
        <v>44585.614849537</v>
      </c>
      <c r="C30" s="3">
        <v>44562</v>
      </c>
      <c r="D30" t="s">
        <v>19</v>
      </c>
      <c r="E30" t="s">
        <v>63</v>
      </c>
      <c r="F30" t="s">
        <v>21</v>
      </c>
      <c r="G30" t="s">
        <v>22</v>
      </c>
      <c r="H30" t="s">
        <v>23</v>
      </c>
    </row>
    <row r="31" spans="1:8" x14ac:dyDescent="0.3">
      <c r="A31">
        <v>30</v>
      </c>
      <c r="B31" s="3">
        <v>44585.620300925897</v>
      </c>
      <c r="C31" s="3">
        <v>44562</v>
      </c>
      <c r="D31" t="s">
        <v>19</v>
      </c>
      <c r="E31" t="s">
        <v>64</v>
      </c>
      <c r="F31" t="s">
        <v>21</v>
      </c>
      <c r="G31" t="s">
        <v>22</v>
      </c>
      <c r="H31" t="s">
        <v>30</v>
      </c>
    </row>
    <row r="32" spans="1:8" x14ac:dyDescent="0.3">
      <c r="A32">
        <v>31</v>
      </c>
      <c r="B32" s="3">
        <v>44585.708495370403</v>
      </c>
      <c r="C32" s="3">
        <v>44562</v>
      </c>
      <c r="D32" t="s">
        <v>19</v>
      </c>
      <c r="E32" t="s">
        <v>65</v>
      </c>
      <c r="F32" t="s">
        <v>21</v>
      </c>
      <c r="G32" t="s">
        <v>22</v>
      </c>
      <c r="H32" t="s">
        <v>66</v>
      </c>
    </row>
    <row r="33" spans="1:8" x14ac:dyDescent="0.3">
      <c r="A33">
        <v>32</v>
      </c>
      <c r="B33" s="3">
        <v>44586.543564814798</v>
      </c>
      <c r="C33" s="3">
        <v>44562</v>
      </c>
      <c r="D33" t="s">
        <v>19</v>
      </c>
      <c r="E33" t="s">
        <v>67</v>
      </c>
      <c r="F33" t="s">
        <v>21</v>
      </c>
      <c r="G33" t="s">
        <v>22</v>
      </c>
      <c r="H33" t="s">
        <v>27</v>
      </c>
    </row>
    <row r="34" spans="1:8" x14ac:dyDescent="0.3">
      <c r="A34">
        <v>33</v>
      </c>
      <c r="B34" s="3">
        <v>44588.601319444497</v>
      </c>
      <c r="C34" s="3">
        <v>44562</v>
      </c>
      <c r="D34" t="s">
        <v>19</v>
      </c>
      <c r="E34" t="s">
        <v>68</v>
      </c>
      <c r="F34" t="s">
        <v>25</v>
      </c>
      <c r="G34" t="s">
        <v>69</v>
      </c>
      <c r="H34" t="s">
        <v>30</v>
      </c>
    </row>
    <row r="35" spans="1:8" x14ac:dyDescent="0.3">
      <c r="A35">
        <v>34</v>
      </c>
      <c r="B35" s="3">
        <v>44589.432280092602</v>
      </c>
      <c r="C35" s="3">
        <v>44562</v>
      </c>
      <c r="D35" t="s">
        <v>19</v>
      </c>
      <c r="E35" t="s">
        <v>70</v>
      </c>
      <c r="F35" t="s">
        <v>21</v>
      </c>
      <c r="G35" t="s">
        <v>71</v>
      </c>
      <c r="H35" t="s">
        <v>23</v>
      </c>
    </row>
    <row r="36" spans="1:8" x14ac:dyDescent="0.3">
      <c r="A36">
        <v>35</v>
      </c>
      <c r="B36" s="3">
        <v>44589.631469907399</v>
      </c>
      <c r="C36" s="3">
        <v>44562</v>
      </c>
      <c r="D36" t="s">
        <v>19</v>
      </c>
      <c r="E36" t="s">
        <v>72</v>
      </c>
      <c r="F36" t="s">
        <v>32</v>
      </c>
      <c r="G36" t="s">
        <v>33</v>
      </c>
      <c r="H36" t="s">
        <v>30</v>
      </c>
    </row>
    <row r="37" spans="1:8" x14ac:dyDescent="0.3">
      <c r="A37">
        <v>36</v>
      </c>
      <c r="B37" s="3">
        <v>44589.738055555601</v>
      </c>
      <c r="C37" s="3">
        <v>44562</v>
      </c>
      <c r="D37" t="s">
        <v>19</v>
      </c>
      <c r="E37" t="s">
        <v>73</v>
      </c>
      <c r="F37" t="s">
        <v>25</v>
      </c>
      <c r="G37" t="s">
        <v>26</v>
      </c>
      <c r="H37" t="s">
        <v>30</v>
      </c>
    </row>
    <row r="38" spans="1:8" x14ac:dyDescent="0.3">
      <c r="A38">
        <v>37</v>
      </c>
      <c r="B38" s="3">
        <v>44590.4686574074</v>
      </c>
      <c r="C38" s="3">
        <v>44562</v>
      </c>
      <c r="D38" t="s">
        <v>19</v>
      </c>
      <c r="E38" t="s">
        <v>74</v>
      </c>
      <c r="F38" t="s">
        <v>40</v>
      </c>
      <c r="G38" t="s">
        <v>75</v>
      </c>
      <c r="H38" t="s">
        <v>23</v>
      </c>
    </row>
    <row r="39" spans="1:8" x14ac:dyDescent="0.3">
      <c r="A39">
        <v>38</v>
      </c>
      <c r="B39" s="3">
        <v>44590.684594907398</v>
      </c>
      <c r="C39" s="3">
        <v>44562</v>
      </c>
      <c r="D39" t="s">
        <v>19</v>
      </c>
      <c r="E39" t="s">
        <v>76</v>
      </c>
      <c r="F39" t="s">
        <v>21</v>
      </c>
      <c r="G39" t="s">
        <v>29</v>
      </c>
      <c r="H39" t="s">
        <v>27</v>
      </c>
    </row>
    <row r="40" spans="1:8" x14ac:dyDescent="0.3">
      <c r="A40">
        <v>39</v>
      </c>
      <c r="B40" s="3">
        <v>44590.783252314803</v>
      </c>
      <c r="C40" s="3">
        <v>44562</v>
      </c>
      <c r="D40" t="s">
        <v>19</v>
      </c>
      <c r="E40" t="s">
        <v>77</v>
      </c>
      <c r="F40" t="s">
        <v>40</v>
      </c>
      <c r="G40" t="s">
        <v>48</v>
      </c>
      <c r="H40" t="s">
        <v>30</v>
      </c>
    </row>
    <row r="41" spans="1:8" x14ac:dyDescent="0.3">
      <c r="A41">
        <v>40</v>
      </c>
      <c r="B41" s="3">
        <v>44592.511701388903</v>
      </c>
      <c r="C41" s="3">
        <v>44562</v>
      </c>
      <c r="D41" t="s">
        <v>19</v>
      </c>
      <c r="E41" t="s">
        <v>78</v>
      </c>
      <c r="F41" t="s">
        <v>21</v>
      </c>
      <c r="G41" t="s">
        <v>22</v>
      </c>
      <c r="H41" t="s">
        <v>27</v>
      </c>
    </row>
    <row r="42" spans="1:8" x14ac:dyDescent="0.3">
      <c r="A42">
        <v>41</v>
      </c>
      <c r="B42" s="3">
        <v>44592.517407407402</v>
      </c>
      <c r="C42" s="3">
        <v>44562</v>
      </c>
      <c r="D42" t="s">
        <v>19</v>
      </c>
      <c r="E42" t="s">
        <v>79</v>
      </c>
      <c r="F42" t="s">
        <v>25</v>
      </c>
      <c r="G42" t="s">
        <v>26</v>
      </c>
      <c r="H42" t="s">
        <v>30</v>
      </c>
    </row>
    <row r="43" spans="1:8" x14ac:dyDescent="0.3">
      <c r="A43">
        <v>42</v>
      </c>
      <c r="B43" s="3">
        <v>44592.560335648202</v>
      </c>
      <c r="C43" s="3">
        <v>44562</v>
      </c>
      <c r="D43" t="s">
        <v>19</v>
      </c>
      <c r="E43" t="s">
        <v>80</v>
      </c>
      <c r="F43" t="s">
        <v>21</v>
      </c>
      <c r="G43" t="s">
        <v>29</v>
      </c>
      <c r="H43" t="s">
        <v>30</v>
      </c>
    </row>
    <row r="44" spans="1:8" x14ac:dyDescent="0.3">
      <c r="A44">
        <v>43</v>
      </c>
      <c r="B44" s="3">
        <v>44592.577615740702</v>
      </c>
      <c r="C44" s="3">
        <v>44562</v>
      </c>
      <c r="D44" t="s">
        <v>19</v>
      </c>
      <c r="E44" t="s">
        <v>81</v>
      </c>
      <c r="F44" t="s">
        <v>40</v>
      </c>
      <c r="G44" t="s">
        <v>58</v>
      </c>
      <c r="H44" t="s">
        <v>27</v>
      </c>
    </row>
    <row r="45" spans="1:8" x14ac:dyDescent="0.3">
      <c r="A45">
        <v>44</v>
      </c>
      <c r="B45" s="3">
        <v>44592.605844907397</v>
      </c>
      <c r="C45" s="3">
        <v>44562</v>
      </c>
      <c r="D45" t="s">
        <v>19</v>
      </c>
      <c r="E45" t="s">
        <v>82</v>
      </c>
      <c r="F45" t="s">
        <v>21</v>
      </c>
      <c r="G45" t="s">
        <v>29</v>
      </c>
      <c r="H45" t="s">
        <v>51</v>
      </c>
    </row>
    <row r="46" spans="1:8" x14ac:dyDescent="0.3">
      <c r="A46">
        <v>45</v>
      </c>
      <c r="B46" s="3">
        <v>44592.743414351899</v>
      </c>
      <c r="C46" s="3">
        <v>44562</v>
      </c>
      <c r="D46" t="s">
        <v>19</v>
      </c>
      <c r="E46" t="s">
        <v>83</v>
      </c>
      <c r="F46" t="s">
        <v>21</v>
      </c>
      <c r="G46" t="s">
        <v>22</v>
      </c>
      <c r="H46" t="s">
        <v>27</v>
      </c>
    </row>
    <row r="47" spans="1:8" x14ac:dyDescent="0.3">
      <c r="A47">
        <v>46</v>
      </c>
      <c r="B47" s="3">
        <v>44592.825706018499</v>
      </c>
      <c r="C47" s="3">
        <v>44562</v>
      </c>
      <c r="D47" t="s">
        <v>19</v>
      </c>
      <c r="E47" t="s">
        <v>84</v>
      </c>
      <c r="F47" t="s">
        <v>21</v>
      </c>
      <c r="G47" t="s">
        <v>22</v>
      </c>
      <c r="H47" t="s">
        <v>27</v>
      </c>
    </row>
    <row r="48" spans="1:8" x14ac:dyDescent="0.3">
      <c r="A48">
        <v>47</v>
      </c>
      <c r="B48" s="3">
        <v>44592.827349537001</v>
      </c>
      <c r="C48" s="3">
        <v>44562</v>
      </c>
      <c r="D48" t="s">
        <v>19</v>
      </c>
      <c r="E48" t="s">
        <v>85</v>
      </c>
      <c r="F48" t="s">
        <v>25</v>
      </c>
      <c r="G48" t="s">
        <v>26</v>
      </c>
      <c r="H48" t="s">
        <v>86</v>
      </c>
    </row>
    <row r="49" spans="1:8" x14ac:dyDescent="0.3">
      <c r="A49">
        <v>48</v>
      </c>
      <c r="B49" s="3">
        <v>44592.8294328704</v>
      </c>
      <c r="C49" s="3">
        <v>44562</v>
      </c>
      <c r="D49" t="s">
        <v>19</v>
      </c>
      <c r="E49" t="s">
        <v>87</v>
      </c>
      <c r="F49" t="s">
        <v>21</v>
      </c>
      <c r="G49" t="s">
        <v>29</v>
      </c>
      <c r="H49" t="s">
        <v>30</v>
      </c>
    </row>
    <row r="50" spans="1:8" x14ac:dyDescent="0.3">
      <c r="A50">
        <v>49</v>
      </c>
      <c r="B50" s="3">
        <v>44592.830729166701</v>
      </c>
      <c r="C50" s="3">
        <v>44562</v>
      </c>
      <c r="D50" t="s">
        <v>19</v>
      </c>
      <c r="E50" t="s">
        <v>88</v>
      </c>
      <c r="F50" t="s">
        <v>21</v>
      </c>
      <c r="G50" t="s">
        <v>29</v>
      </c>
      <c r="H50" t="s">
        <v>27</v>
      </c>
    </row>
    <row r="51" spans="1:8" x14ac:dyDescent="0.3">
      <c r="A51">
        <v>50</v>
      </c>
      <c r="B51" s="3">
        <v>44592.831898148201</v>
      </c>
      <c r="C51" s="3">
        <v>44562</v>
      </c>
      <c r="D51" t="s">
        <v>19</v>
      </c>
      <c r="E51" t="s">
        <v>89</v>
      </c>
      <c r="F51" t="s">
        <v>21</v>
      </c>
      <c r="G51" t="s">
        <v>29</v>
      </c>
      <c r="H51" t="s">
        <v>27</v>
      </c>
    </row>
    <row r="52" spans="1:8" x14ac:dyDescent="0.3">
      <c r="A52">
        <v>51</v>
      </c>
      <c r="B52" s="3">
        <v>44592.833275463003</v>
      </c>
      <c r="C52" s="3">
        <v>44562</v>
      </c>
      <c r="D52" t="s">
        <v>19</v>
      </c>
      <c r="E52" t="s">
        <v>90</v>
      </c>
      <c r="F52" t="s">
        <v>32</v>
      </c>
      <c r="G52" t="s">
        <v>33</v>
      </c>
      <c r="H52" t="s">
        <v>27</v>
      </c>
    </row>
    <row r="53" spans="1:8" x14ac:dyDescent="0.3">
      <c r="A53">
        <v>52</v>
      </c>
      <c r="B53" s="3">
        <v>44592.855381944399</v>
      </c>
      <c r="C53" s="3">
        <v>44562</v>
      </c>
      <c r="D53" t="s">
        <v>19</v>
      </c>
      <c r="E53" t="s">
        <v>91</v>
      </c>
      <c r="F53" t="s">
        <v>21</v>
      </c>
      <c r="G53" t="s">
        <v>22</v>
      </c>
      <c r="H53" t="s">
        <v>27</v>
      </c>
    </row>
    <row r="54" spans="1:8" x14ac:dyDescent="0.3">
      <c r="A54">
        <v>53</v>
      </c>
      <c r="B54" s="3">
        <v>44596.6275231482</v>
      </c>
      <c r="C54" s="3">
        <v>44593</v>
      </c>
      <c r="D54" t="s">
        <v>19</v>
      </c>
      <c r="E54" t="s">
        <v>92</v>
      </c>
      <c r="F54" t="s">
        <v>21</v>
      </c>
      <c r="G54" t="s">
        <v>22</v>
      </c>
      <c r="H54" t="s">
        <v>27</v>
      </c>
    </row>
    <row r="55" spans="1:8" x14ac:dyDescent="0.3">
      <c r="A55">
        <v>54</v>
      </c>
      <c r="B55" s="3">
        <v>44596.718148148197</v>
      </c>
      <c r="C55" s="3">
        <v>44593</v>
      </c>
      <c r="D55" t="s">
        <v>19</v>
      </c>
      <c r="E55" t="s">
        <v>93</v>
      </c>
      <c r="F55" t="s">
        <v>21</v>
      </c>
      <c r="G55" t="s">
        <v>22</v>
      </c>
      <c r="H55" t="s">
        <v>23</v>
      </c>
    </row>
    <row r="56" spans="1:8" x14ac:dyDescent="0.3">
      <c r="A56">
        <v>55</v>
      </c>
      <c r="B56" s="3">
        <v>44597.458530092597</v>
      </c>
      <c r="C56" s="3">
        <v>44593</v>
      </c>
      <c r="D56" t="s">
        <v>19</v>
      </c>
      <c r="E56" t="s">
        <v>94</v>
      </c>
      <c r="F56" t="s">
        <v>40</v>
      </c>
      <c r="G56" t="s">
        <v>58</v>
      </c>
      <c r="H56" t="s">
        <v>27</v>
      </c>
    </row>
    <row r="57" spans="1:8" x14ac:dyDescent="0.3">
      <c r="A57">
        <v>56</v>
      </c>
      <c r="B57" s="3">
        <v>44600.601342592599</v>
      </c>
      <c r="C57" s="3">
        <v>44593</v>
      </c>
      <c r="D57" t="s">
        <v>19</v>
      </c>
      <c r="E57" t="s">
        <v>95</v>
      </c>
      <c r="F57" t="s">
        <v>21</v>
      </c>
      <c r="G57" t="s">
        <v>29</v>
      </c>
      <c r="H57" t="s">
        <v>27</v>
      </c>
    </row>
    <row r="58" spans="1:8" x14ac:dyDescent="0.3">
      <c r="A58">
        <v>57</v>
      </c>
      <c r="B58" s="3">
        <v>44601.692638888897</v>
      </c>
      <c r="C58" s="3">
        <v>44593</v>
      </c>
      <c r="D58" t="s">
        <v>19</v>
      </c>
      <c r="E58" t="s">
        <v>96</v>
      </c>
      <c r="F58" t="s">
        <v>40</v>
      </c>
      <c r="G58" t="s">
        <v>48</v>
      </c>
      <c r="H58" t="s">
        <v>27</v>
      </c>
    </row>
    <row r="59" spans="1:8" x14ac:dyDescent="0.3">
      <c r="A59">
        <v>58</v>
      </c>
      <c r="B59" s="3">
        <v>44602.6473148148</v>
      </c>
      <c r="C59" s="3">
        <v>44593</v>
      </c>
      <c r="D59" t="s">
        <v>19</v>
      </c>
      <c r="E59" t="s">
        <v>97</v>
      </c>
      <c r="F59" t="s">
        <v>21</v>
      </c>
      <c r="G59" t="s">
        <v>33</v>
      </c>
      <c r="H59" t="s">
        <v>30</v>
      </c>
    </row>
    <row r="60" spans="1:8" x14ac:dyDescent="0.3">
      <c r="A60">
        <v>59</v>
      </c>
      <c r="B60" s="3">
        <v>44606.5213657407</v>
      </c>
      <c r="C60" s="3">
        <v>44593</v>
      </c>
      <c r="D60" t="s">
        <v>19</v>
      </c>
      <c r="E60" t="s">
        <v>98</v>
      </c>
      <c r="F60" t="s">
        <v>21</v>
      </c>
      <c r="G60" t="s">
        <v>22</v>
      </c>
      <c r="H60" t="s">
        <v>27</v>
      </c>
    </row>
    <row r="61" spans="1:8" x14ac:dyDescent="0.3">
      <c r="A61">
        <v>60</v>
      </c>
      <c r="B61" s="3">
        <v>44607.494791666701</v>
      </c>
      <c r="C61" s="3">
        <v>44593</v>
      </c>
      <c r="D61" t="s">
        <v>19</v>
      </c>
      <c r="E61" t="s">
        <v>99</v>
      </c>
      <c r="F61" t="s">
        <v>25</v>
      </c>
      <c r="G61" t="s">
        <v>26</v>
      </c>
      <c r="H61" t="s">
        <v>27</v>
      </c>
    </row>
    <row r="62" spans="1:8" x14ac:dyDescent="0.3">
      <c r="A62">
        <v>61</v>
      </c>
      <c r="B62" s="3">
        <v>44607.530682870398</v>
      </c>
      <c r="C62" s="3">
        <v>44593</v>
      </c>
      <c r="D62" t="s">
        <v>19</v>
      </c>
      <c r="E62" t="s">
        <v>100</v>
      </c>
      <c r="F62" t="s">
        <v>21</v>
      </c>
      <c r="G62" t="s">
        <v>29</v>
      </c>
      <c r="H62" t="s">
        <v>27</v>
      </c>
    </row>
    <row r="63" spans="1:8" x14ac:dyDescent="0.3">
      <c r="A63">
        <v>62</v>
      </c>
      <c r="B63" s="3">
        <v>44607.657199074099</v>
      </c>
      <c r="C63" s="3">
        <v>44593</v>
      </c>
      <c r="D63" t="s">
        <v>19</v>
      </c>
      <c r="E63" t="s">
        <v>101</v>
      </c>
      <c r="F63" t="s">
        <v>21</v>
      </c>
      <c r="G63" t="s">
        <v>22</v>
      </c>
      <c r="H63" t="s">
        <v>30</v>
      </c>
    </row>
    <row r="64" spans="1:8" x14ac:dyDescent="0.3">
      <c r="A64">
        <v>63</v>
      </c>
      <c r="B64" s="3">
        <v>44608.523182870398</v>
      </c>
      <c r="C64" s="3">
        <v>44593</v>
      </c>
      <c r="D64" t="s">
        <v>19</v>
      </c>
      <c r="E64" t="s">
        <v>102</v>
      </c>
      <c r="F64" t="s">
        <v>32</v>
      </c>
      <c r="G64" t="s">
        <v>33</v>
      </c>
      <c r="H64" t="s">
        <v>30</v>
      </c>
    </row>
    <row r="65" spans="1:8" x14ac:dyDescent="0.3">
      <c r="A65">
        <v>64</v>
      </c>
      <c r="B65" s="3">
        <v>44608.6948148148</v>
      </c>
      <c r="C65" s="3">
        <v>44593</v>
      </c>
      <c r="D65" t="s">
        <v>19</v>
      </c>
      <c r="E65" t="s">
        <v>103</v>
      </c>
      <c r="F65" t="s">
        <v>21</v>
      </c>
      <c r="G65" t="s">
        <v>29</v>
      </c>
      <c r="H65" t="s">
        <v>30</v>
      </c>
    </row>
    <row r="66" spans="1:8" x14ac:dyDescent="0.3">
      <c r="A66">
        <v>65</v>
      </c>
      <c r="B66" s="3">
        <v>44609.497870370396</v>
      </c>
      <c r="C66" s="3">
        <v>44593</v>
      </c>
      <c r="D66" t="s">
        <v>19</v>
      </c>
      <c r="E66" t="s">
        <v>104</v>
      </c>
      <c r="F66" t="s">
        <v>21</v>
      </c>
      <c r="G66" t="s">
        <v>33</v>
      </c>
      <c r="H66" t="s">
        <v>23</v>
      </c>
    </row>
    <row r="67" spans="1:8" x14ac:dyDescent="0.3">
      <c r="A67">
        <v>66</v>
      </c>
      <c r="B67" s="3">
        <v>44609.598634259302</v>
      </c>
      <c r="C67" s="3">
        <v>44593</v>
      </c>
      <c r="D67" t="s">
        <v>19</v>
      </c>
      <c r="E67" t="s">
        <v>105</v>
      </c>
      <c r="F67" t="s">
        <v>21</v>
      </c>
      <c r="G67" t="s">
        <v>22</v>
      </c>
      <c r="H67" t="s">
        <v>51</v>
      </c>
    </row>
    <row r="68" spans="1:8" x14ac:dyDescent="0.3">
      <c r="A68">
        <v>67</v>
      </c>
      <c r="B68" s="3">
        <v>44610.6561111111</v>
      </c>
      <c r="C68" s="3">
        <v>44593</v>
      </c>
      <c r="D68" t="s">
        <v>19</v>
      </c>
      <c r="E68" t="s">
        <v>106</v>
      </c>
      <c r="F68" t="s">
        <v>21</v>
      </c>
      <c r="G68" t="s">
        <v>33</v>
      </c>
      <c r="H68" t="s">
        <v>23</v>
      </c>
    </row>
    <row r="69" spans="1:8" x14ac:dyDescent="0.3">
      <c r="A69">
        <v>68</v>
      </c>
      <c r="B69" s="3">
        <v>44610.700659722199</v>
      </c>
      <c r="C69" s="3">
        <v>44593</v>
      </c>
      <c r="D69" t="s">
        <v>19</v>
      </c>
      <c r="E69" t="s">
        <v>107</v>
      </c>
      <c r="F69" t="s">
        <v>40</v>
      </c>
      <c r="G69" t="s">
        <v>108</v>
      </c>
      <c r="H69" t="s">
        <v>27</v>
      </c>
    </row>
    <row r="70" spans="1:8" x14ac:dyDescent="0.3">
      <c r="A70">
        <v>69</v>
      </c>
      <c r="B70" s="3">
        <v>44611.453750000001</v>
      </c>
      <c r="C70" s="3">
        <v>44593</v>
      </c>
      <c r="D70" t="s">
        <v>19</v>
      </c>
      <c r="E70" t="s">
        <v>109</v>
      </c>
      <c r="F70" t="s">
        <v>25</v>
      </c>
      <c r="G70" t="s">
        <v>110</v>
      </c>
      <c r="H70" t="s">
        <v>30</v>
      </c>
    </row>
    <row r="71" spans="1:8" x14ac:dyDescent="0.3">
      <c r="A71">
        <v>70</v>
      </c>
      <c r="B71" s="3">
        <v>44611.461192129602</v>
      </c>
      <c r="C71" s="3">
        <v>44593</v>
      </c>
      <c r="D71" t="s">
        <v>19</v>
      </c>
      <c r="E71" t="s">
        <v>111</v>
      </c>
      <c r="F71" t="s">
        <v>21</v>
      </c>
      <c r="G71" t="s">
        <v>22</v>
      </c>
      <c r="H71" t="s">
        <v>23</v>
      </c>
    </row>
    <row r="72" spans="1:8" x14ac:dyDescent="0.3">
      <c r="A72">
        <v>71</v>
      </c>
      <c r="B72" s="3">
        <v>44611.666793981502</v>
      </c>
      <c r="C72" s="3">
        <v>44593</v>
      </c>
      <c r="D72" t="s">
        <v>19</v>
      </c>
      <c r="E72" t="s">
        <v>112</v>
      </c>
      <c r="F72" t="s">
        <v>32</v>
      </c>
      <c r="G72" t="s">
        <v>33</v>
      </c>
      <c r="H72" t="s">
        <v>23</v>
      </c>
    </row>
    <row r="73" spans="1:8" x14ac:dyDescent="0.3">
      <c r="A73">
        <v>72</v>
      </c>
      <c r="B73" s="3">
        <v>44611.694930555597</v>
      </c>
      <c r="C73" s="3">
        <v>44593</v>
      </c>
      <c r="D73" t="s">
        <v>19</v>
      </c>
      <c r="E73" t="s">
        <v>113</v>
      </c>
      <c r="F73" t="s">
        <v>21</v>
      </c>
      <c r="G73" t="s">
        <v>33</v>
      </c>
      <c r="H73" t="s">
        <v>30</v>
      </c>
    </row>
    <row r="74" spans="1:8" x14ac:dyDescent="0.3">
      <c r="A74">
        <v>73</v>
      </c>
      <c r="B74" s="3">
        <v>44613.535844907397</v>
      </c>
      <c r="C74" s="3">
        <v>44593</v>
      </c>
      <c r="D74" t="s">
        <v>19</v>
      </c>
      <c r="E74" t="s">
        <v>114</v>
      </c>
      <c r="F74" t="s">
        <v>25</v>
      </c>
      <c r="G74" t="s">
        <v>26</v>
      </c>
      <c r="H74" t="s">
        <v>30</v>
      </c>
    </row>
    <row r="75" spans="1:8" x14ac:dyDescent="0.3">
      <c r="A75">
        <v>74</v>
      </c>
      <c r="B75" s="3">
        <v>44613.655949074098</v>
      </c>
      <c r="C75" s="3">
        <v>44593</v>
      </c>
      <c r="D75" t="s">
        <v>19</v>
      </c>
      <c r="E75" t="s">
        <v>115</v>
      </c>
      <c r="F75" t="s">
        <v>40</v>
      </c>
      <c r="G75" t="s">
        <v>58</v>
      </c>
      <c r="H75" t="s">
        <v>30</v>
      </c>
    </row>
    <row r="76" spans="1:8" x14ac:dyDescent="0.3">
      <c r="A76">
        <v>75</v>
      </c>
      <c r="B76" s="3">
        <v>44613.687465277799</v>
      </c>
      <c r="C76" s="3">
        <v>44593</v>
      </c>
      <c r="D76" t="s">
        <v>19</v>
      </c>
      <c r="E76" t="s">
        <v>116</v>
      </c>
      <c r="F76" t="s">
        <v>21</v>
      </c>
      <c r="G76" t="s">
        <v>29</v>
      </c>
      <c r="H76" t="s">
        <v>27</v>
      </c>
    </row>
    <row r="77" spans="1:8" x14ac:dyDescent="0.3">
      <c r="A77">
        <v>76</v>
      </c>
      <c r="B77" s="3">
        <v>44613.709467592598</v>
      </c>
      <c r="C77" s="3">
        <v>44593</v>
      </c>
      <c r="D77" t="s">
        <v>19</v>
      </c>
      <c r="E77" t="s">
        <v>117</v>
      </c>
      <c r="F77" t="s">
        <v>32</v>
      </c>
      <c r="G77" t="s">
        <v>33</v>
      </c>
      <c r="H77" t="s">
        <v>86</v>
      </c>
    </row>
    <row r="78" spans="1:8" x14ac:dyDescent="0.3">
      <c r="A78">
        <v>77</v>
      </c>
      <c r="B78" s="3">
        <v>44613.727835648198</v>
      </c>
      <c r="C78" s="3">
        <v>44593</v>
      </c>
      <c r="D78" t="s">
        <v>19</v>
      </c>
      <c r="E78" t="s">
        <v>118</v>
      </c>
      <c r="F78" t="s">
        <v>21</v>
      </c>
      <c r="G78" t="s">
        <v>22</v>
      </c>
      <c r="H78" t="s">
        <v>30</v>
      </c>
    </row>
    <row r="79" spans="1:8" x14ac:dyDescent="0.3">
      <c r="A79">
        <v>78</v>
      </c>
      <c r="B79" s="3">
        <v>44613.738993055602</v>
      </c>
      <c r="C79" s="3">
        <v>44593</v>
      </c>
      <c r="D79" t="s">
        <v>19</v>
      </c>
      <c r="E79" t="s">
        <v>119</v>
      </c>
      <c r="F79" t="s">
        <v>32</v>
      </c>
      <c r="G79" t="s">
        <v>33</v>
      </c>
      <c r="H79" t="s">
        <v>30</v>
      </c>
    </row>
    <row r="80" spans="1:8" x14ac:dyDescent="0.3">
      <c r="A80">
        <v>79</v>
      </c>
      <c r="B80" s="3">
        <v>44614.557303240697</v>
      </c>
      <c r="C80" s="3">
        <v>44593</v>
      </c>
      <c r="D80" t="s">
        <v>19</v>
      </c>
      <c r="E80" t="s">
        <v>120</v>
      </c>
      <c r="F80" t="s">
        <v>40</v>
      </c>
      <c r="G80" t="s">
        <v>75</v>
      </c>
      <c r="H80" t="s">
        <v>23</v>
      </c>
    </row>
    <row r="81" spans="1:8" x14ac:dyDescent="0.3">
      <c r="A81">
        <v>80</v>
      </c>
      <c r="B81" s="3">
        <v>44615.466412037</v>
      </c>
      <c r="C81" s="3">
        <v>44593</v>
      </c>
      <c r="D81" t="s">
        <v>19</v>
      </c>
      <c r="E81" t="s">
        <v>121</v>
      </c>
      <c r="F81" t="s">
        <v>21</v>
      </c>
      <c r="G81" t="s">
        <v>29</v>
      </c>
      <c r="H81" t="s">
        <v>23</v>
      </c>
    </row>
    <row r="82" spans="1:8" x14ac:dyDescent="0.3">
      <c r="A82">
        <v>81</v>
      </c>
      <c r="B82" s="3">
        <v>44615.690787036998</v>
      </c>
      <c r="C82" s="3">
        <v>44593</v>
      </c>
      <c r="D82" t="s">
        <v>19</v>
      </c>
      <c r="E82" t="s">
        <v>122</v>
      </c>
      <c r="F82" t="s">
        <v>21</v>
      </c>
      <c r="G82" t="s">
        <v>22</v>
      </c>
      <c r="H82" t="s">
        <v>30</v>
      </c>
    </row>
    <row r="83" spans="1:8" x14ac:dyDescent="0.3">
      <c r="A83">
        <v>82</v>
      </c>
      <c r="B83" s="3">
        <v>44616.502106481501</v>
      </c>
      <c r="C83" s="3">
        <v>44593</v>
      </c>
      <c r="D83" t="s">
        <v>19</v>
      </c>
      <c r="E83" t="s">
        <v>123</v>
      </c>
      <c r="F83" t="s">
        <v>32</v>
      </c>
      <c r="G83" t="s">
        <v>33</v>
      </c>
      <c r="H83" t="s">
        <v>86</v>
      </c>
    </row>
    <row r="84" spans="1:8" x14ac:dyDescent="0.3">
      <c r="A84">
        <v>83</v>
      </c>
      <c r="B84" s="3">
        <v>44616.5112731482</v>
      </c>
      <c r="C84" s="3">
        <v>44593</v>
      </c>
      <c r="D84" t="s">
        <v>19</v>
      </c>
      <c r="E84" t="s">
        <v>124</v>
      </c>
      <c r="F84" t="s">
        <v>40</v>
      </c>
      <c r="G84" t="s">
        <v>48</v>
      </c>
      <c r="H84" t="s">
        <v>27</v>
      </c>
    </row>
    <row r="85" spans="1:8" x14ac:dyDescent="0.3">
      <c r="A85">
        <v>84</v>
      </c>
      <c r="B85" s="3">
        <v>44616.639675925901</v>
      </c>
      <c r="C85" s="3">
        <v>44593</v>
      </c>
      <c r="D85" t="s">
        <v>19</v>
      </c>
      <c r="E85" t="s">
        <v>125</v>
      </c>
      <c r="F85" t="s">
        <v>32</v>
      </c>
      <c r="G85" t="s">
        <v>33</v>
      </c>
      <c r="H85" t="s">
        <v>23</v>
      </c>
    </row>
    <row r="86" spans="1:8" x14ac:dyDescent="0.3">
      <c r="A86">
        <v>85</v>
      </c>
      <c r="B86" s="3">
        <v>44616.730439814797</v>
      </c>
      <c r="C86" s="3">
        <v>44593</v>
      </c>
      <c r="D86" t="s">
        <v>19</v>
      </c>
      <c r="E86" t="s">
        <v>126</v>
      </c>
      <c r="F86" t="s">
        <v>21</v>
      </c>
      <c r="G86" t="s">
        <v>22</v>
      </c>
      <c r="H86" t="s">
        <v>27</v>
      </c>
    </row>
    <row r="87" spans="1:8" x14ac:dyDescent="0.3">
      <c r="A87">
        <v>86</v>
      </c>
      <c r="B87" s="3">
        <v>44617.498206018499</v>
      </c>
      <c r="C87" s="3">
        <v>44593</v>
      </c>
      <c r="D87" t="s">
        <v>19</v>
      </c>
      <c r="E87" t="s">
        <v>127</v>
      </c>
      <c r="F87" t="s">
        <v>21</v>
      </c>
      <c r="G87" t="s">
        <v>22</v>
      </c>
      <c r="H87" t="s">
        <v>66</v>
      </c>
    </row>
    <row r="88" spans="1:8" x14ac:dyDescent="0.3">
      <c r="A88">
        <v>87</v>
      </c>
      <c r="B88" s="3">
        <v>44617.659814814797</v>
      </c>
      <c r="C88" s="3">
        <v>44593</v>
      </c>
      <c r="D88" t="s">
        <v>19</v>
      </c>
      <c r="E88" t="s">
        <v>128</v>
      </c>
      <c r="F88" t="s">
        <v>25</v>
      </c>
      <c r="G88" t="s">
        <v>26</v>
      </c>
      <c r="H88" t="s">
        <v>30</v>
      </c>
    </row>
    <row r="89" spans="1:8" x14ac:dyDescent="0.3">
      <c r="A89">
        <v>88</v>
      </c>
      <c r="B89" s="3">
        <v>44617.677326388897</v>
      </c>
      <c r="C89" s="3">
        <v>44593</v>
      </c>
      <c r="D89" t="s">
        <v>19</v>
      </c>
      <c r="E89" t="s">
        <v>129</v>
      </c>
      <c r="F89" t="s">
        <v>32</v>
      </c>
      <c r="G89" t="s">
        <v>33</v>
      </c>
      <c r="H89" t="s">
        <v>51</v>
      </c>
    </row>
    <row r="90" spans="1:8" x14ac:dyDescent="0.3">
      <c r="A90">
        <v>89</v>
      </c>
      <c r="B90" s="3">
        <v>44618.589108796303</v>
      </c>
      <c r="C90" s="3">
        <v>44593</v>
      </c>
      <c r="D90" t="s">
        <v>19</v>
      </c>
      <c r="E90" t="s">
        <v>130</v>
      </c>
      <c r="F90" t="s">
        <v>40</v>
      </c>
      <c r="G90" t="s">
        <v>48</v>
      </c>
      <c r="H90" t="s">
        <v>51</v>
      </c>
    </row>
    <row r="91" spans="1:8" x14ac:dyDescent="0.3">
      <c r="A91">
        <v>90</v>
      </c>
      <c r="B91" s="3">
        <v>44618.613946759302</v>
      </c>
      <c r="C91" s="3">
        <v>44593</v>
      </c>
      <c r="D91" t="s">
        <v>19</v>
      </c>
      <c r="E91" t="s">
        <v>131</v>
      </c>
      <c r="F91" t="s">
        <v>32</v>
      </c>
      <c r="G91" t="s">
        <v>33</v>
      </c>
      <c r="H91" t="s">
        <v>30</v>
      </c>
    </row>
    <row r="92" spans="1:8" x14ac:dyDescent="0.3">
      <c r="A92">
        <v>91</v>
      </c>
      <c r="B92" s="3">
        <v>44618.6182638889</v>
      </c>
      <c r="C92" s="3">
        <v>44593</v>
      </c>
      <c r="D92" t="s">
        <v>19</v>
      </c>
      <c r="E92" t="s">
        <v>132</v>
      </c>
      <c r="F92" t="s">
        <v>25</v>
      </c>
      <c r="G92" t="s">
        <v>26</v>
      </c>
      <c r="H92" t="s">
        <v>23</v>
      </c>
    </row>
    <row r="93" spans="1:8" x14ac:dyDescent="0.3">
      <c r="A93">
        <v>92</v>
      </c>
      <c r="B93" s="3">
        <v>44618.6884027778</v>
      </c>
      <c r="C93" s="3">
        <v>44593</v>
      </c>
      <c r="D93" t="s">
        <v>19</v>
      </c>
      <c r="E93" t="s">
        <v>133</v>
      </c>
      <c r="F93" t="s">
        <v>21</v>
      </c>
      <c r="G93" t="s">
        <v>29</v>
      </c>
      <c r="H93" t="s">
        <v>30</v>
      </c>
    </row>
    <row r="94" spans="1:8" x14ac:dyDescent="0.3">
      <c r="A94">
        <v>93</v>
      </c>
      <c r="B94" s="3">
        <v>44620.6102314815</v>
      </c>
      <c r="C94" s="3">
        <v>44593</v>
      </c>
      <c r="D94" t="s">
        <v>19</v>
      </c>
      <c r="E94" t="s">
        <v>134</v>
      </c>
      <c r="F94" t="s">
        <v>21</v>
      </c>
      <c r="G94" t="s">
        <v>22</v>
      </c>
      <c r="H94" t="s">
        <v>27</v>
      </c>
    </row>
    <row r="95" spans="1:8" x14ac:dyDescent="0.3">
      <c r="A95">
        <v>94</v>
      </c>
      <c r="B95" s="3">
        <v>44620.6507291667</v>
      </c>
      <c r="C95" s="3">
        <v>44593</v>
      </c>
      <c r="D95" t="s">
        <v>19</v>
      </c>
      <c r="E95" t="s">
        <v>135</v>
      </c>
      <c r="F95" t="s">
        <v>21</v>
      </c>
      <c r="G95" t="s">
        <v>29</v>
      </c>
      <c r="H95" t="s">
        <v>27</v>
      </c>
    </row>
    <row r="96" spans="1:8" x14ac:dyDescent="0.3">
      <c r="A96">
        <v>95</v>
      </c>
      <c r="B96" s="3">
        <v>44620.658854166701</v>
      </c>
      <c r="C96" s="3">
        <v>44593</v>
      </c>
      <c r="D96" t="s">
        <v>19</v>
      </c>
      <c r="E96" t="s">
        <v>136</v>
      </c>
      <c r="F96" t="s">
        <v>21</v>
      </c>
      <c r="G96" t="s">
        <v>29</v>
      </c>
      <c r="H96" t="s">
        <v>27</v>
      </c>
    </row>
    <row r="97" spans="1:8" x14ac:dyDescent="0.3">
      <c r="A97">
        <v>96</v>
      </c>
      <c r="B97" s="3">
        <v>44620.790416666699</v>
      </c>
      <c r="C97" s="3">
        <v>44593</v>
      </c>
      <c r="D97" t="s">
        <v>19</v>
      </c>
      <c r="E97" t="s">
        <v>137</v>
      </c>
      <c r="F97" t="s">
        <v>21</v>
      </c>
      <c r="G97" t="s">
        <v>29</v>
      </c>
      <c r="H97" t="s">
        <v>23</v>
      </c>
    </row>
    <row r="98" spans="1:8" x14ac:dyDescent="0.3">
      <c r="A98">
        <v>97</v>
      </c>
      <c r="B98" s="3">
        <v>44620.8578472222</v>
      </c>
      <c r="C98" s="3">
        <v>44593</v>
      </c>
      <c r="D98" t="s">
        <v>19</v>
      </c>
      <c r="E98" t="s">
        <v>138</v>
      </c>
      <c r="F98" t="s">
        <v>25</v>
      </c>
      <c r="G98" t="s">
        <v>26</v>
      </c>
      <c r="H98" t="s">
        <v>27</v>
      </c>
    </row>
    <row r="99" spans="1:8" x14ac:dyDescent="0.3">
      <c r="A99">
        <v>98</v>
      </c>
      <c r="B99" s="3">
        <v>44620.878796296303</v>
      </c>
      <c r="C99" s="3">
        <v>44593</v>
      </c>
      <c r="D99" t="s">
        <v>19</v>
      </c>
      <c r="E99" t="s">
        <v>139</v>
      </c>
      <c r="F99" t="s">
        <v>32</v>
      </c>
      <c r="G99" t="s">
        <v>33</v>
      </c>
      <c r="H99" t="s">
        <v>27</v>
      </c>
    </row>
    <row r="100" spans="1:8" x14ac:dyDescent="0.3">
      <c r="A100">
        <v>99</v>
      </c>
      <c r="B100" s="3">
        <v>44620.8890509259</v>
      </c>
      <c r="C100" s="3">
        <v>44593</v>
      </c>
      <c r="D100" t="s">
        <v>19</v>
      </c>
      <c r="E100" t="s">
        <v>140</v>
      </c>
      <c r="F100" t="s">
        <v>21</v>
      </c>
      <c r="G100" t="s">
        <v>29</v>
      </c>
      <c r="H100" t="s">
        <v>30</v>
      </c>
    </row>
    <row r="101" spans="1:8" x14ac:dyDescent="0.3">
      <c r="A101">
        <v>100</v>
      </c>
      <c r="B101" s="3">
        <v>44620.890393518501</v>
      </c>
      <c r="C101" s="3">
        <v>44593</v>
      </c>
      <c r="D101" t="s">
        <v>19</v>
      </c>
      <c r="E101" t="s">
        <v>141</v>
      </c>
      <c r="F101" t="s">
        <v>25</v>
      </c>
      <c r="G101" t="s">
        <v>29</v>
      </c>
      <c r="H101" t="s">
        <v>30</v>
      </c>
    </row>
    <row r="102" spans="1:8" x14ac:dyDescent="0.3">
      <c r="A102">
        <v>101</v>
      </c>
      <c r="B102" s="3">
        <v>44620.8987037037</v>
      </c>
      <c r="C102" s="3">
        <v>44593</v>
      </c>
      <c r="D102" t="s">
        <v>19</v>
      </c>
      <c r="E102" t="s">
        <v>142</v>
      </c>
      <c r="F102" t="s">
        <v>40</v>
      </c>
      <c r="G102" t="s">
        <v>48</v>
      </c>
      <c r="H102" t="s">
        <v>30</v>
      </c>
    </row>
    <row r="103" spans="1:8" x14ac:dyDescent="0.3">
      <c r="A103">
        <v>102</v>
      </c>
      <c r="B103" s="3">
        <v>44627.669479166703</v>
      </c>
      <c r="C103" s="3">
        <v>44621</v>
      </c>
      <c r="D103" t="s">
        <v>19</v>
      </c>
      <c r="E103" t="s">
        <v>143</v>
      </c>
      <c r="F103" t="s">
        <v>21</v>
      </c>
      <c r="G103" t="s">
        <v>33</v>
      </c>
      <c r="H103" t="s">
        <v>30</v>
      </c>
    </row>
    <row r="104" spans="1:8" x14ac:dyDescent="0.3">
      <c r="A104">
        <v>103</v>
      </c>
      <c r="B104" s="3">
        <v>44628.596053240697</v>
      </c>
      <c r="C104" s="3">
        <v>44621</v>
      </c>
      <c r="D104" t="s">
        <v>19</v>
      </c>
      <c r="E104" t="s">
        <v>144</v>
      </c>
      <c r="F104" t="s">
        <v>40</v>
      </c>
      <c r="G104" t="s">
        <v>58</v>
      </c>
      <c r="H104" t="s">
        <v>27</v>
      </c>
    </row>
    <row r="105" spans="1:8" x14ac:dyDescent="0.3">
      <c r="A105">
        <v>104</v>
      </c>
      <c r="B105" s="3">
        <v>44629.708263888897</v>
      </c>
      <c r="C105" s="3">
        <v>44621</v>
      </c>
      <c r="D105" t="s">
        <v>19</v>
      </c>
      <c r="E105" t="s">
        <v>145</v>
      </c>
      <c r="F105" t="s">
        <v>32</v>
      </c>
      <c r="G105" t="s">
        <v>33</v>
      </c>
      <c r="H105" t="s">
        <v>27</v>
      </c>
    </row>
    <row r="106" spans="1:8" x14ac:dyDescent="0.3">
      <c r="A106">
        <v>105</v>
      </c>
      <c r="B106" s="3">
        <v>44631.707951388897</v>
      </c>
      <c r="C106" s="3">
        <v>44621</v>
      </c>
      <c r="D106" t="s">
        <v>19</v>
      </c>
      <c r="E106" t="s">
        <v>146</v>
      </c>
      <c r="F106" t="s">
        <v>21</v>
      </c>
      <c r="G106" t="s">
        <v>22</v>
      </c>
      <c r="H106" t="s">
        <v>27</v>
      </c>
    </row>
    <row r="107" spans="1:8" x14ac:dyDescent="0.3">
      <c r="A107">
        <v>106</v>
      </c>
      <c r="B107" s="3">
        <v>44635.600648148204</v>
      </c>
      <c r="C107" s="3">
        <v>44621</v>
      </c>
      <c r="D107" t="s">
        <v>19</v>
      </c>
      <c r="E107" t="s">
        <v>147</v>
      </c>
      <c r="F107" t="s">
        <v>21</v>
      </c>
      <c r="G107" t="s">
        <v>22</v>
      </c>
      <c r="H107" t="s">
        <v>30</v>
      </c>
    </row>
    <row r="108" spans="1:8" x14ac:dyDescent="0.3">
      <c r="A108">
        <v>107</v>
      </c>
      <c r="B108" s="3">
        <v>44635.647592592599</v>
      </c>
      <c r="C108" s="3">
        <v>44621</v>
      </c>
      <c r="D108" t="s">
        <v>19</v>
      </c>
      <c r="E108" t="s">
        <v>148</v>
      </c>
      <c r="F108" t="s">
        <v>25</v>
      </c>
      <c r="G108" t="s">
        <v>26</v>
      </c>
      <c r="H108" t="s">
        <v>27</v>
      </c>
    </row>
    <row r="109" spans="1:8" x14ac:dyDescent="0.3">
      <c r="A109">
        <v>108</v>
      </c>
      <c r="B109" s="3">
        <v>44636.418194444399</v>
      </c>
      <c r="C109" s="3">
        <v>44621</v>
      </c>
      <c r="D109" t="s">
        <v>19</v>
      </c>
      <c r="E109" t="s">
        <v>149</v>
      </c>
      <c r="F109" t="s">
        <v>40</v>
      </c>
      <c r="G109" t="s">
        <v>48</v>
      </c>
      <c r="H109" t="s">
        <v>23</v>
      </c>
    </row>
    <row r="110" spans="1:8" x14ac:dyDescent="0.3">
      <c r="A110">
        <v>109</v>
      </c>
      <c r="B110" s="3">
        <v>44637.522002314799</v>
      </c>
      <c r="C110" s="3">
        <v>44621</v>
      </c>
      <c r="D110" t="s">
        <v>19</v>
      </c>
      <c r="E110" t="s">
        <v>150</v>
      </c>
      <c r="F110" t="s">
        <v>25</v>
      </c>
      <c r="G110" t="s">
        <v>26</v>
      </c>
      <c r="H110" t="s">
        <v>30</v>
      </c>
    </row>
    <row r="111" spans="1:8" x14ac:dyDescent="0.3">
      <c r="A111">
        <v>110</v>
      </c>
      <c r="B111" s="3">
        <v>44637.731712963003</v>
      </c>
      <c r="C111" s="3">
        <v>44621</v>
      </c>
      <c r="D111" t="s">
        <v>19</v>
      </c>
      <c r="E111" t="s">
        <v>151</v>
      </c>
      <c r="F111" t="s">
        <v>32</v>
      </c>
      <c r="G111" t="s">
        <v>33</v>
      </c>
      <c r="H111" t="s">
        <v>30</v>
      </c>
    </row>
    <row r="112" spans="1:8" x14ac:dyDescent="0.3">
      <c r="A112">
        <v>111</v>
      </c>
      <c r="B112" s="3">
        <v>44637.7449305556</v>
      </c>
      <c r="C112" s="3">
        <v>44621</v>
      </c>
      <c r="D112" t="s">
        <v>19</v>
      </c>
      <c r="E112" t="s">
        <v>152</v>
      </c>
      <c r="F112" t="s">
        <v>25</v>
      </c>
      <c r="G112" t="s">
        <v>26</v>
      </c>
      <c r="H112" t="s">
        <v>66</v>
      </c>
    </row>
    <row r="113" spans="1:8" x14ac:dyDescent="0.3">
      <c r="A113">
        <v>112</v>
      </c>
      <c r="B113" s="3">
        <v>44638.560486111099</v>
      </c>
      <c r="C113" s="3">
        <v>44621</v>
      </c>
      <c r="D113" t="s">
        <v>19</v>
      </c>
      <c r="E113" t="s">
        <v>153</v>
      </c>
      <c r="F113" t="s">
        <v>21</v>
      </c>
      <c r="G113" t="s">
        <v>22</v>
      </c>
      <c r="H113" t="s">
        <v>30</v>
      </c>
    </row>
    <row r="114" spans="1:8" x14ac:dyDescent="0.3">
      <c r="A114">
        <v>113</v>
      </c>
      <c r="B114" s="3">
        <v>44638.633136574099</v>
      </c>
      <c r="C114" s="3">
        <v>44621</v>
      </c>
      <c r="D114" t="s">
        <v>19</v>
      </c>
      <c r="E114" t="s">
        <v>154</v>
      </c>
      <c r="F114" t="s">
        <v>21</v>
      </c>
      <c r="G114" t="s">
        <v>22</v>
      </c>
      <c r="H114" t="s">
        <v>30</v>
      </c>
    </row>
    <row r="115" spans="1:8" x14ac:dyDescent="0.3">
      <c r="A115">
        <v>114</v>
      </c>
      <c r="B115" s="3">
        <v>44638.656643518501</v>
      </c>
      <c r="C115" s="3">
        <v>44621</v>
      </c>
      <c r="D115" t="s">
        <v>19</v>
      </c>
      <c r="E115" t="s">
        <v>155</v>
      </c>
      <c r="F115" t="s">
        <v>21</v>
      </c>
      <c r="G115" t="s">
        <v>22</v>
      </c>
      <c r="H115" t="s">
        <v>30</v>
      </c>
    </row>
    <row r="116" spans="1:8" x14ac:dyDescent="0.3">
      <c r="A116">
        <v>115</v>
      </c>
      <c r="B116" s="3">
        <v>44638.661655092597</v>
      </c>
      <c r="C116" s="3">
        <v>44621</v>
      </c>
      <c r="D116" t="s">
        <v>19</v>
      </c>
      <c r="E116" t="s">
        <v>156</v>
      </c>
      <c r="F116" t="s">
        <v>25</v>
      </c>
      <c r="G116" t="s">
        <v>26</v>
      </c>
      <c r="H116" t="s">
        <v>27</v>
      </c>
    </row>
    <row r="117" spans="1:8" x14ac:dyDescent="0.3">
      <c r="A117">
        <v>116</v>
      </c>
      <c r="B117" s="3">
        <v>44638.712488425903</v>
      </c>
      <c r="C117" s="3">
        <v>44621</v>
      </c>
      <c r="D117" t="s">
        <v>19</v>
      </c>
      <c r="E117" t="s">
        <v>157</v>
      </c>
      <c r="F117" t="s">
        <v>25</v>
      </c>
      <c r="G117" t="s">
        <v>26</v>
      </c>
      <c r="H117" t="s">
        <v>30</v>
      </c>
    </row>
    <row r="118" spans="1:8" x14ac:dyDescent="0.3">
      <c r="A118">
        <v>117</v>
      </c>
      <c r="B118" s="3">
        <v>44638.792476851901</v>
      </c>
      <c r="C118" s="3">
        <v>44621</v>
      </c>
      <c r="D118" t="s">
        <v>19</v>
      </c>
      <c r="E118" t="s">
        <v>158</v>
      </c>
      <c r="F118" t="s">
        <v>21</v>
      </c>
      <c r="G118" t="s">
        <v>29</v>
      </c>
      <c r="H118" t="s">
        <v>51</v>
      </c>
    </row>
    <row r="119" spans="1:8" x14ac:dyDescent="0.3">
      <c r="A119">
        <v>118</v>
      </c>
      <c r="B119" s="3">
        <v>44639.513356481497</v>
      </c>
      <c r="C119" s="3">
        <v>44621</v>
      </c>
      <c r="D119" t="s">
        <v>19</v>
      </c>
      <c r="E119" t="s">
        <v>159</v>
      </c>
      <c r="F119" t="s">
        <v>32</v>
      </c>
      <c r="G119" t="s">
        <v>33</v>
      </c>
      <c r="H119" t="s">
        <v>30</v>
      </c>
    </row>
    <row r="120" spans="1:8" x14ac:dyDescent="0.3">
      <c r="A120">
        <v>119</v>
      </c>
      <c r="B120" s="3">
        <v>44639.643067129597</v>
      </c>
      <c r="C120" s="3">
        <v>44621</v>
      </c>
      <c r="D120" t="s">
        <v>19</v>
      </c>
      <c r="E120" t="s">
        <v>160</v>
      </c>
      <c r="F120" t="s">
        <v>25</v>
      </c>
      <c r="G120" t="s">
        <v>26</v>
      </c>
      <c r="H120" t="s">
        <v>30</v>
      </c>
    </row>
    <row r="121" spans="1:8" x14ac:dyDescent="0.3">
      <c r="A121">
        <v>120</v>
      </c>
      <c r="B121" s="3">
        <v>44639.705173611103</v>
      </c>
      <c r="C121" s="3">
        <v>44621</v>
      </c>
      <c r="D121" t="s">
        <v>19</v>
      </c>
      <c r="E121" t="s">
        <v>161</v>
      </c>
      <c r="F121" t="s">
        <v>25</v>
      </c>
      <c r="G121" t="s">
        <v>26</v>
      </c>
      <c r="H121" t="s">
        <v>30</v>
      </c>
    </row>
    <row r="122" spans="1:8" x14ac:dyDescent="0.3">
      <c r="A122">
        <v>121</v>
      </c>
      <c r="B122" s="3">
        <v>44639.735983796301</v>
      </c>
      <c r="C122" s="3">
        <v>44621</v>
      </c>
      <c r="D122" t="s">
        <v>19</v>
      </c>
      <c r="E122" t="s">
        <v>162</v>
      </c>
      <c r="F122" t="s">
        <v>32</v>
      </c>
      <c r="G122" t="s">
        <v>33</v>
      </c>
      <c r="H122" t="s">
        <v>27</v>
      </c>
    </row>
    <row r="123" spans="1:8" x14ac:dyDescent="0.3">
      <c r="A123">
        <v>122</v>
      </c>
      <c r="B123" s="3">
        <v>44641.7342824074</v>
      </c>
      <c r="C123" s="3">
        <v>44621</v>
      </c>
      <c r="D123" t="s">
        <v>19</v>
      </c>
      <c r="E123" t="s">
        <v>163</v>
      </c>
      <c r="F123" t="s">
        <v>21</v>
      </c>
      <c r="G123" t="s">
        <v>29</v>
      </c>
      <c r="H123" t="s">
        <v>30</v>
      </c>
    </row>
    <row r="124" spans="1:8" x14ac:dyDescent="0.3">
      <c r="A124">
        <v>123</v>
      </c>
      <c r="B124" s="3">
        <v>44642.462025462999</v>
      </c>
      <c r="C124" s="3">
        <v>44621</v>
      </c>
      <c r="D124" t="s">
        <v>19</v>
      </c>
      <c r="E124" t="s">
        <v>164</v>
      </c>
      <c r="F124" t="s">
        <v>25</v>
      </c>
      <c r="G124" t="s">
        <v>26</v>
      </c>
      <c r="H124" t="s">
        <v>27</v>
      </c>
    </row>
    <row r="125" spans="1:8" x14ac:dyDescent="0.3">
      <c r="A125">
        <v>124</v>
      </c>
      <c r="B125" s="3">
        <v>44643.6274305556</v>
      </c>
      <c r="C125" s="3">
        <v>44621</v>
      </c>
      <c r="D125" t="s">
        <v>19</v>
      </c>
      <c r="E125" t="s">
        <v>165</v>
      </c>
      <c r="F125" t="s">
        <v>40</v>
      </c>
      <c r="G125" t="s">
        <v>48</v>
      </c>
      <c r="H125" t="s">
        <v>27</v>
      </c>
    </row>
    <row r="126" spans="1:8" x14ac:dyDescent="0.3">
      <c r="A126">
        <v>125</v>
      </c>
      <c r="B126" s="3">
        <v>44644.552812499998</v>
      </c>
      <c r="C126" s="3">
        <v>44621</v>
      </c>
      <c r="D126" t="s">
        <v>19</v>
      </c>
      <c r="E126" t="s">
        <v>166</v>
      </c>
      <c r="F126" t="s">
        <v>21</v>
      </c>
      <c r="G126" t="s">
        <v>22</v>
      </c>
      <c r="H126" t="s">
        <v>30</v>
      </c>
    </row>
    <row r="127" spans="1:8" x14ac:dyDescent="0.3">
      <c r="A127">
        <v>126</v>
      </c>
      <c r="B127" s="3">
        <v>44644.559097222198</v>
      </c>
      <c r="C127" s="3">
        <v>44621</v>
      </c>
      <c r="D127" t="s">
        <v>19</v>
      </c>
      <c r="E127" t="s">
        <v>167</v>
      </c>
      <c r="F127" t="s">
        <v>21</v>
      </c>
      <c r="G127" t="s">
        <v>22</v>
      </c>
      <c r="H127" t="s">
        <v>23</v>
      </c>
    </row>
    <row r="128" spans="1:8" x14ac:dyDescent="0.3">
      <c r="A128">
        <v>127</v>
      </c>
      <c r="B128" s="3">
        <v>44644.725856481498</v>
      </c>
      <c r="C128" s="3">
        <v>44621</v>
      </c>
      <c r="D128" t="s">
        <v>19</v>
      </c>
      <c r="E128" t="s">
        <v>168</v>
      </c>
      <c r="F128" t="s">
        <v>21</v>
      </c>
      <c r="G128" t="s">
        <v>29</v>
      </c>
      <c r="H128" t="s">
        <v>51</v>
      </c>
    </row>
    <row r="129" spans="1:8" x14ac:dyDescent="0.3">
      <c r="A129">
        <v>128</v>
      </c>
      <c r="B129" s="3">
        <v>44645.629293981503</v>
      </c>
      <c r="C129" s="3">
        <v>44621</v>
      </c>
      <c r="D129" t="s">
        <v>19</v>
      </c>
      <c r="E129" t="s">
        <v>169</v>
      </c>
      <c r="F129" t="s">
        <v>25</v>
      </c>
      <c r="G129" t="s">
        <v>26</v>
      </c>
      <c r="H129" t="s">
        <v>23</v>
      </c>
    </row>
    <row r="130" spans="1:8" x14ac:dyDescent="0.3">
      <c r="A130">
        <v>129</v>
      </c>
      <c r="B130" s="3">
        <v>44645.670532407399</v>
      </c>
      <c r="C130" s="3">
        <v>44621</v>
      </c>
      <c r="D130" t="s">
        <v>19</v>
      </c>
      <c r="E130" t="s">
        <v>170</v>
      </c>
      <c r="F130" t="s">
        <v>21</v>
      </c>
      <c r="G130" t="s">
        <v>22</v>
      </c>
      <c r="H130" t="s">
        <v>27</v>
      </c>
    </row>
    <row r="131" spans="1:8" x14ac:dyDescent="0.3">
      <c r="A131">
        <v>130</v>
      </c>
      <c r="B131" s="3">
        <v>44646.654201388897</v>
      </c>
      <c r="C131" s="3">
        <v>44621</v>
      </c>
      <c r="D131" t="s">
        <v>19</v>
      </c>
      <c r="E131" t="s">
        <v>171</v>
      </c>
      <c r="F131" t="s">
        <v>21</v>
      </c>
      <c r="G131" t="s">
        <v>22</v>
      </c>
      <c r="H131" t="s">
        <v>30</v>
      </c>
    </row>
    <row r="132" spans="1:8" x14ac:dyDescent="0.3">
      <c r="A132">
        <v>131</v>
      </c>
      <c r="B132" s="3">
        <v>44648.6706134259</v>
      </c>
      <c r="C132" s="3">
        <v>44621</v>
      </c>
      <c r="D132" t="s">
        <v>19</v>
      </c>
      <c r="E132" t="s">
        <v>172</v>
      </c>
      <c r="F132" t="s">
        <v>21</v>
      </c>
      <c r="G132" t="s">
        <v>22</v>
      </c>
      <c r="H132" t="s">
        <v>30</v>
      </c>
    </row>
    <row r="133" spans="1:8" x14ac:dyDescent="0.3">
      <c r="A133">
        <v>132</v>
      </c>
      <c r="B133" s="3">
        <v>44650.514803240701</v>
      </c>
      <c r="C133" s="3">
        <v>44621</v>
      </c>
      <c r="D133" t="s">
        <v>19</v>
      </c>
      <c r="E133" t="s">
        <v>173</v>
      </c>
      <c r="F133" t="s">
        <v>40</v>
      </c>
      <c r="G133" t="s">
        <v>48</v>
      </c>
      <c r="H133" t="s">
        <v>30</v>
      </c>
    </row>
    <row r="134" spans="1:8" x14ac:dyDescent="0.3">
      <c r="A134">
        <v>133</v>
      </c>
      <c r="B134" s="3">
        <v>44650.518611111103</v>
      </c>
      <c r="C134" s="3">
        <v>44621</v>
      </c>
      <c r="D134" t="s">
        <v>19</v>
      </c>
      <c r="E134" t="s">
        <v>174</v>
      </c>
      <c r="F134" t="s">
        <v>32</v>
      </c>
      <c r="G134" t="s">
        <v>33</v>
      </c>
      <c r="H134" t="s">
        <v>30</v>
      </c>
    </row>
    <row r="135" spans="1:8" x14ac:dyDescent="0.3">
      <c r="A135">
        <v>134</v>
      </c>
      <c r="B135" s="3">
        <v>44650.700775463003</v>
      </c>
      <c r="C135" s="3">
        <v>44621</v>
      </c>
      <c r="D135" t="s">
        <v>19</v>
      </c>
      <c r="E135" t="s">
        <v>175</v>
      </c>
      <c r="F135" t="s">
        <v>32</v>
      </c>
      <c r="G135" t="s">
        <v>33</v>
      </c>
      <c r="H135" t="s">
        <v>27</v>
      </c>
    </row>
    <row r="136" spans="1:8" x14ac:dyDescent="0.3">
      <c r="A136">
        <v>135</v>
      </c>
      <c r="B136" s="3">
        <v>44650.731527777803</v>
      </c>
      <c r="C136" s="3">
        <v>44621</v>
      </c>
      <c r="D136" t="s">
        <v>19</v>
      </c>
      <c r="E136" t="s">
        <v>176</v>
      </c>
      <c r="F136" t="s">
        <v>32</v>
      </c>
      <c r="G136" t="s">
        <v>33</v>
      </c>
      <c r="H136" t="s">
        <v>30</v>
      </c>
    </row>
    <row r="137" spans="1:8" x14ac:dyDescent="0.3">
      <c r="A137">
        <v>136</v>
      </c>
      <c r="B137" s="3">
        <v>44651.4302314815</v>
      </c>
      <c r="C137" s="3">
        <v>44621</v>
      </c>
      <c r="D137" t="s">
        <v>19</v>
      </c>
      <c r="E137" t="s">
        <v>177</v>
      </c>
      <c r="F137" t="s">
        <v>21</v>
      </c>
      <c r="G137" t="s">
        <v>22</v>
      </c>
      <c r="H137" t="s">
        <v>30</v>
      </c>
    </row>
    <row r="138" spans="1:8" x14ac:dyDescent="0.3">
      <c r="A138">
        <v>137</v>
      </c>
      <c r="B138" s="3">
        <v>44651.445115740702</v>
      </c>
      <c r="C138" s="3">
        <v>44621</v>
      </c>
      <c r="D138" t="s">
        <v>19</v>
      </c>
      <c r="E138" t="s">
        <v>178</v>
      </c>
      <c r="F138" t="s">
        <v>21</v>
      </c>
      <c r="G138" t="s">
        <v>29</v>
      </c>
      <c r="H138" t="s">
        <v>27</v>
      </c>
    </row>
    <row r="139" spans="1:8" x14ac:dyDescent="0.3">
      <c r="A139">
        <v>138</v>
      </c>
      <c r="B139" s="3">
        <v>44651.495671296303</v>
      </c>
      <c r="C139" s="3">
        <v>44621</v>
      </c>
      <c r="D139" t="s">
        <v>19</v>
      </c>
      <c r="E139" t="s">
        <v>179</v>
      </c>
      <c r="F139" t="s">
        <v>21</v>
      </c>
      <c r="G139" t="s">
        <v>22</v>
      </c>
      <c r="H139" t="s">
        <v>27</v>
      </c>
    </row>
    <row r="140" spans="1:8" x14ac:dyDescent="0.3">
      <c r="A140">
        <v>139</v>
      </c>
      <c r="B140" s="3">
        <v>44651.503206018497</v>
      </c>
      <c r="C140" s="3">
        <v>44621</v>
      </c>
      <c r="D140" t="s">
        <v>19</v>
      </c>
      <c r="E140" t="s">
        <v>180</v>
      </c>
      <c r="F140" t="s">
        <v>40</v>
      </c>
      <c r="G140" t="s">
        <v>48</v>
      </c>
      <c r="H140" t="s">
        <v>27</v>
      </c>
    </row>
    <row r="141" spans="1:8" x14ac:dyDescent="0.3">
      <c r="A141">
        <v>140</v>
      </c>
      <c r="B141" s="3">
        <v>44651.547986111102</v>
      </c>
      <c r="C141" s="3">
        <v>44621</v>
      </c>
      <c r="D141" t="s">
        <v>19</v>
      </c>
      <c r="E141" t="s">
        <v>181</v>
      </c>
      <c r="F141" t="s">
        <v>21</v>
      </c>
      <c r="G141" t="s">
        <v>29</v>
      </c>
      <c r="H141" t="s">
        <v>27</v>
      </c>
    </row>
    <row r="142" spans="1:8" x14ac:dyDescent="0.3">
      <c r="A142">
        <v>141</v>
      </c>
      <c r="B142" s="3">
        <v>44656.554386574098</v>
      </c>
      <c r="C142" s="3">
        <v>44652</v>
      </c>
      <c r="D142" t="s">
        <v>19</v>
      </c>
      <c r="E142" t="s">
        <v>182</v>
      </c>
      <c r="F142" t="s">
        <v>25</v>
      </c>
      <c r="G142" t="s">
        <v>26</v>
      </c>
      <c r="H142" t="s">
        <v>27</v>
      </c>
    </row>
    <row r="143" spans="1:8" x14ac:dyDescent="0.3">
      <c r="A143">
        <v>142</v>
      </c>
      <c r="B143" s="3">
        <v>44656.582974536999</v>
      </c>
      <c r="C143" s="3">
        <v>44652</v>
      </c>
      <c r="D143" t="s">
        <v>19</v>
      </c>
      <c r="E143" t="s">
        <v>183</v>
      </c>
      <c r="F143" t="s">
        <v>21</v>
      </c>
      <c r="G143" t="s">
        <v>48</v>
      </c>
      <c r="H143" t="s">
        <v>27</v>
      </c>
    </row>
    <row r="144" spans="1:8" x14ac:dyDescent="0.3">
      <c r="A144">
        <v>143</v>
      </c>
      <c r="B144" s="3">
        <v>44657.487326388902</v>
      </c>
      <c r="C144" s="3">
        <v>44652</v>
      </c>
      <c r="D144" t="s">
        <v>19</v>
      </c>
      <c r="E144" t="s">
        <v>184</v>
      </c>
      <c r="F144" t="s">
        <v>21</v>
      </c>
      <c r="G144" t="s">
        <v>69</v>
      </c>
      <c r="H144" t="s">
        <v>30</v>
      </c>
    </row>
    <row r="145" spans="1:8" x14ac:dyDescent="0.3">
      <c r="A145">
        <v>144</v>
      </c>
      <c r="B145" s="3">
        <v>44657.690370370401</v>
      </c>
      <c r="C145" s="3">
        <v>44652</v>
      </c>
      <c r="D145" t="s">
        <v>19</v>
      </c>
      <c r="E145" t="s">
        <v>185</v>
      </c>
      <c r="F145" t="s">
        <v>21</v>
      </c>
      <c r="G145" t="s">
        <v>33</v>
      </c>
      <c r="H145" t="s">
        <v>30</v>
      </c>
    </row>
    <row r="146" spans="1:8" x14ac:dyDescent="0.3">
      <c r="A146">
        <v>145</v>
      </c>
      <c r="B146" s="3">
        <v>44658.678622685198</v>
      </c>
      <c r="C146" s="3">
        <v>44652</v>
      </c>
      <c r="D146" t="s">
        <v>19</v>
      </c>
      <c r="E146" t="s">
        <v>186</v>
      </c>
      <c r="F146" t="s">
        <v>25</v>
      </c>
      <c r="G146" t="s">
        <v>26</v>
      </c>
      <c r="H146" t="s">
        <v>23</v>
      </c>
    </row>
    <row r="147" spans="1:8" x14ac:dyDescent="0.3">
      <c r="A147">
        <v>146</v>
      </c>
      <c r="B147" s="3">
        <v>44659.504791666703</v>
      </c>
      <c r="C147" s="3">
        <v>44652</v>
      </c>
      <c r="D147" t="s">
        <v>19</v>
      </c>
      <c r="E147" t="s">
        <v>187</v>
      </c>
      <c r="F147" t="s">
        <v>25</v>
      </c>
      <c r="G147" t="s">
        <v>26</v>
      </c>
      <c r="H147" t="s">
        <v>27</v>
      </c>
    </row>
    <row r="148" spans="1:8" x14ac:dyDescent="0.3">
      <c r="A148">
        <v>147</v>
      </c>
      <c r="B148" s="3">
        <v>44660.456307870401</v>
      </c>
      <c r="C148" s="3">
        <v>44652</v>
      </c>
      <c r="D148" t="s">
        <v>19</v>
      </c>
      <c r="E148" t="s">
        <v>188</v>
      </c>
      <c r="F148" t="s">
        <v>21</v>
      </c>
      <c r="G148" t="s">
        <v>22</v>
      </c>
      <c r="H148" t="s">
        <v>23</v>
      </c>
    </row>
    <row r="149" spans="1:8" x14ac:dyDescent="0.3">
      <c r="A149">
        <v>148</v>
      </c>
      <c r="B149" s="3">
        <v>44663.541018518503</v>
      </c>
      <c r="C149" s="3">
        <v>44652</v>
      </c>
      <c r="D149" t="s">
        <v>19</v>
      </c>
      <c r="E149" t="s">
        <v>189</v>
      </c>
      <c r="F149" t="s">
        <v>21</v>
      </c>
      <c r="G149" t="s">
        <v>29</v>
      </c>
      <c r="H149" t="s">
        <v>23</v>
      </c>
    </row>
    <row r="150" spans="1:8" x14ac:dyDescent="0.3">
      <c r="A150">
        <v>149</v>
      </c>
      <c r="B150" s="3">
        <v>44664.543981481504</v>
      </c>
      <c r="C150" s="3">
        <v>44652</v>
      </c>
      <c r="D150" t="s">
        <v>19</v>
      </c>
      <c r="E150" t="s">
        <v>190</v>
      </c>
      <c r="F150" t="s">
        <v>21</v>
      </c>
      <c r="G150" t="s">
        <v>22</v>
      </c>
      <c r="H150" t="s">
        <v>23</v>
      </c>
    </row>
    <row r="151" spans="1:8" x14ac:dyDescent="0.3">
      <c r="A151">
        <v>150</v>
      </c>
      <c r="B151" s="3">
        <v>44665.486608796302</v>
      </c>
      <c r="C151" s="3">
        <v>44652</v>
      </c>
      <c r="D151" t="s">
        <v>19</v>
      </c>
      <c r="E151" t="s">
        <v>191</v>
      </c>
      <c r="F151" t="s">
        <v>21</v>
      </c>
      <c r="G151" t="s">
        <v>33</v>
      </c>
      <c r="H151" t="s">
        <v>27</v>
      </c>
    </row>
    <row r="152" spans="1:8" x14ac:dyDescent="0.3">
      <c r="A152">
        <v>151</v>
      </c>
      <c r="B152" s="3">
        <v>44669.584212962996</v>
      </c>
      <c r="C152" s="3">
        <v>44652</v>
      </c>
      <c r="D152" t="s">
        <v>19</v>
      </c>
      <c r="E152" t="s">
        <v>192</v>
      </c>
      <c r="F152" t="s">
        <v>21</v>
      </c>
      <c r="G152" t="s">
        <v>22</v>
      </c>
      <c r="H152" t="s">
        <v>27</v>
      </c>
    </row>
    <row r="153" spans="1:8" x14ac:dyDescent="0.3">
      <c r="A153">
        <v>152</v>
      </c>
      <c r="B153" s="3">
        <v>44670.503784722197</v>
      </c>
      <c r="C153" s="3">
        <v>44652</v>
      </c>
      <c r="D153" t="s">
        <v>19</v>
      </c>
      <c r="E153" t="s">
        <v>193</v>
      </c>
      <c r="F153" t="s">
        <v>21</v>
      </c>
      <c r="G153" t="s">
        <v>29</v>
      </c>
      <c r="H153" t="s">
        <v>27</v>
      </c>
    </row>
    <row r="154" spans="1:8" x14ac:dyDescent="0.3">
      <c r="A154">
        <v>153</v>
      </c>
      <c r="B154" s="3">
        <v>44670.575949074097</v>
      </c>
      <c r="C154" s="3">
        <v>44652</v>
      </c>
      <c r="D154" t="s">
        <v>19</v>
      </c>
      <c r="E154" t="s">
        <v>194</v>
      </c>
      <c r="F154" t="s">
        <v>21</v>
      </c>
      <c r="G154" t="s">
        <v>69</v>
      </c>
      <c r="H154" t="s">
        <v>27</v>
      </c>
    </row>
    <row r="155" spans="1:8" x14ac:dyDescent="0.3">
      <c r="A155">
        <v>154</v>
      </c>
      <c r="B155" s="3">
        <v>44670.6004861111</v>
      </c>
      <c r="C155" s="3">
        <v>44652</v>
      </c>
      <c r="D155" t="s">
        <v>19</v>
      </c>
      <c r="E155" t="s">
        <v>195</v>
      </c>
      <c r="F155" t="s">
        <v>21</v>
      </c>
      <c r="G155" t="s">
        <v>33</v>
      </c>
      <c r="H155" t="s">
        <v>27</v>
      </c>
    </row>
    <row r="156" spans="1:8" x14ac:dyDescent="0.3">
      <c r="A156">
        <v>155</v>
      </c>
      <c r="B156" s="3">
        <v>44671.603599536997</v>
      </c>
      <c r="C156" s="3">
        <v>44652</v>
      </c>
      <c r="D156" t="s">
        <v>19</v>
      </c>
      <c r="E156" t="s">
        <v>196</v>
      </c>
      <c r="F156" t="s">
        <v>40</v>
      </c>
      <c r="G156" t="s">
        <v>41</v>
      </c>
      <c r="H156" t="s">
        <v>30</v>
      </c>
    </row>
    <row r="157" spans="1:8" x14ac:dyDescent="0.3">
      <c r="A157">
        <v>156</v>
      </c>
      <c r="B157" s="3">
        <v>44671.620983796303</v>
      </c>
      <c r="C157" s="3">
        <v>44652</v>
      </c>
      <c r="D157" t="s">
        <v>19</v>
      </c>
      <c r="E157" t="s">
        <v>197</v>
      </c>
      <c r="F157" t="s">
        <v>21</v>
      </c>
      <c r="G157" t="s">
        <v>22</v>
      </c>
      <c r="H157" t="s">
        <v>23</v>
      </c>
    </row>
    <row r="158" spans="1:8" x14ac:dyDescent="0.3">
      <c r="A158">
        <v>157</v>
      </c>
      <c r="B158" s="3">
        <v>44671.7422337963</v>
      </c>
      <c r="C158" s="3">
        <v>44652</v>
      </c>
      <c r="D158" t="s">
        <v>19</v>
      </c>
      <c r="E158" t="s">
        <v>198</v>
      </c>
      <c r="F158" t="s">
        <v>21</v>
      </c>
      <c r="G158" t="s">
        <v>33</v>
      </c>
      <c r="H158" t="s">
        <v>27</v>
      </c>
    </row>
    <row r="159" spans="1:8" x14ac:dyDescent="0.3">
      <c r="A159">
        <v>158</v>
      </c>
      <c r="B159" s="3">
        <v>44671.755254629599</v>
      </c>
      <c r="C159" s="3">
        <v>44652</v>
      </c>
      <c r="D159" t="s">
        <v>19</v>
      </c>
      <c r="E159" t="s">
        <v>199</v>
      </c>
      <c r="F159" t="s">
        <v>21</v>
      </c>
      <c r="G159" t="s">
        <v>22</v>
      </c>
      <c r="H159" t="s">
        <v>23</v>
      </c>
    </row>
    <row r="160" spans="1:8" x14ac:dyDescent="0.3">
      <c r="A160">
        <v>159</v>
      </c>
      <c r="B160" s="3">
        <v>44672.458379629599</v>
      </c>
      <c r="C160" s="3">
        <v>44652</v>
      </c>
      <c r="D160" t="s">
        <v>19</v>
      </c>
      <c r="E160" t="s">
        <v>200</v>
      </c>
      <c r="F160" t="s">
        <v>21</v>
      </c>
      <c r="G160" t="s">
        <v>29</v>
      </c>
      <c r="H160" t="s">
        <v>51</v>
      </c>
    </row>
    <row r="161" spans="1:8" x14ac:dyDescent="0.3">
      <c r="A161">
        <v>160</v>
      </c>
      <c r="B161" s="3">
        <v>44672.6848032407</v>
      </c>
      <c r="C161" s="3">
        <v>44652</v>
      </c>
      <c r="D161" t="s">
        <v>19</v>
      </c>
      <c r="E161" t="s">
        <v>201</v>
      </c>
      <c r="F161" t="s">
        <v>21</v>
      </c>
      <c r="G161" t="s">
        <v>22</v>
      </c>
      <c r="H161" t="s">
        <v>30</v>
      </c>
    </row>
    <row r="162" spans="1:8" x14ac:dyDescent="0.3">
      <c r="A162">
        <v>161</v>
      </c>
      <c r="B162" s="3">
        <v>44673.650798611103</v>
      </c>
      <c r="C162" s="3">
        <v>44652</v>
      </c>
      <c r="D162" t="s">
        <v>19</v>
      </c>
      <c r="E162" t="s">
        <v>202</v>
      </c>
      <c r="F162" t="s">
        <v>21</v>
      </c>
      <c r="G162" t="s">
        <v>22</v>
      </c>
      <c r="H162" t="s">
        <v>23</v>
      </c>
    </row>
    <row r="163" spans="1:8" x14ac:dyDescent="0.3">
      <c r="A163">
        <v>162</v>
      </c>
      <c r="B163" s="3">
        <v>44673.664270833302</v>
      </c>
      <c r="C163" s="3">
        <v>44652</v>
      </c>
      <c r="D163" t="s">
        <v>19</v>
      </c>
      <c r="E163" t="s">
        <v>203</v>
      </c>
      <c r="F163" t="s">
        <v>21</v>
      </c>
      <c r="G163" t="s">
        <v>29</v>
      </c>
      <c r="H163" t="s">
        <v>66</v>
      </c>
    </row>
    <row r="164" spans="1:8" x14ac:dyDescent="0.3">
      <c r="A164">
        <v>163</v>
      </c>
      <c r="B164" s="3">
        <v>44673.715520833299</v>
      </c>
      <c r="C164" s="3">
        <v>44652</v>
      </c>
      <c r="D164" t="s">
        <v>19</v>
      </c>
      <c r="E164" t="s">
        <v>204</v>
      </c>
      <c r="F164" t="s">
        <v>21</v>
      </c>
      <c r="G164" t="s">
        <v>29</v>
      </c>
      <c r="H164" t="s">
        <v>27</v>
      </c>
    </row>
    <row r="165" spans="1:8" x14ac:dyDescent="0.3">
      <c r="A165">
        <v>164</v>
      </c>
      <c r="B165" s="3">
        <v>44676.650092592601</v>
      </c>
      <c r="C165" s="3">
        <v>44652</v>
      </c>
      <c r="D165" t="s">
        <v>19</v>
      </c>
      <c r="E165" t="s">
        <v>205</v>
      </c>
      <c r="F165" t="s">
        <v>21</v>
      </c>
      <c r="G165" t="s">
        <v>22</v>
      </c>
      <c r="H165" t="s">
        <v>27</v>
      </c>
    </row>
    <row r="166" spans="1:8" x14ac:dyDescent="0.3">
      <c r="A166">
        <v>165</v>
      </c>
      <c r="B166" s="3">
        <v>44677.444675925901</v>
      </c>
      <c r="C166" s="3">
        <v>44652</v>
      </c>
      <c r="D166" t="s">
        <v>19</v>
      </c>
      <c r="E166" t="s">
        <v>206</v>
      </c>
      <c r="F166" t="s">
        <v>32</v>
      </c>
      <c r="G166" t="s">
        <v>33</v>
      </c>
      <c r="H166" t="s">
        <v>27</v>
      </c>
    </row>
    <row r="167" spans="1:8" x14ac:dyDescent="0.3">
      <c r="A167">
        <v>166</v>
      </c>
      <c r="B167" s="3">
        <v>44677.695937500001</v>
      </c>
      <c r="C167" s="3">
        <v>44652</v>
      </c>
      <c r="D167" t="s">
        <v>19</v>
      </c>
      <c r="E167" t="s">
        <v>207</v>
      </c>
      <c r="F167" t="s">
        <v>32</v>
      </c>
      <c r="G167" t="s">
        <v>33</v>
      </c>
      <c r="H167" t="s">
        <v>27</v>
      </c>
    </row>
    <row r="168" spans="1:8" x14ac:dyDescent="0.3">
      <c r="A168">
        <v>167</v>
      </c>
      <c r="B168" s="3">
        <v>44677.714953703697</v>
      </c>
      <c r="C168" s="3">
        <v>44652</v>
      </c>
      <c r="D168" t="s">
        <v>19</v>
      </c>
      <c r="E168" t="s">
        <v>208</v>
      </c>
      <c r="F168" t="s">
        <v>40</v>
      </c>
      <c r="G168" t="s">
        <v>58</v>
      </c>
      <c r="H168" t="s">
        <v>27</v>
      </c>
    </row>
    <row r="169" spans="1:8" x14ac:dyDescent="0.3">
      <c r="A169">
        <v>168</v>
      </c>
      <c r="B169" s="3">
        <v>44678.500439814801</v>
      </c>
      <c r="C169" s="3">
        <v>44652</v>
      </c>
      <c r="D169" t="s">
        <v>19</v>
      </c>
      <c r="E169" t="s">
        <v>209</v>
      </c>
      <c r="F169" t="s">
        <v>21</v>
      </c>
      <c r="G169" t="s">
        <v>29</v>
      </c>
      <c r="H169" t="s">
        <v>27</v>
      </c>
    </row>
    <row r="170" spans="1:8" x14ac:dyDescent="0.3">
      <c r="A170">
        <v>169</v>
      </c>
      <c r="B170" s="3">
        <v>44678.6184027778</v>
      </c>
      <c r="C170" s="3">
        <v>44652</v>
      </c>
      <c r="D170" t="s">
        <v>19</v>
      </c>
      <c r="E170" t="s">
        <v>210</v>
      </c>
      <c r="F170" t="s">
        <v>25</v>
      </c>
      <c r="G170" t="s">
        <v>26</v>
      </c>
      <c r="H170" t="s">
        <v>27</v>
      </c>
    </row>
    <row r="171" spans="1:8" x14ac:dyDescent="0.3">
      <c r="A171">
        <v>170</v>
      </c>
      <c r="B171" s="3">
        <v>44678.725694444503</v>
      </c>
      <c r="C171" s="3">
        <v>44652</v>
      </c>
      <c r="D171" t="s">
        <v>19</v>
      </c>
      <c r="E171" t="s">
        <v>211</v>
      </c>
      <c r="F171" t="s">
        <v>25</v>
      </c>
      <c r="G171" t="s">
        <v>26</v>
      </c>
      <c r="H171" t="s">
        <v>30</v>
      </c>
    </row>
    <row r="172" spans="1:8" x14ac:dyDescent="0.3">
      <c r="A172">
        <v>171</v>
      </c>
      <c r="B172" s="3">
        <v>44679.636562500003</v>
      </c>
      <c r="C172" s="3">
        <v>44652</v>
      </c>
      <c r="D172" t="s">
        <v>19</v>
      </c>
      <c r="E172" t="s">
        <v>212</v>
      </c>
      <c r="F172" t="s">
        <v>21</v>
      </c>
      <c r="G172" t="s">
        <v>29</v>
      </c>
      <c r="H172" t="s">
        <v>27</v>
      </c>
    </row>
    <row r="173" spans="1:8" x14ac:dyDescent="0.3">
      <c r="A173">
        <v>172</v>
      </c>
      <c r="B173" s="3">
        <v>44679.686504629601</v>
      </c>
      <c r="C173" s="3">
        <v>44652</v>
      </c>
      <c r="D173" t="s">
        <v>19</v>
      </c>
      <c r="E173" t="s">
        <v>213</v>
      </c>
      <c r="F173" t="s">
        <v>25</v>
      </c>
      <c r="G173" t="s">
        <v>26</v>
      </c>
      <c r="H173" t="s">
        <v>30</v>
      </c>
    </row>
    <row r="174" spans="1:8" x14ac:dyDescent="0.3">
      <c r="A174">
        <v>173</v>
      </c>
      <c r="B174" s="3">
        <v>44679.714733796303</v>
      </c>
      <c r="C174" s="3">
        <v>44652</v>
      </c>
      <c r="D174" t="s">
        <v>19</v>
      </c>
      <c r="E174" t="s">
        <v>214</v>
      </c>
      <c r="F174" t="s">
        <v>25</v>
      </c>
      <c r="G174" t="s">
        <v>26</v>
      </c>
      <c r="H174" t="s">
        <v>27</v>
      </c>
    </row>
    <row r="175" spans="1:8" x14ac:dyDescent="0.3">
      <c r="A175">
        <v>174</v>
      </c>
      <c r="B175" s="3">
        <v>44679.746342592603</v>
      </c>
      <c r="C175" s="3">
        <v>44652</v>
      </c>
      <c r="D175" t="s">
        <v>19</v>
      </c>
      <c r="E175" t="s">
        <v>215</v>
      </c>
      <c r="F175" t="s">
        <v>21</v>
      </c>
      <c r="G175" t="s">
        <v>22</v>
      </c>
      <c r="H175" t="s">
        <v>30</v>
      </c>
    </row>
    <row r="176" spans="1:8" x14ac:dyDescent="0.3">
      <c r="A176">
        <v>175</v>
      </c>
      <c r="B176" s="3">
        <v>44680.405902777798</v>
      </c>
      <c r="C176" s="3">
        <v>44652</v>
      </c>
      <c r="D176" t="s">
        <v>19</v>
      </c>
      <c r="E176" t="s">
        <v>216</v>
      </c>
      <c r="F176" t="s">
        <v>21</v>
      </c>
      <c r="G176" t="s">
        <v>69</v>
      </c>
      <c r="H176" t="s">
        <v>30</v>
      </c>
    </row>
    <row r="177" spans="1:8" x14ac:dyDescent="0.3">
      <c r="A177">
        <v>176</v>
      </c>
      <c r="B177" s="3">
        <v>44680.463518518503</v>
      </c>
      <c r="C177" s="3">
        <v>44652</v>
      </c>
      <c r="D177" t="s">
        <v>19</v>
      </c>
      <c r="E177" t="s">
        <v>217</v>
      </c>
      <c r="F177" t="s">
        <v>40</v>
      </c>
      <c r="G177" t="s">
        <v>48</v>
      </c>
      <c r="H177" t="s">
        <v>30</v>
      </c>
    </row>
    <row r="178" spans="1:8" x14ac:dyDescent="0.3">
      <c r="A178">
        <v>177</v>
      </c>
      <c r="B178" s="3">
        <v>44680.4871643519</v>
      </c>
      <c r="C178" s="3">
        <v>44652</v>
      </c>
      <c r="D178" t="s">
        <v>19</v>
      </c>
      <c r="E178" t="s">
        <v>218</v>
      </c>
      <c r="F178" t="s">
        <v>21</v>
      </c>
      <c r="G178" t="s">
        <v>48</v>
      </c>
      <c r="H178" t="s">
        <v>30</v>
      </c>
    </row>
    <row r="179" spans="1:8" x14ac:dyDescent="0.3">
      <c r="A179">
        <v>178</v>
      </c>
      <c r="B179" s="3">
        <v>44680.6816203704</v>
      </c>
      <c r="C179" s="3">
        <v>44652</v>
      </c>
      <c r="D179" t="s">
        <v>19</v>
      </c>
      <c r="E179" t="s">
        <v>219</v>
      </c>
      <c r="F179" t="s">
        <v>32</v>
      </c>
      <c r="G179" t="s">
        <v>33</v>
      </c>
      <c r="H179" t="s">
        <v>23</v>
      </c>
    </row>
    <row r="180" spans="1:8" x14ac:dyDescent="0.3">
      <c r="A180">
        <v>179</v>
      </c>
      <c r="B180" s="3">
        <v>44681.705729166701</v>
      </c>
      <c r="C180" s="3">
        <v>44652</v>
      </c>
      <c r="D180" t="s">
        <v>19</v>
      </c>
      <c r="E180" t="s">
        <v>220</v>
      </c>
      <c r="F180" t="s">
        <v>25</v>
      </c>
      <c r="G180" t="s">
        <v>26</v>
      </c>
      <c r="H180" t="s">
        <v>23</v>
      </c>
    </row>
    <row r="181" spans="1:8" x14ac:dyDescent="0.3">
      <c r="A181">
        <v>180</v>
      </c>
      <c r="B181" s="3">
        <v>44686.620925925898</v>
      </c>
      <c r="C181" s="3">
        <v>44682</v>
      </c>
      <c r="D181" t="s">
        <v>19</v>
      </c>
      <c r="E181" t="s">
        <v>221</v>
      </c>
      <c r="F181" t="s">
        <v>32</v>
      </c>
      <c r="G181" t="s">
        <v>33</v>
      </c>
      <c r="H181" t="s">
        <v>30</v>
      </c>
    </row>
    <row r="182" spans="1:8" x14ac:dyDescent="0.3">
      <c r="A182">
        <v>181</v>
      </c>
      <c r="B182" s="3">
        <v>44686.631296296298</v>
      </c>
      <c r="C182" s="3">
        <v>44682</v>
      </c>
      <c r="D182" t="s">
        <v>19</v>
      </c>
      <c r="E182" t="s">
        <v>222</v>
      </c>
      <c r="F182" t="s">
        <v>21</v>
      </c>
      <c r="G182" t="s">
        <v>22</v>
      </c>
      <c r="H182" t="s">
        <v>27</v>
      </c>
    </row>
    <row r="183" spans="1:8" x14ac:dyDescent="0.3">
      <c r="A183">
        <v>182</v>
      </c>
      <c r="B183" s="3">
        <v>44686.638055555602</v>
      </c>
      <c r="C183" s="3">
        <v>44682</v>
      </c>
      <c r="D183" t="s">
        <v>19</v>
      </c>
      <c r="E183" t="s">
        <v>223</v>
      </c>
      <c r="F183" t="s">
        <v>40</v>
      </c>
      <c r="G183" t="s">
        <v>75</v>
      </c>
      <c r="H183" t="s">
        <v>27</v>
      </c>
    </row>
    <row r="184" spans="1:8" x14ac:dyDescent="0.3">
      <c r="A184">
        <v>183</v>
      </c>
      <c r="B184" s="3">
        <v>44687.531875000001</v>
      </c>
      <c r="C184" s="3">
        <v>44682</v>
      </c>
      <c r="D184" t="s">
        <v>19</v>
      </c>
      <c r="E184" t="s">
        <v>224</v>
      </c>
      <c r="F184" t="s">
        <v>32</v>
      </c>
      <c r="G184" t="s">
        <v>33</v>
      </c>
      <c r="H184" t="s">
        <v>30</v>
      </c>
    </row>
    <row r="185" spans="1:8" x14ac:dyDescent="0.3">
      <c r="A185">
        <v>184</v>
      </c>
      <c r="B185" s="3">
        <v>44687.635543981502</v>
      </c>
      <c r="C185" s="3">
        <v>44682</v>
      </c>
      <c r="D185" t="s">
        <v>19</v>
      </c>
      <c r="E185" t="s">
        <v>225</v>
      </c>
      <c r="F185" t="s">
        <v>21</v>
      </c>
      <c r="G185" t="s">
        <v>22</v>
      </c>
      <c r="H185" t="s">
        <v>27</v>
      </c>
    </row>
    <row r="186" spans="1:8" x14ac:dyDescent="0.3">
      <c r="A186">
        <v>185</v>
      </c>
      <c r="B186" s="3">
        <v>44690.684351851902</v>
      </c>
      <c r="C186" s="3">
        <v>44682</v>
      </c>
      <c r="D186" t="s">
        <v>19</v>
      </c>
      <c r="E186" t="s">
        <v>226</v>
      </c>
      <c r="F186" t="s">
        <v>25</v>
      </c>
      <c r="G186" t="s">
        <v>26</v>
      </c>
      <c r="H186" t="s">
        <v>27</v>
      </c>
    </row>
    <row r="187" spans="1:8" x14ac:dyDescent="0.3">
      <c r="A187">
        <v>186</v>
      </c>
      <c r="B187" s="3">
        <v>44691.481203703697</v>
      </c>
      <c r="C187" s="3">
        <v>44682</v>
      </c>
      <c r="D187" t="s">
        <v>19</v>
      </c>
      <c r="E187" t="s">
        <v>227</v>
      </c>
      <c r="F187" t="s">
        <v>21</v>
      </c>
      <c r="G187" t="s">
        <v>22</v>
      </c>
      <c r="H187" t="s">
        <v>23</v>
      </c>
    </row>
    <row r="188" spans="1:8" x14ac:dyDescent="0.3">
      <c r="A188">
        <v>187</v>
      </c>
      <c r="B188" s="3">
        <v>44691.537708333301</v>
      </c>
      <c r="C188" s="3">
        <v>44682</v>
      </c>
      <c r="D188" t="s">
        <v>19</v>
      </c>
      <c r="E188" t="s">
        <v>228</v>
      </c>
      <c r="F188" t="s">
        <v>21</v>
      </c>
      <c r="G188" t="s">
        <v>22</v>
      </c>
      <c r="H188" t="s">
        <v>30</v>
      </c>
    </row>
    <row r="189" spans="1:8" x14ac:dyDescent="0.3">
      <c r="A189">
        <v>188</v>
      </c>
      <c r="B189" s="3">
        <v>44691.590219907397</v>
      </c>
      <c r="C189" s="3">
        <v>44682</v>
      </c>
      <c r="D189" t="s">
        <v>19</v>
      </c>
      <c r="E189" t="s">
        <v>229</v>
      </c>
      <c r="F189" t="s">
        <v>32</v>
      </c>
      <c r="G189" t="s">
        <v>33</v>
      </c>
      <c r="H189" t="s">
        <v>230</v>
      </c>
    </row>
    <row r="190" spans="1:8" x14ac:dyDescent="0.3">
      <c r="A190">
        <v>189</v>
      </c>
      <c r="B190" s="3">
        <v>44691.596087963</v>
      </c>
      <c r="C190" s="3">
        <v>44682</v>
      </c>
      <c r="D190" t="s">
        <v>19</v>
      </c>
      <c r="E190" t="s">
        <v>231</v>
      </c>
      <c r="F190" t="s">
        <v>21</v>
      </c>
      <c r="G190" t="s">
        <v>29</v>
      </c>
      <c r="H190" t="s">
        <v>30</v>
      </c>
    </row>
    <row r="191" spans="1:8" x14ac:dyDescent="0.3">
      <c r="A191">
        <v>190</v>
      </c>
      <c r="B191" s="3">
        <v>44692.527638888903</v>
      </c>
      <c r="C191" s="3">
        <v>44682</v>
      </c>
      <c r="D191" t="s">
        <v>19</v>
      </c>
      <c r="E191" t="s">
        <v>232</v>
      </c>
      <c r="F191" t="s">
        <v>32</v>
      </c>
      <c r="G191" t="s">
        <v>33</v>
      </c>
      <c r="H191" t="s">
        <v>23</v>
      </c>
    </row>
    <row r="192" spans="1:8" x14ac:dyDescent="0.3">
      <c r="A192">
        <v>191</v>
      </c>
      <c r="B192" s="3">
        <v>44693.481111111098</v>
      </c>
      <c r="C192" s="3">
        <v>44682</v>
      </c>
      <c r="D192" t="s">
        <v>19</v>
      </c>
      <c r="E192" t="s">
        <v>233</v>
      </c>
      <c r="F192" t="s">
        <v>25</v>
      </c>
      <c r="G192" t="s">
        <v>26</v>
      </c>
      <c r="H192" t="s">
        <v>234</v>
      </c>
    </row>
    <row r="193" spans="1:8" x14ac:dyDescent="0.3">
      <c r="A193">
        <v>192</v>
      </c>
      <c r="B193" s="3">
        <v>44697.625185185199</v>
      </c>
      <c r="C193" s="3">
        <v>44682</v>
      </c>
      <c r="D193" t="s">
        <v>19</v>
      </c>
      <c r="E193" t="s">
        <v>235</v>
      </c>
      <c r="F193" t="s">
        <v>21</v>
      </c>
      <c r="G193" t="s">
        <v>29</v>
      </c>
      <c r="H193" t="s">
        <v>236</v>
      </c>
    </row>
    <row r="194" spans="1:8" x14ac:dyDescent="0.3">
      <c r="A194">
        <v>193</v>
      </c>
      <c r="B194" s="3">
        <v>44697.631770833301</v>
      </c>
      <c r="C194" s="3">
        <v>44682</v>
      </c>
      <c r="D194" t="s">
        <v>19</v>
      </c>
      <c r="E194" t="s">
        <v>237</v>
      </c>
      <c r="F194" t="s">
        <v>25</v>
      </c>
      <c r="G194" t="s">
        <v>26</v>
      </c>
      <c r="H194" t="s">
        <v>30</v>
      </c>
    </row>
    <row r="195" spans="1:8" x14ac:dyDescent="0.3">
      <c r="A195">
        <v>194</v>
      </c>
      <c r="B195" s="3">
        <v>44698.524074074099</v>
      </c>
      <c r="C195" s="3">
        <v>44682</v>
      </c>
      <c r="D195" t="s">
        <v>19</v>
      </c>
      <c r="E195" t="s">
        <v>238</v>
      </c>
      <c r="F195" t="s">
        <v>21</v>
      </c>
      <c r="G195" t="s">
        <v>29</v>
      </c>
      <c r="H195" t="s">
        <v>30</v>
      </c>
    </row>
    <row r="196" spans="1:8" x14ac:dyDescent="0.3">
      <c r="A196">
        <v>195</v>
      </c>
      <c r="B196" s="3">
        <v>44698.684965277796</v>
      </c>
      <c r="C196" s="3">
        <v>44682</v>
      </c>
      <c r="D196" t="s">
        <v>19</v>
      </c>
      <c r="E196" t="s">
        <v>239</v>
      </c>
      <c r="F196" t="s">
        <v>21</v>
      </c>
      <c r="G196" t="s">
        <v>33</v>
      </c>
      <c r="H196" t="s">
        <v>27</v>
      </c>
    </row>
    <row r="197" spans="1:8" x14ac:dyDescent="0.3">
      <c r="A197">
        <v>196</v>
      </c>
      <c r="B197" s="3">
        <v>44698.686793981498</v>
      </c>
      <c r="C197" s="3">
        <v>44682</v>
      </c>
      <c r="D197" t="s">
        <v>19</v>
      </c>
      <c r="E197" t="s">
        <v>240</v>
      </c>
      <c r="F197" t="s">
        <v>21</v>
      </c>
      <c r="G197" t="s">
        <v>22</v>
      </c>
      <c r="H197" t="s">
        <v>30</v>
      </c>
    </row>
    <row r="198" spans="1:8" x14ac:dyDescent="0.3">
      <c r="A198">
        <v>197</v>
      </c>
      <c r="B198" s="3">
        <v>44699.649282407401</v>
      </c>
      <c r="C198" s="3">
        <v>44682</v>
      </c>
      <c r="D198" t="s">
        <v>19</v>
      </c>
      <c r="E198" t="s">
        <v>241</v>
      </c>
      <c r="F198" t="s">
        <v>21</v>
      </c>
      <c r="G198" t="s">
        <v>22</v>
      </c>
      <c r="H198" t="s">
        <v>30</v>
      </c>
    </row>
    <row r="199" spans="1:8" x14ac:dyDescent="0.3">
      <c r="A199">
        <v>198</v>
      </c>
      <c r="B199" s="3">
        <v>44699.6636111111</v>
      </c>
      <c r="C199" s="3">
        <v>44682</v>
      </c>
      <c r="D199" t="s">
        <v>19</v>
      </c>
      <c r="E199" t="s">
        <v>242</v>
      </c>
      <c r="F199" t="s">
        <v>25</v>
      </c>
      <c r="G199" t="s">
        <v>26</v>
      </c>
      <c r="H199" t="s">
        <v>30</v>
      </c>
    </row>
    <row r="200" spans="1:8" x14ac:dyDescent="0.3">
      <c r="A200">
        <v>199</v>
      </c>
      <c r="B200" s="3">
        <v>44700.5065509259</v>
      </c>
      <c r="C200" s="3">
        <v>44682</v>
      </c>
      <c r="D200" t="s">
        <v>19</v>
      </c>
      <c r="E200" t="s">
        <v>243</v>
      </c>
      <c r="F200" t="s">
        <v>25</v>
      </c>
      <c r="G200" t="s">
        <v>26</v>
      </c>
      <c r="H200" t="s">
        <v>23</v>
      </c>
    </row>
    <row r="201" spans="1:8" x14ac:dyDescent="0.3">
      <c r="A201">
        <v>200</v>
      </c>
      <c r="B201" s="3">
        <v>44700.648229166698</v>
      </c>
      <c r="C201" s="3">
        <v>44682</v>
      </c>
      <c r="D201" t="s">
        <v>19</v>
      </c>
      <c r="E201" t="s">
        <v>244</v>
      </c>
      <c r="F201" t="s">
        <v>21</v>
      </c>
      <c r="G201" t="s">
        <v>29</v>
      </c>
      <c r="H201" t="s">
        <v>66</v>
      </c>
    </row>
    <row r="202" spans="1:8" x14ac:dyDescent="0.3">
      <c r="A202">
        <v>201</v>
      </c>
      <c r="B202" s="3">
        <v>44700.701944444401</v>
      </c>
      <c r="C202" s="3">
        <v>44682</v>
      </c>
      <c r="D202" t="s">
        <v>19</v>
      </c>
      <c r="E202" t="s">
        <v>245</v>
      </c>
      <c r="F202" t="s">
        <v>25</v>
      </c>
      <c r="G202" t="s">
        <v>26</v>
      </c>
      <c r="H202" t="s">
        <v>234</v>
      </c>
    </row>
    <row r="203" spans="1:8" x14ac:dyDescent="0.3">
      <c r="A203">
        <v>202</v>
      </c>
      <c r="B203" s="3">
        <v>44700.741030092599</v>
      </c>
      <c r="C203" s="3">
        <v>44682</v>
      </c>
      <c r="D203" t="s">
        <v>19</v>
      </c>
      <c r="E203" t="s">
        <v>246</v>
      </c>
      <c r="F203" t="s">
        <v>21</v>
      </c>
      <c r="G203" t="s">
        <v>29</v>
      </c>
      <c r="H203" t="s">
        <v>51</v>
      </c>
    </row>
    <row r="204" spans="1:8" x14ac:dyDescent="0.3">
      <c r="A204">
        <v>203</v>
      </c>
      <c r="B204" s="3">
        <v>44701.631261574097</v>
      </c>
      <c r="C204" s="3">
        <v>44682</v>
      </c>
      <c r="D204" t="s">
        <v>19</v>
      </c>
      <c r="E204" t="s">
        <v>247</v>
      </c>
      <c r="F204" t="s">
        <v>32</v>
      </c>
      <c r="G204" t="s">
        <v>33</v>
      </c>
      <c r="H204" t="s">
        <v>234</v>
      </c>
    </row>
    <row r="205" spans="1:8" x14ac:dyDescent="0.3">
      <c r="A205">
        <v>204</v>
      </c>
      <c r="B205" s="3">
        <v>44704.626597222203</v>
      </c>
      <c r="C205" s="3">
        <v>44682</v>
      </c>
      <c r="D205" t="s">
        <v>19</v>
      </c>
      <c r="E205" t="s">
        <v>248</v>
      </c>
      <c r="F205" t="s">
        <v>40</v>
      </c>
      <c r="G205" t="s">
        <v>48</v>
      </c>
      <c r="H205" t="s">
        <v>27</v>
      </c>
    </row>
    <row r="206" spans="1:8" x14ac:dyDescent="0.3">
      <c r="A206">
        <v>205</v>
      </c>
      <c r="B206" s="3">
        <v>44704.628287036998</v>
      </c>
      <c r="C206" s="3">
        <v>44682</v>
      </c>
      <c r="D206" t="s">
        <v>19</v>
      </c>
      <c r="E206" t="s">
        <v>249</v>
      </c>
      <c r="F206" t="s">
        <v>40</v>
      </c>
      <c r="G206" t="s">
        <v>41</v>
      </c>
      <c r="H206" t="s">
        <v>30</v>
      </c>
    </row>
    <row r="207" spans="1:8" x14ac:dyDescent="0.3">
      <c r="A207">
        <v>206</v>
      </c>
      <c r="B207" s="3">
        <v>44704.706574074102</v>
      </c>
      <c r="C207" s="3">
        <v>44682</v>
      </c>
      <c r="D207" t="s">
        <v>19</v>
      </c>
      <c r="E207" t="s">
        <v>250</v>
      </c>
      <c r="F207" t="s">
        <v>40</v>
      </c>
      <c r="G207" t="s">
        <v>48</v>
      </c>
      <c r="H207" t="s">
        <v>66</v>
      </c>
    </row>
    <row r="208" spans="1:8" x14ac:dyDescent="0.3">
      <c r="A208">
        <v>207</v>
      </c>
      <c r="B208" s="3">
        <v>44704.734629629602</v>
      </c>
      <c r="C208" s="3">
        <v>44682</v>
      </c>
      <c r="D208" t="s">
        <v>19</v>
      </c>
      <c r="E208" t="s">
        <v>251</v>
      </c>
      <c r="F208" t="s">
        <v>40</v>
      </c>
      <c r="G208" t="s">
        <v>48</v>
      </c>
      <c r="H208" t="s">
        <v>234</v>
      </c>
    </row>
    <row r="209" spans="1:8" x14ac:dyDescent="0.3">
      <c r="A209">
        <v>208</v>
      </c>
      <c r="B209" s="3">
        <v>44705.604594907403</v>
      </c>
      <c r="C209" s="3">
        <v>44682</v>
      </c>
      <c r="D209" t="s">
        <v>19</v>
      </c>
      <c r="E209" t="s">
        <v>252</v>
      </c>
      <c r="F209" t="s">
        <v>21</v>
      </c>
      <c r="G209" t="s">
        <v>22</v>
      </c>
      <c r="H209" t="s">
        <v>30</v>
      </c>
    </row>
    <row r="210" spans="1:8" x14ac:dyDescent="0.3">
      <c r="A210">
        <v>209</v>
      </c>
      <c r="B210" s="3">
        <v>44705.6582291667</v>
      </c>
      <c r="C210" s="3">
        <v>44682</v>
      </c>
      <c r="D210" t="s">
        <v>19</v>
      </c>
      <c r="E210" t="s">
        <v>253</v>
      </c>
      <c r="F210" t="s">
        <v>40</v>
      </c>
      <c r="G210" t="s">
        <v>48</v>
      </c>
      <c r="H210" t="s">
        <v>234</v>
      </c>
    </row>
    <row r="211" spans="1:8" x14ac:dyDescent="0.3">
      <c r="A211">
        <v>210</v>
      </c>
      <c r="B211" s="3">
        <v>44706.657847222203</v>
      </c>
      <c r="C211" s="3">
        <v>44682</v>
      </c>
      <c r="D211" t="s">
        <v>19</v>
      </c>
      <c r="E211" t="s">
        <v>254</v>
      </c>
      <c r="F211" t="s">
        <v>21</v>
      </c>
      <c r="G211" t="s">
        <v>22</v>
      </c>
      <c r="H211" t="s">
        <v>27</v>
      </c>
    </row>
    <row r="212" spans="1:8" x14ac:dyDescent="0.3">
      <c r="A212">
        <v>211</v>
      </c>
      <c r="B212" s="3">
        <v>44706.6696296296</v>
      </c>
      <c r="C212" s="3">
        <v>44682</v>
      </c>
      <c r="D212" t="s">
        <v>19</v>
      </c>
      <c r="E212" t="s">
        <v>255</v>
      </c>
      <c r="F212" t="s">
        <v>32</v>
      </c>
      <c r="G212" t="s">
        <v>33</v>
      </c>
      <c r="H212" t="s">
        <v>30</v>
      </c>
    </row>
    <row r="213" spans="1:8" x14ac:dyDescent="0.3">
      <c r="A213">
        <v>212</v>
      </c>
      <c r="B213" s="3">
        <v>44707.519780092603</v>
      </c>
      <c r="C213" s="3">
        <v>44682</v>
      </c>
      <c r="D213" t="s">
        <v>19</v>
      </c>
      <c r="E213" t="s">
        <v>256</v>
      </c>
      <c r="F213" t="s">
        <v>21</v>
      </c>
      <c r="G213" t="s">
        <v>22</v>
      </c>
      <c r="H213" t="s">
        <v>30</v>
      </c>
    </row>
    <row r="214" spans="1:8" x14ac:dyDescent="0.3">
      <c r="A214">
        <v>213</v>
      </c>
      <c r="B214" s="3">
        <v>44708.660648148201</v>
      </c>
      <c r="C214" s="3">
        <v>44682</v>
      </c>
      <c r="D214" t="s">
        <v>19</v>
      </c>
      <c r="E214" t="s">
        <v>257</v>
      </c>
      <c r="F214" t="s">
        <v>40</v>
      </c>
      <c r="G214" t="s">
        <v>75</v>
      </c>
      <c r="H214" t="s">
        <v>27</v>
      </c>
    </row>
    <row r="215" spans="1:8" x14ac:dyDescent="0.3">
      <c r="A215">
        <v>214</v>
      </c>
      <c r="B215" s="3">
        <v>44708.666701388902</v>
      </c>
      <c r="C215" s="3">
        <v>44682</v>
      </c>
      <c r="D215" t="s">
        <v>19</v>
      </c>
      <c r="E215" t="s">
        <v>258</v>
      </c>
      <c r="F215" t="s">
        <v>32</v>
      </c>
      <c r="G215" t="s">
        <v>33</v>
      </c>
      <c r="H215" t="s">
        <v>23</v>
      </c>
    </row>
    <row r="216" spans="1:8" x14ac:dyDescent="0.3">
      <c r="A216">
        <v>215</v>
      </c>
      <c r="B216" s="3">
        <v>44708.6713310185</v>
      </c>
      <c r="C216" s="3">
        <v>44682</v>
      </c>
      <c r="D216" t="s">
        <v>19</v>
      </c>
      <c r="E216" t="s">
        <v>259</v>
      </c>
      <c r="F216" t="s">
        <v>21</v>
      </c>
      <c r="G216" t="s">
        <v>22</v>
      </c>
      <c r="H216" t="s">
        <v>30</v>
      </c>
    </row>
    <row r="217" spans="1:8" x14ac:dyDescent="0.3">
      <c r="A217">
        <v>216</v>
      </c>
      <c r="B217" s="3">
        <v>44708.706990740699</v>
      </c>
      <c r="C217" s="3">
        <v>44682</v>
      </c>
      <c r="D217" t="s">
        <v>19</v>
      </c>
      <c r="E217" t="s">
        <v>260</v>
      </c>
      <c r="F217" t="s">
        <v>21</v>
      </c>
      <c r="G217" t="s">
        <v>33</v>
      </c>
      <c r="H217" t="s">
        <v>30</v>
      </c>
    </row>
    <row r="218" spans="1:8" x14ac:dyDescent="0.3">
      <c r="A218">
        <v>217</v>
      </c>
      <c r="B218" s="3">
        <v>44709.467881944503</v>
      </c>
      <c r="C218" s="3">
        <v>44682</v>
      </c>
      <c r="D218" t="s">
        <v>19</v>
      </c>
      <c r="E218" t="s">
        <v>261</v>
      </c>
      <c r="F218" t="s">
        <v>21</v>
      </c>
      <c r="G218" t="s">
        <v>22</v>
      </c>
      <c r="H218" t="s">
        <v>27</v>
      </c>
    </row>
    <row r="219" spans="1:8" x14ac:dyDescent="0.3">
      <c r="A219">
        <v>218</v>
      </c>
      <c r="B219" s="3">
        <v>44709.588483796302</v>
      </c>
      <c r="C219" s="3">
        <v>44682</v>
      </c>
      <c r="D219" t="s">
        <v>19</v>
      </c>
      <c r="E219" t="s">
        <v>262</v>
      </c>
      <c r="F219" t="s">
        <v>25</v>
      </c>
      <c r="G219" t="s">
        <v>26</v>
      </c>
      <c r="H219" t="s">
        <v>27</v>
      </c>
    </row>
    <row r="220" spans="1:8" x14ac:dyDescent="0.3">
      <c r="A220">
        <v>219</v>
      </c>
      <c r="B220" s="3">
        <v>44711.486365740697</v>
      </c>
      <c r="C220" s="3">
        <v>44682</v>
      </c>
      <c r="D220" t="s">
        <v>19</v>
      </c>
      <c r="E220" t="s">
        <v>263</v>
      </c>
      <c r="F220" t="s">
        <v>40</v>
      </c>
      <c r="G220" t="s">
        <v>264</v>
      </c>
      <c r="H220" t="s">
        <v>30</v>
      </c>
    </row>
    <row r="221" spans="1:8" x14ac:dyDescent="0.3">
      <c r="A221">
        <v>220</v>
      </c>
      <c r="B221" s="3">
        <v>44711.491168981498</v>
      </c>
      <c r="C221" s="3">
        <v>44682</v>
      </c>
      <c r="D221" t="s">
        <v>19</v>
      </c>
      <c r="E221" t="s">
        <v>265</v>
      </c>
      <c r="F221" t="s">
        <v>25</v>
      </c>
      <c r="G221" t="s">
        <v>26</v>
      </c>
      <c r="H221" t="s">
        <v>236</v>
      </c>
    </row>
    <row r="222" spans="1:8" x14ac:dyDescent="0.3">
      <c r="A222">
        <v>221</v>
      </c>
      <c r="B222" s="3">
        <v>44711.532766203702</v>
      </c>
      <c r="C222" s="3">
        <v>44682</v>
      </c>
      <c r="D222" t="s">
        <v>19</v>
      </c>
      <c r="E222" t="s">
        <v>266</v>
      </c>
      <c r="F222" t="s">
        <v>40</v>
      </c>
      <c r="G222" t="s">
        <v>41</v>
      </c>
      <c r="H222" t="s">
        <v>51</v>
      </c>
    </row>
    <row r="223" spans="1:8" x14ac:dyDescent="0.3">
      <c r="A223">
        <v>222</v>
      </c>
      <c r="B223" s="3">
        <v>44711.5636689815</v>
      </c>
      <c r="C223" s="3">
        <v>44682</v>
      </c>
      <c r="D223" t="s">
        <v>19</v>
      </c>
      <c r="E223" t="s">
        <v>267</v>
      </c>
      <c r="F223" t="s">
        <v>21</v>
      </c>
      <c r="G223" t="s">
        <v>22</v>
      </c>
      <c r="H223" t="s">
        <v>30</v>
      </c>
    </row>
    <row r="224" spans="1:8" x14ac:dyDescent="0.3">
      <c r="A224">
        <v>223</v>
      </c>
      <c r="B224" s="3">
        <v>44711.597361111097</v>
      </c>
      <c r="C224" s="3">
        <v>44682</v>
      </c>
      <c r="D224" t="s">
        <v>19</v>
      </c>
      <c r="E224" t="s">
        <v>268</v>
      </c>
      <c r="F224" t="s">
        <v>25</v>
      </c>
      <c r="G224" t="s">
        <v>26</v>
      </c>
      <c r="H224" t="s">
        <v>27</v>
      </c>
    </row>
    <row r="225" spans="1:8" x14ac:dyDescent="0.3">
      <c r="A225">
        <v>224</v>
      </c>
      <c r="B225" s="3">
        <v>44711.715393518498</v>
      </c>
      <c r="C225" s="3">
        <v>44682</v>
      </c>
      <c r="D225" t="s">
        <v>19</v>
      </c>
      <c r="E225" t="s">
        <v>269</v>
      </c>
      <c r="F225" t="s">
        <v>21</v>
      </c>
      <c r="G225" t="s">
        <v>29</v>
      </c>
      <c r="H225" t="s">
        <v>234</v>
      </c>
    </row>
    <row r="226" spans="1:8" x14ac:dyDescent="0.3">
      <c r="A226">
        <v>225</v>
      </c>
      <c r="B226" s="3">
        <v>44711.727939814802</v>
      </c>
      <c r="C226" s="3">
        <v>44682</v>
      </c>
      <c r="D226" t="s">
        <v>19</v>
      </c>
      <c r="E226" t="s">
        <v>270</v>
      </c>
      <c r="F226" t="s">
        <v>40</v>
      </c>
      <c r="G226" t="s">
        <v>41</v>
      </c>
      <c r="H226" t="s">
        <v>30</v>
      </c>
    </row>
    <row r="227" spans="1:8" x14ac:dyDescent="0.3">
      <c r="A227">
        <v>226</v>
      </c>
      <c r="B227" s="3">
        <v>44712.461597222202</v>
      </c>
      <c r="C227" s="3">
        <v>44682</v>
      </c>
      <c r="D227" t="s">
        <v>19</v>
      </c>
      <c r="E227" t="s">
        <v>271</v>
      </c>
      <c r="F227" t="s">
        <v>21</v>
      </c>
      <c r="G227" t="s">
        <v>29</v>
      </c>
      <c r="H227" t="s">
        <v>23</v>
      </c>
    </row>
    <row r="228" spans="1:8" x14ac:dyDescent="0.3">
      <c r="A228">
        <v>227</v>
      </c>
      <c r="B228" s="3">
        <v>44712.512858796297</v>
      </c>
      <c r="C228" s="3">
        <v>44682</v>
      </c>
      <c r="D228" t="s">
        <v>19</v>
      </c>
      <c r="E228" t="s">
        <v>272</v>
      </c>
      <c r="F228" t="s">
        <v>25</v>
      </c>
      <c r="G228" t="s">
        <v>26</v>
      </c>
      <c r="H228" t="s">
        <v>23</v>
      </c>
    </row>
    <row r="229" spans="1:8" x14ac:dyDescent="0.3">
      <c r="A229">
        <v>228</v>
      </c>
      <c r="B229" s="3">
        <v>44712.525671296302</v>
      </c>
      <c r="C229" s="3">
        <v>44682</v>
      </c>
      <c r="D229" t="s">
        <v>19</v>
      </c>
      <c r="E229" t="s">
        <v>273</v>
      </c>
      <c r="F229" t="s">
        <v>21</v>
      </c>
      <c r="G229" t="s">
        <v>22</v>
      </c>
      <c r="H229" t="s">
        <v>30</v>
      </c>
    </row>
    <row r="230" spans="1:8" x14ac:dyDescent="0.3">
      <c r="A230">
        <v>229</v>
      </c>
      <c r="B230" s="3">
        <v>44712.5327314815</v>
      </c>
      <c r="C230" s="3">
        <v>44682</v>
      </c>
      <c r="D230" t="s">
        <v>19</v>
      </c>
      <c r="E230" t="s">
        <v>274</v>
      </c>
      <c r="F230" t="s">
        <v>21</v>
      </c>
      <c r="G230" t="s">
        <v>22</v>
      </c>
      <c r="H230" t="s">
        <v>23</v>
      </c>
    </row>
    <row r="231" spans="1:8" x14ac:dyDescent="0.3">
      <c r="A231">
        <v>230</v>
      </c>
      <c r="B231" s="3">
        <v>44712.682766203703</v>
      </c>
      <c r="C231" s="3">
        <v>44682</v>
      </c>
      <c r="D231" t="s">
        <v>19</v>
      </c>
      <c r="E231" t="s">
        <v>275</v>
      </c>
      <c r="F231" t="s">
        <v>21</v>
      </c>
      <c r="G231" t="s">
        <v>22</v>
      </c>
      <c r="H231" t="s">
        <v>27</v>
      </c>
    </row>
    <row r="232" spans="1:8" x14ac:dyDescent="0.3">
      <c r="A232">
        <v>231</v>
      </c>
      <c r="B232" s="3">
        <v>44712.690625000003</v>
      </c>
      <c r="C232" s="3">
        <v>44682</v>
      </c>
      <c r="D232" t="s">
        <v>19</v>
      </c>
      <c r="E232" t="s">
        <v>276</v>
      </c>
      <c r="F232" t="s">
        <v>21</v>
      </c>
      <c r="G232" t="s">
        <v>22</v>
      </c>
      <c r="H232" t="s">
        <v>30</v>
      </c>
    </row>
    <row r="233" spans="1:8" x14ac:dyDescent="0.3">
      <c r="A233">
        <v>232</v>
      </c>
      <c r="B233" s="3">
        <v>44713.629965277803</v>
      </c>
      <c r="C233" s="3">
        <v>44713</v>
      </c>
      <c r="D233" t="s">
        <v>19</v>
      </c>
      <c r="E233" t="s">
        <v>277</v>
      </c>
      <c r="F233" t="s">
        <v>25</v>
      </c>
      <c r="G233" t="s">
        <v>26</v>
      </c>
      <c r="H233" t="s">
        <v>27</v>
      </c>
    </row>
    <row r="234" spans="1:8" x14ac:dyDescent="0.3">
      <c r="A234">
        <v>233</v>
      </c>
      <c r="B234" s="3">
        <v>44714.503449074102</v>
      </c>
      <c r="C234" s="3">
        <v>44713</v>
      </c>
      <c r="D234" t="s">
        <v>19</v>
      </c>
      <c r="E234" t="s">
        <v>278</v>
      </c>
      <c r="F234" t="s">
        <v>40</v>
      </c>
      <c r="G234" t="s">
        <v>48</v>
      </c>
      <c r="H234" t="s">
        <v>51</v>
      </c>
    </row>
    <row r="235" spans="1:8" x14ac:dyDescent="0.3">
      <c r="A235">
        <v>234</v>
      </c>
      <c r="B235" s="3">
        <v>44714.676226851901</v>
      </c>
      <c r="C235" s="3">
        <v>44713</v>
      </c>
      <c r="D235" t="s">
        <v>19</v>
      </c>
      <c r="E235" t="s">
        <v>279</v>
      </c>
      <c r="F235" t="s">
        <v>40</v>
      </c>
      <c r="G235" t="s">
        <v>41</v>
      </c>
      <c r="H235" t="s">
        <v>236</v>
      </c>
    </row>
    <row r="236" spans="1:8" x14ac:dyDescent="0.3">
      <c r="A236">
        <v>235</v>
      </c>
      <c r="B236" s="3">
        <v>44715.6333101852</v>
      </c>
      <c r="C236" s="3">
        <v>44713</v>
      </c>
      <c r="D236" t="s">
        <v>19</v>
      </c>
      <c r="E236" t="s">
        <v>280</v>
      </c>
      <c r="F236" t="s">
        <v>32</v>
      </c>
      <c r="G236" t="s">
        <v>33</v>
      </c>
      <c r="H236" t="s">
        <v>30</v>
      </c>
    </row>
    <row r="237" spans="1:8" x14ac:dyDescent="0.3">
      <c r="A237">
        <v>236</v>
      </c>
      <c r="B237" s="3">
        <v>44715.697800925896</v>
      </c>
      <c r="C237" s="3">
        <v>44713</v>
      </c>
      <c r="D237" t="s">
        <v>19</v>
      </c>
      <c r="E237" t="s">
        <v>281</v>
      </c>
      <c r="F237" t="s">
        <v>21</v>
      </c>
      <c r="G237" t="s">
        <v>29</v>
      </c>
      <c r="H237" t="s">
        <v>30</v>
      </c>
    </row>
    <row r="238" spans="1:8" x14ac:dyDescent="0.3">
      <c r="A238">
        <v>237</v>
      </c>
      <c r="B238" s="3">
        <v>44715.720439814802</v>
      </c>
      <c r="C238" s="3">
        <v>44713</v>
      </c>
      <c r="D238" t="s">
        <v>19</v>
      </c>
      <c r="E238" t="s">
        <v>282</v>
      </c>
      <c r="F238" t="s">
        <v>32</v>
      </c>
      <c r="G238" t="s">
        <v>33</v>
      </c>
      <c r="H238" t="s">
        <v>27</v>
      </c>
    </row>
    <row r="239" spans="1:8" x14ac:dyDescent="0.3">
      <c r="A239">
        <v>238</v>
      </c>
      <c r="B239" s="3">
        <v>44715.7276388889</v>
      </c>
      <c r="C239" s="3">
        <v>44713</v>
      </c>
      <c r="D239" t="s">
        <v>19</v>
      </c>
      <c r="E239" t="s">
        <v>283</v>
      </c>
      <c r="F239" t="s">
        <v>32</v>
      </c>
      <c r="G239" t="s">
        <v>33</v>
      </c>
      <c r="H239" t="s">
        <v>27</v>
      </c>
    </row>
    <row r="240" spans="1:8" x14ac:dyDescent="0.3">
      <c r="A240">
        <v>239</v>
      </c>
      <c r="B240" s="3">
        <v>44715.743553240703</v>
      </c>
      <c r="C240" s="3">
        <v>44713</v>
      </c>
      <c r="D240" t="s">
        <v>19</v>
      </c>
      <c r="E240" t="s">
        <v>284</v>
      </c>
      <c r="F240" t="s">
        <v>21</v>
      </c>
      <c r="G240" t="s">
        <v>29</v>
      </c>
      <c r="H240" t="s">
        <v>30</v>
      </c>
    </row>
    <row r="241" spans="1:8" x14ac:dyDescent="0.3">
      <c r="A241">
        <v>240</v>
      </c>
      <c r="B241" s="3">
        <v>44720.598900463003</v>
      </c>
      <c r="C241" s="3">
        <v>44713</v>
      </c>
      <c r="D241" t="s">
        <v>19</v>
      </c>
      <c r="E241" t="s">
        <v>285</v>
      </c>
      <c r="F241" t="s">
        <v>32</v>
      </c>
      <c r="G241" t="s">
        <v>33</v>
      </c>
      <c r="H241" t="s">
        <v>27</v>
      </c>
    </row>
    <row r="242" spans="1:8" x14ac:dyDescent="0.3">
      <c r="A242">
        <v>241</v>
      </c>
      <c r="B242" s="3">
        <v>44722.738807870403</v>
      </c>
      <c r="C242" s="3">
        <v>44713</v>
      </c>
      <c r="D242" t="s">
        <v>19</v>
      </c>
      <c r="E242" t="s">
        <v>286</v>
      </c>
      <c r="F242" t="s">
        <v>25</v>
      </c>
      <c r="G242" t="s">
        <v>26</v>
      </c>
      <c r="H242" t="s">
        <v>27</v>
      </c>
    </row>
    <row r="243" spans="1:8" x14ac:dyDescent="0.3">
      <c r="A243">
        <v>242</v>
      </c>
      <c r="B243" s="3">
        <v>44725.6811689815</v>
      </c>
      <c r="C243" s="3">
        <v>44713</v>
      </c>
      <c r="D243" t="s">
        <v>19</v>
      </c>
      <c r="E243" t="s">
        <v>287</v>
      </c>
      <c r="F243" t="s">
        <v>21</v>
      </c>
      <c r="G243" t="s">
        <v>22</v>
      </c>
      <c r="H243" t="s">
        <v>27</v>
      </c>
    </row>
    <row r="244" spans="1:8" x14ac:dyDescent="0.3">
      <c r="A244">
        <v>243</v>
      </c>
      <c r="B244" s="3">
        <v>44726.511932870402</v>
      </c>
      <c r="C244" s="3">
        <v>44713</v>
      </c>
      <c r="D244" t="s">
        <v>19</v>
      </c>
      <c r="E244" t="s">
        <v>288</v>
      </c>
      <c r="F244" t="s">
        <v>21</v>
      </c>
      <c r="G244" t="s">
        <v>33</v>
      </c>
      <c r="H244" t="s">
        <v>23</v>
      </c>
    </row>
    <row r="245" spans="1:8" x14ac:dyDescent="0.3">
      <c r="A245">
        <v>244</v>
      </c>
      <c r="B245" s="3">
        <v>44726.730578703697</v>
      </c>
      <c r="C245" s="3">
        <v>44713</v>
      </c>
      <c r="D245" t="s">
        <v>19</v>
      </c>
      <c r="E245" t="s">
        <v>289</v>
      </c>
      <c r="F245" t="s">
        <v>21</v>
      </c>
      <c r="G245" t="s">
        <v>33</v>
      </c>
      <c r="H245" t="s">
        <v>23</v>
      </c>
    </row>
    <row r="246" spans="1:8" x14ac:dyDescent="0.3">
      <c r="A246">
        <v>245</v>
      </c>
      <c r="B246" s="3">
        <v>44726.734340277799</v>
      </c>
      <c r="C246" s="3">
        <v>44713</v>
      </c>
      <c r="D246" t="s">
        <v>19</v>
      </c>
      <c r="E246" t="s">
        <v>290</v>
      </c>
      <c r="F246" t="s">
        <v>21</v>
      </c>
      <c r="G246" t="s">
        <v>29</v>
      </c>
      <c r="H246" t="s">
        <v>27</v>
      </c>
    </row>
    <row r="247" spans="1:8" x14ac:dyDescent="0.3">
      <c r="A247">
        <v>246</v>
      </c>
      <c r="B247" s="3">
        <v>44727.497175925899</v>
      </c>
      <c r="C247" s="3">
        <v>44713</v>
      </c>
      <c r="D247" t="s">
        <v>19</v>
      </c>
      <c r="E247" t="s">
        <v>291</v>
      </c>
      <c r="F247" t="s">
        <v>21</v>
      </c>
      <c r="G247" t="s">
        <v>33</v>
      </c>
      <c r="H247" t="s">
        <v>236</v>
      </c>
    </row>
    <row r="248" spans="1:8" x14ac:dyDescent="0.3">
      <c r="A248">
        <v>247</v>
      </c>
      <c r="B248" s="3">
        <v>44727.587731481501</v>
      </c>
      <c r="C248" s="3">
        <v>44713</v>
      </c>
      <c r="D248" t="s">
        <v>19</v>
      </c>
      <c r="E248" t="s">
        <v>292</v>
      </c>
      <c r="F248" t="s">
        <v>21</v>
      </c>
      <c r="G248" t="s">
        <v>22</v>
      </c>
      <c r="H248" t="s">
        <v>27</v>
      </c>
    </row>
    <row r="249" spans="1:8" x14ac:dyDescent="0.3">
      <c r="A249">
        <v>248</v>
      </c>
      <c r="B249" s="3">
        <v>44729.512858796297</v>
      </c>
      <c r="C249" s="3">
        <v>44713</v>
      </c>
      <c r="D249" t="s">
        <v>19</v>
      </c>
      <c r="E249" t="s">
        <v>293</v>
      </c>
      <c r="F249" t="s">
        <v>21</v>
      </c>
      <c r="G249" t="s">
        <v>29</v>
      </c>
      <c r="H249" t="s">
        <v>27</v>
      </c>
    </row>
    <row r="250" spans="1:8" x14ac:dyDescent="0.3">
      <c r="A250">
        <v>249</v>
      </c>
      <c r="B250" s="3">
        <v>44729.520810185197</v>
      </c>
      <c r="C250" s="3">
        <v>44713</v>
      </c>
      <c r="D250" t="s">
        <v>19</v>
      </c>
      <c r="E250" t="s">
        <v>294</v>
      </c>
      <c r="F250" t="s">
        <v>25</v>
      </c>
      <c r="G250" t="s">
        <v>26</v>
      </c>
      <c r="H250" t="s">
        <v>27</v>
      </c>
    </row>
    <row r="251" spans="1:8" x14ac:dyDescent="0.3">
      <c r="A251">
        <v>250</v>
      </c>
      <c r="B251" s="3">
        <v>44729.676377314798</v>
      </c>
      <c r="C251" s="3">
        <v>44713</v>
      </c>
      <c r="D251" t="s">
        <v>19</v>
      </c>
      <c r="E251" t="s">
        <v>295</v>
      </c>
      <c r="F251" t="s">
        <v>40</v>
      </c>
      <c r="G251" t="s">
        <v>48</v>
      </c>
      <c r="H251" t="s">
        <v>234</v>
      </c>
    </row>
    <row r="252" spans="1:8" x14ac:dyDescent="0.3">
      <c r="A252">
        <v>251</v>
      </c>
      <c r="B252" s="3">
        <v>44729.728159722203</v>
      </c>
      <c r="C252" s="3">
        <v>44713</v>
      </c>
      <c r="D252" t="s">
        <v>19</v>
      </c>
      <c r="E252" t="s">
        <v>296</v>
      </c>
      <c r="F252" t="s">
        <v>21</v>
      </c>
      <c r="G252" t="s">
        <v>22</v>
      </c>
      <c r="H252" t="s">
        <v>234</v>
      </c>
    </row>
    <row r="253" spans="1:8" x14ac:dyDescent="0.3">
      <c r="A253">
        <v>252</v>
      </c>
      <c r="B253" s="3">
        <v>44730.639374999999</v>
      </c>
      <c r="C253" s="3">
        <v>44713</v>
      </c>
      <c r="D253" t="s">
        <v>19</v>
      </c>
      <c r="E253" t="s">
        <v>297</v>
      </c>
      <c r="F253" t="s">
        <v>21</v>
      </c>
      <c r="G253" t="s">
        <v>22</v>
      </c>
      <c r="H253" t="s">
        <v>27</v>
      </c>
    </row>
    <row r="254" spans="1:8" x14ac:dyDescent="0.3">
      <c r="A254">
        <v>253</v>
      </c>
      <c r="B254" s="3">
        <v>44732.645219907397</v>
      </c>
      <c r="C254" s="3">
        <v>44713</v>
      </c>
      <c r="D254" t="s">
        <v>19</v>
      </c>
      <c r="E254" t="s">
        <v>298</v>
      </c>
      <c r="F254" t="s">
        <v>21</v>
      </c>
      <c r="G254" t="s">
        <v>29</v>
      </c>
      <c r="H254" t="s">
        <v>27</v>
      </c>
    </row>
    <row r="255" spans="1:8" x14ac:dyDescent="0.3">
      <c r="A255">
        <v>254</v>
      </c>
      <c r="B255" s="3">
        <v>44733.619918981502</v>
      </c>
      <c r="C255" s="3">
        <v>44713</v>
      </c>
      <c r="D255" t="s">
        <v>19</v>
      </c>
      <c r="E255" t="s">
        <v>299</v>
      </c>
      <c r="F255" t="s">
        <v>21</v>
      </c>
      <c r="G255" t="s">
        <v>22</v>
      </c>
      <c r="H255" t="s">
        <v>27</v>
      </c>
    </row>
    <row r="256" spans="1:8" x14ac:dyDescent="0.3">
      <c r="A256">
        <v>255</v>
      </c>
      <c r="B256" s="3">
        <v>44735.6246875</v>
      </c>
      <c r="C256" s="3">
        <v>44713</v>
      </c>
      <c r="D256" t="s">
        <v>19</v>
      </c>
      <c r="E256" t="s">
        <v>300</v>
      </c>
      <c r="F256" t="s">
        <v>25</v>
      </c>
      <c r="G256" t="s">
        <v>26</v>
      </c>
      <c r="H256" t="s">
        <v>27</v>
      </c>
    </row>
    <row r="257" spans="1:8" x14ac:dyDescent="0.3">
      <c r="A257">
        <v>256</v>
      </c>
      <c r="B257" s="3">
        <v>44736.5405902778</v>
      </c>
      <c r="C257" s="3">
        <v>44713</v>
      </c>
      <c r="D257" t="s">
        <v>19</v>
      </c>
      <c r="E257" t="s">
        <v>301</v>
      </c>
      <c r="F257" t="s">
        <v>21</v>
      </c>
      <c r="G257" t="s">
        <v>29</v>
      </c>
      <c r="H257" t="s">
        <v>27</v>
      </c>
    </row>
    <row r="258" spans="1:8" x14ac:dyDescent="0.3">
      <c r="A258">
        <v>257</v>
      </c>
      <c r="B258" s="3">
        <v>44736.638923611099</v>
      </c>
      <c r="C258" s="3">
        <v>44713</v>
      </c>
      <c r="D258" t="s">
        <v>19</v>
      </c>
      <c r="E258" t="s">
        <v>302</v>
      </c>
      <c r="F258" t="s">
        <v>21</v>
      </c>
      <c r="G258" t="s">
        <v>29</v>
      </c>
      <c r="H258" t="s">
        <v>30</v>
      </c>
    </row>
    <row r="259" spans="1:8" x14ac:dyDescent="0.3">
      <c r="A259">
        <v>258</v>
      </c>
      <c r="B259" s="3">
        <v>44736.669270833299</v>
      </c>
      <c r="C259" s="3">
        <v>44713</v>
      </c>
      <c r="D259" t="s">
        <v>19</v>
      </c>
      <c r="E259" t="s">
        <v>303</v>
      </c>
      <c r="F259" t="s">
        <v>40</v>
      </c>
      <c r="G259" t="s">
        <v>75</v>
      </c>
      <c r="H259" t="s">
        <v>30</v>
      </c>
    </row>
    <row r="260" spans="1:8" x14ac:dyDescent="0.3">
      <c r="A260">
        <v>259</v>
      </c>
      <c r="B260" s="3">
        <v>44737.4298263889</v>
      </c>
      <c r="C260" s="3">
        <v>44713</v>
      </c>
      <c r="D260" t="s">
        <v>19</v>
      </c>
      <c r="E260" t="s">
        <v>304</v>
      </c>
      <c r="F260" t="s">
        <v>21</v>
      </c>
      <c r="G260" t="s">
        <v>22</v>
      </c>
      <c r="H260" t="s">
        <v>27</v>
      </c>
    </row>
    <row r="261" spans="1:8" x14ac:dyDescent="0.3">
      <c r="A261">
        <v>260</v>
      </c>
      <c r="B261" s="3">
        <v>44737.4847800926</v>
      </c>
      <c r="C261" s="3">
        <v>44713</v>
      </c>
      <c r="D261" t="s">
        <v>19</v>
      </c>
      <c r="E261" t="s">
        <v>305</v>
      </c>
      <c r="F261" t="s">
        <v>21</v>
      </c>
      <c r="G261" t="s">
        <v>33</v>
      </c>
      <c r="H261" t="s">
        <v>27</v>
      </c>
    </row>
    <row r="262" spans="1:8" x14ac:dyDescent="0.3">
      <c r="A262">
        <v>261</v>
      </c>
      <c r="B262" s="3">
        <v>44737.692349536999</v>
      </c>
      <c r="C262" s="3">
        <v>44713</v>
      </c>
      <c r="D262" t="s">
        <v>19</v>
      </c>
      <c r="E262" t="s">
        <v>306</v>
      </c>
      <c r="F262" t="s">
        <v>21</v>
      </c>
      <c r="G262" t="s">
        <v>22</v>
      </c>
      <c r="H262" t="s">
        <v>30</v>
      </c>
    </row>
    <row r="263" spans="1:8" x14ac:dyDescent="0.3">
      <c r="A263">
        <v>262</v>
      </c>
      <c r="B263" s="3">
        <v>44737.696736111102</v>
      </c>
      <c r="C263" s="3">
        <v>44713</v>
      </c>
      <c r="D263" t="s">
        <v>19</v>
      </c>
      <c r="E263" t="s">
        <v>307</v>
      </c>
      <c r="F263" t="s">
        <v>21</v>
      </c>
      <c r="G263" t="s">
        <v>33</v>
      </c>
      <c r="H263" t="s">
        <v>30</v>
      </c>
    </row>
    <row r="264" spans="1:8" x14ac:dyDescent="0.3">
      <c r="A264">
        <v>263</v>
      </c>
      <c r="B264" s="3">
        <v>44739.455451388902</v>
      </c>
      <c r="C264" s="3">
        <v>44713</v>
      </c>
      <c r="D264" t="s">
        <v>19</v>
      </c>
      <c r="E264" t="s">
        <v>308</v>
      </c>
      <c r="F264" t="s">
        <v>21</v>
      </c>
      <c r="G264" t="s">
        <v>22</v>
      </c>
      <c r="H264" t="s">
        <v>30</v>
      </c>
    </row>
    <row r="265" spans="1:8" x14ac:dyDescent="0.3">
      <c r="A265">
        <v>264</v>
      </c>
      <c r="B265" s="3">
        <v>44740.547361111101</v>
      </c>
      <c r="C265" s="3">
        <v>44713</v>
      </c>
      <c r="D265" t="s">
        <v>19</v>
      </c>
      <c r="E265" t="s">
        <v>309</v>
      </c>
      <c r="F265" t="s">
        <v>21</v>
      </c>
      <c r="G265" t="s">
        <v>33</v>
      </c>
      <c r="H265" t="s">
        <v>23</v>
      </c>
    </row>
    <row r="266" spans="1:8" x14ac:dyDescent="0.3">
      <c r="A266">
        <v>265</v>
      </c>
      <c r="B266" s="3">
        <v>44740.621655092596</v>
      </c>
      <c r="C266" s="3">
        <v>44713</v>
      </c>
      <c r="D266" t="s">
        <v>19</v>
      </c>
      <c r="E266" t="s">
        <v>310</v>
      </c>
      <c r="F266" t="s">
        <v>32</v>
      </c>
      <c r="G266" t="s">
        <v>33</v>
      </c>
      <c r="H266" t="s">
        <v>27</v>
      </c>
    </row>
    <row r="267" spans="1:8" x14ac:dyDescent="0.3">
      <c r="A267">
        <v>266</v>
      </c>
      <c r="B267" s="3">
        <v>44740.720243055599</v>
      </c>
      <c r="C267" s="3">
        <v>44713</v>
      </c>
      <c r="D267" t="s">
        <v>19</v>
      </c>
      <c r="E267" t="s">
        <v>311</v>
      </c>
      <c r="F267" t="s">
        <v>40</v>
      </c>
      <c r="G267" t="s">
        <v>75</v>
      </c>
      <c r="H267" t="s">
        <v>27</v>
      </c>
    </row>
    <row r="268" spans="1:8" x14ac:dyDescent="0.3">
      <c r="A268">
        <v>267</v>
      </c>
      <c r="B268" s="3">
        <v>44741.455682870401</v>
      </c>
      <c r="C268" s="3">
        <v>44713</v>
      </c>
      <c r="D268" t="s">
        <v>19</v>
      </c>
      <c r="E268" t="s">
        <v>312</v>
      </c>
      <c r="F268" t="s">
        <v>21</v>
      </c>
      <c r="G268" t="s">
        <v>33</v>
      </c>
      <c r="H268" t="s">
        <v>51</v>
      </c>
    </row>
    <row r="269" spans="1:8" x14ac:dyDescent="0.3">
      <c r="A269">
        <v>268</v>
      </c>
      <c r="B269" s="3">
        <v>44741.702800925901</v>
      </c>
      <c r="C269" s="3">
        <v>44713</v>
      </c>
      <c r="D269" t="s">
        <v>19</v>
      </c>
      <c r="E269" t="s">
        <v>313</v>
      </c>
      <c r="F269" t="s">
        <v>32</v>
      </c>
      <c r="G269" t="s">
        <v>33</v>
      </c>
      <c r="H269" t="s">
        <v>23</v>
      </c>
    </row>
    <row r="270" spans="1:8" x14ac:dyDescent="0.3">
      <c r="A270">
        <v>269</v>
      </c>
      <c r="B270" s="3">
        <v>44742.545405092598</v>
      </c>
      <c r="C270" s="3">
        <v>44713</v>
      </c>
      <c r="D270" t="s">
        <v>19</v>
      </c>
      <c r="E270" t="s">
        <v>314</v>
      </c>
      <c r="F270" t="s">
        <v>25</v>
      </c>
      <c r="G270" t="s">
        <v>26</v>
      </c>
      <c r="H270" t="s">
        <v>27</v>
      </c>
    </row>
    <row r="271" spans="1:8" x14ac:dyDescent="0.3">
      <c r="A271">
        <v>270</v>
      </c>
      <c r="B271" s="3">
        <v>44742.690740740698</v>
      </c>
      <c r="C271" s="3">
        <v>44713</v>
      </c>
      <c r="D271" t="s">
        <v>19</v>
      </c>
      <c r="E271" t="s">
        <v>315</v>
      </c>
      <c r="F271" t="s">
        <v>21</v>
      </c>
      <c r="G271" t="s">
        <v>22</v>
      </c>
      <c r="H271" t="s">
        <v>27</v>
      </c>
    </row>
    <row r="272" spans="1:8" x14ac:dyDescent="0.3">
      <c r="A272">
        <v>271</v>
      </c>
      <c r="B272" s="3">
        <v>44742.720150462999</v>
      </c>
      <c r="C272" s="3">
        <v>44713</v>
      </c>
      <c r="D272" t="s">
        <v>19</v>
      </c>
      <c r="E272" t="s">
        <v>316</v>
      </c>
      <c r="F272" t="s">
        <v>25</v>
      </c>
      <c r="G272" t="s">
        <v>317</v>
      </c>
      <c r="H272" t="s">
        <v>27</v>
      </c>
    </row>
    <row r="273" spans="1:8" x14ac:dyDescent="0.3">
      <c r="A273">
        <v>272</v>
      </c>
      <c r="B273" s="3">
        <v>44747.602939814802</v>
      </c>
      <c r="C273" s="3">
        <v>44743</v>
      </c>
      <c r="D273" t="s">
        <v>19</v>
      </c>
      <c r="E273" t="s">
        <v>318</v>
      </c>
      <c r="F273" t="s">
        <v>21</v>
      </c>
      <c r="G273" t="s">
        <v>22</v>
      </c>
      <c r="H273" t="s">
        <v>23</v>
      </c>
    </row>
    <row r="274" spans="1:8" x14ac:dyDescent="0.3">
      <c r="A274">
        <v>273</v>
      </c>
      <c r="B274" s="3">
        <v>44750.461759259299</v>
      </c>
      <c r="C274" s="3">
        <v>44743</v>
      </c>
      <c r="D274" t="s">
        <v>19</v>
      </c>
      <c r="E274" t="s">
        <v>319</v>
      </c>
      <c r="F274" t="s">
        <v>21</v>
      </c>
      <c r="G274" t="s">
        <v>22</v>
      </c>
      <c r="H274" t="s">
        <v>27</v>
      </c>
    </row>
    <row r="275" spans="1:8" x14ac:dyDescent="0.3">
      <c r="A275">
        <v>274</v>
      </c>
      <c r="B275" s="3">
        <v>44750.722037036998</v>
      </c>
      <c r="C275" s="3">
        <v>44743</v>
      </c>
      <c r="D275" t="s">
        <v>19</v>
      </c>
      <c r="E275" t="s">
        <v>320</v>
      </c>
      <c r="F275" t="s">
        <v>21</v>
      </c>
      <c r="G275" t="s">
        <v>22</v>
      </c>
      <c r="H275" t="s">
        <v>27</v>
      </c>
    </row>
    <row r="276" spans="1:8" x14ac:dyDescent="0.3">
      <c r="A276">
        <v>275</v>
      </c>
      <c r="B276" s="3">
        <v>44754.520243055602</v>
      </c>
      <c r="C276" s="3">
        <v>44743</v>
      </c>
      <c r="D276" t="s">
        <v>19</v>
      </c>
      <c r="E276" t="s">
        <v>321</v>
      </c>
      <c r="F276" t="s">
        <v>32</v>
      </c>
      <c r="G276" t="s">
        <v>33</v>
      </c>
      <c r="H276" t="s">
        <v>30</v>
      </c>
    </row>
    <row r="277" spans="1:8" x14ac:dyDescent="0.3">
      <c r="A277">
        <v>276</v>
      </c>
      <c r="B277" s="3">
        <v>44754.624201388899</v>
      </c>
      <c r="C277" s="3">
        <v>44743</v>
      </c>
      <c r="D277" t="s">
        <v>19</v>
      </c>
      <c r="E277" t="s">
        <v>322</v>
      </c>
      <c r="F277" t="s">
        <v>21</v>
      </c>
      <c r="G277" t="s">
        <v>29</v>
      </c>
      <c r="H277" t="s">
        <v>30</v>
      </c>
    </row>
    <row r="278" spans="1:8" x14ac:dyDescent="0.3">
      <c r="A278">
        <v>277</v>
      </c>
      <c r="B278" s="3">
        <v>44756.635462963</v>
      </c>
      <c r="C278" s="3">
        <v>44743</v>
      </c>
      <c r="D278" t="s">
        <v>19</v>
      </c>
      <c r="E278" t="s">
        <v>323</v>
      </c>
      <c r="F278" t="s">
        <v>25</v>
      </c>
      <c r="G278" t="s">
        <v>29</v>
      </c>
      <c r="H278" t="s">
        <v>30</v>
      </c>
    </row>
    <row r="279" spans="1:8" x14ac:dyDescent="0.3">
      <c r="A279">
        <v>278</v>
      </c>
      <c r="B279" s="3">
        <v>44760.509305555599</v>
      </c>
      <c r="C279" s="3">
        <v>44743</v>
      </c>
      <c r="D279" t="s">
        <v>19</v>
      </c>
      <c r="E279" t="s">
        <v>324</v>
      </c>
      <c r="F279" t="s">
        <v>32</v>
      </c>
      <c r="G279" t="s">
        <v>33</v>
      </c>
      <c r="H279" t="s">
        <v>30</v>
      </c>
    </row>
    <row r="280" spans="1:8" x14ac:dyDescent="0.3">
      <c r="A280">
        <v>279</v>
      </c>
      <c r="B280" s="3">
        <v>44760.517465277801</v>
      </c>
      <c r="C280" s="3">
        <v>44743</v>
      </c>
      <c r="D280" t="s">
        <v>19</v>
      </c>
      <c r="E280" t="s">
        <v>325</v>
      </c>
      <c r="F280" t="s">
        <v>40</v>
      </c>
      <c r="G280" t="s">
        <v>41</v>
      </c>
      <c r="H280" t="s">
        <v>51</v>
      </c>
    </row>
    <row r="281" spans="1:8" x14ac:dyDescent="0.3">
      <c r="A281">
        <v>280</v>
      </c>
      <c r="B281" s="3">
        <v>44760.691006944398</v>
      </c>
      <c r="C281" s="3">
        <v>44743</v>
      </c>
      <c r="D281" t="s">
        <v>19</v>
      </c>
      <c r="E281" t="s">
        <v>326</v>
      </c>
      <c r="F281" t="s">
        <v>21</v>
      </c>
      <c r="G281" t="s">
        <v>22</v>
      </c>
      <c r="H281" t="s">
        <v>30</v>
      </c>
    </row>
    <row r="282" spans="1:8" x14ac:dyDescent="0.3">
      <c r="A282">
        <v>281</v>
      </c>
      <c r="B282" s="3">
        <v>44760.700312499997</v>
      </c>
      <c r="C282" s="3">
        <v>44743</v>
      </c>
      <c r="D282" t="s">
        <v>19</v>
      </c>
      <c r="E282" t="s">
        <v>327</v>
      </c>
      <c r="F282" t="s">
        <v>21</v>
      </c>
      <c r="G282" t="s">
        <v>29</v>
      </c>
      <c r="H282" t="s">
        <v>30</v>
      </c>
    </row>
    <row r="283" spans="1:8" x14ac:dyDescent="0.3">
      <c r="A283">
        <v>282</v>
      </c>
      <c r="B283" s="3">
        <v>44761.595902777801</v>
      </c>
      <c r="C283" s="3">
        <v>44743</v>
      </c>
      <c r="D283" t="s">
        <v>19</v>
      </c>
      <c r="E283" t="s">
        <v>328</v>
      </c>
      <c r="F283" t="s">
        <v>25</v>
      </c>
      <c r="G283" t="s">
        <v>69</v>
      </c>
      <c r="H283" t="s">
        <v>23</v>
      </c>
    </row>
    <row r="284" spans="1:8" x14ac:dyDescent="0.3">
      <c r="A284">
        <v>283</v>
      </c>
      <c r="B284" s="3">
        <v>44762.449432870402</v>
      </c>
      <c r="C284" s="3">
        <v>44743</v>
      </c>
      <c r="D284" t="s">
        <v>19</v>
      </c>
      <c r="E284" t="s">
        <v>329</v>
      </c>
      <c r="F284" t="s">
        <v>32</v>
      </c>
      <c r="G284" t="s">
        <v>33</v>
      </c>
      <c r="H284" t="s">
        <v>30</v>
      </c>
    </row>
    <row r="285" spans="1:8" x14ac:dyDescent="0.3">
      <c r="A285">
        <v>284</v>
      </c>
      <c r="B285" s="3">
        <v>44762.714525463001</v>
      </c>
      <c r="C285" s="3">
        <v>44743</v>
      </c>
      <c r="D285" t="s">
        <v>19</v>
      </c>
      <c r="E285" t="s">
        <v>330</v>
      </c>
      <c r="F285" t="s">
        <v>25</v>
      </c>
      <c r="G285" t="s">
        <v>26</v>
      </c>
      <c r="H285" t="s">
        <v>30</v>
      </c>
    </row>
    <row r="286" spans="1:8" x14ac:dyDescent="0.3">
      <c r="A286">
        <v>285</v>
      </c>
      <c r="B286" s="3">
        <v>44762.715972222199</v>
      </c>
      <c r="C286" s="3">
        <v>44743</v>
      </c>
      <c r="D286" t="s">
        <v>19</v>
      </c>
      <c r="E286" t="s">
        <v>331</v>
      </c>
      <c r="F286" t="s">
        <v>21</v>
      </c>
      <c r="G286" t="s">
        <v>29</v>
      </c>
      <c r="H286" t="s">
        <v>236</v>
      </c>
    </row>
    <row r="287" spans="1:8" x14ac:dyDescent="0.3">
      <c r="A287">
        <v>286</v>
      </c>
      <c r="B287" s="3">
        <v>44763.448425925897</v>
      </c>
      <c r="C287" s="3">
        <v>44743</v>
      </c>
      <c r="D287" t="s">
        <v>19</v>
      </c>
      <c r="E287" t="s">
        <v>332</v>
      </c>
      <c r="F287" t="s">
        <v>21</v>
      </c>
      <c r="G287" t="s">
        <v>29</v>
      </c>
      <c r="H287" t="s">
        <v>234</v>
      </c>
    </row>
    <row r="288" spans="1:8" x14ac:dyDescent="0.3">
      <c r="A288">
        <v>287</v>
      </c>
      <c r="B288" s="3">
        <v>44763.555567129602</v>
      </c>
      <c r="C288" s="3">
        <v>44743</v>
      </c>
      <c r="D288" t="s">
        <v>19</v>
      </c>
      <c r="E288" t="s">
        <v>333</v>
      </c>
      <c r="F288" t="s">
        <v>32</v>
      </c>
      <c r="G288" t="s">
        <v>33</v>
      </c>
      <c r="H288" t="s">
        <v>27</v>
      </c>
    </row>
    <row r="289" spans="1:8" x14ac:dyDescent="0.3">
      <c r="A289">
        <v>288</v>
      </c>
      <c r="B289" s="3">
        <v>44763.698379629597</v>
      </c>
      <c r="C289" s="3">
        <v>44743</v>
      </c>
      <c r="D289" t="s">
        <v>19</v>
      </c>
      <c r="E289" t="s">
        <v>334</v>
      </c>
      <c r="F289" t="s">
        <v>21</v>
      </c>
      <c r="G289" t="s">
        <v>29</v>
      </c>
      <c r="H289" t="s">
        <v>23</v>
      </c>
    </row>
    <row r="290" spans="1:8" x14ac:dyDescent="0.3">
      <c r="A290">
        <v>289</v>
      </c>
      <c r="B290" s="3">
        <v>44764.538414351897</v>
      </c>
      <c r="C290" s="3">
        <v>44743</v>
      </c>
      <c r="D290" t="s">
        <v>19</v>
      </c>
      <c r="E290" t="s">
        <v>335</v>
      </c>
      <c r="F290" t="s">
        <v>32</v>
      </c>
      <c r="G290" t="s">
        <v>33</v>
      </c>
      <c r="H290" t="s">
        <v>27</v>
      </c>
    </row>
    <row r="291" spans="1:8" x14ac:dyDescent="0.3">
      <c r="A291">
        <v>290</v>
      </c>
      <c r="B291" s="3">
        <v>44764.7426851852</v>
      </c>
      <c r="C291" s="3">
        <v>44743</v>
      </c>
      <c r="D291" t="s">
        <v>19</v>
      </c>
      <c r="E291" t="s">
        <v>336</v>
      </c>
      <c r="F291" t="s">
        <v>32</v>
      </c>
      <c r="G291" t="s">
        <v>33</v>
      </c>
      <c r="H291" t="s">
        <v>30</v>
      </c>
    </row>
    <row r="292" spans="1:8" x14ac:dyDescent="0.3">
      <c r="A292">
        <v>291</v>
      </c>
      <c r="B292" s="3">
        <v>44767.736365740697</v>
      </c>
      <c r="C292" s="3">
        <v>44743</v>
      </c>
      <c r="D292" t="s">
        <v>19</v>
      </c>
      <c r="E292" t="s">
        <v>337</v>
      </c>
      <c r="F292" t="s">
        <v>21</v>
      </c>
      <c r="G292" t="s">
        <v>29</v>
      </c>
      <c r="H292" t="s">
        <v>30</v>
      </c>
    </row>
    <row r="293" spans="1:8" x14ac:dyDescent="0.3">
      <c r="A293">
        <v>292</v>
      </c>
      <c r="B293" s="3">
        <v>44768.510879629597</v>
      </c>
      <c r="C293" s="3">
        <v>44743</v>
      </c>
      <c r="D293" t="s">
        <v>19</v>
      </c>
      <c r="E293" t="s">
        <v>338</v>
      </c>
      <c r="F293" t="s">
        <v>21</v>
      </c>
      <c r="G293" t="s">
        <v>22</v>
      </c>
      <c r="H293" t="s">
        <v>27</v>
      </c>
    </row>
    <row r="294" spans="1:8" x14ac:dyDescent="0.3">
      <c r="A294">
        <v>293</v>
      </c>
      <c r="B294" s="3">
        <v>44768.725636574098</v>
      </c>
      <c r="C294" s="3">
        <v>44743</v>
      </c>
      <c r="D294" t="s">
        <v>19</v>
      </c>
      <c r="E294" t="s">
        <v>339</v>
      </c>
      <c r="F294" t="s">
        <v>40</v>
      </c>
      <c r="G294" t="s">
        <v>33</v>
      </c>
      <c r="H294" t="s">
        <v>30</v>
      </c>
    </row>
    <row r="295" spans="1:8" x14ac:dyDescent="0.3">
      <c r="A295">
        <v>294</v>
      </c>
      <c r="B295" s="3">
        <v>44769.516666666699</v>
      </c>
      <c r="C295" s="3">
        <v>44743</v>
      </c>
      <c r="D295" t="s">
        <v>19</v>
      </c>
      <c r="E295" t="s">
        <v>340</v>
      </c>
      <c r="F295" t="s">
        <v>21</v>
      </c>
      <c r="G295" t="s">
        <v>22</v>
      </c>
      <c r="H295" t="s">
        <v>30</v>
      </c>
    </row>
    <row r="296" spans="1:8" x14ac:dyDescent="0.3">
      <c r="A296">
        <v>295</v>
      </c>
      <c r="B296" s="3">
        <v>44770.582870370403</v>
      </c>
      <c r="C296" s="3">
        <v>44743</v>
      </c>
      <c r="D296" t="s">
        <v>19</v>
      </c>
      <c r="E296" t="s">
        <v>341</v>
      </c>
      <c r="F296" t="s">
        <v>21</v>
      </c>
      <c r="G296" t="s">
        <v>29</v>
      </c>
      <c r="H296" t="s">
        <v>27</v>
      </c>
    </row>
    <row r="297" spans="1:8" x14ac:dyDescent="0.3">
      <c r="A297">
        <v>296</v>
      </c>
      <c r="B297" s="3">
        <v>44771.416875000003</v>
      </c>
      <c r="C297" s="3">
        <v>44743</v>
      </c>
      <c r="D297" t="s">
        <v>19</v>
      </c>
      <c r="E297" t="s">
        <v>342</v>
      </c>
      <c r="F297" t="s">
        <v>21</v>
      </c>
      <c r="G297" t="s">
        <v>29</v>
      </c>
      <c r="H297" t="s">
        <v>23</v>
      </c>
    </row>
    <row r="298" spans="1:8" x14ac:dyDescent="0.3">
      <c r="A298">
        <v>297</v>
      </c>
      <c r="B298" s="3">
        <v>44771.740960648203</v>
      </c>
      <c r="C298" s="3">
        <v>44743</v>
      </c>
      <c r="D298" t="s">
        <v>19</v>
      </c>
      <c r="E298" t="s">
        <v>343</v>
      </c>
      <c r="F298" t="s">
        <v>32</v>
      </c>
      <c r="G298" t="s">
        <v>33</v>
      </c>
      <c r="H298" t="s">
        <v>27</v>
      </c>
    </row>
    <row r="299" spans="1:8" x14ac:dyDescent="0.3">
      <c r="A299">
        <v>298</v>
      </c>
      <c r="B299" s="3">
        <v>44772.738553240699</v>
      </c>
      <c r="C299" s="3">
        <v>44743</v>
      </c>
      <c r="D299" t="s">
        <v>19</v>
      </c>
      <c r="E299" t="s">
        <v>344</v>
      </c>
      <c r="F299" t="s">
        <v>25</v>
      </c>
      <c r="G299" t="s">
        <v>345</v>
      </c>
      <c r="H299" t="s">
        <v>27</v>
      </c>
    </row>
    <row r="300" spans="1:8" x14ac:dyDescent="0.3">
      <c r="A300">
        <v>299</v>
      </c>
      <c r="B300" s="3">
        <v>44772.744872685202</v>
      </c>
      <c r="C300" s="3">
        <v>44743</v>
      </c>
      <c r="D300" t="s">
        <v>19</v>
      </c>
      <c r="E300" t="s">
        <v>346</v>
      </c>
      <c r="F300" t="s">
        <v>32</v>
      </c>
      <c r="G300" t="s">
        <v>33</v>
      </c>
      <c r="H300" t="s">
        <v>30</v>
      </c>
    </row>
    <row r="301" spans="1:8" x14ac:dyDescent="0.3">
      <c r="A301">
        <v>300</v>
      </c>
      <c r="B301" s="3">
        <v>44772.760208333297</v>
      </c>
      <c r="C301" s="3">
        <v>44743</v>
      </c>
      <c r="D301" t="s">
        <v>19</v>
      </c>
      <c r="E301" t="s">
        <v>347</v>
      </c>
      <c r="F301" t="s">
        <v>25</v>
      </c>
      <c r="G301" t="s">
        <v>345</v>
      </c>
      <c r="H301" t="s">
        <v>30</v>
      </c>
    </row>
    <row r="302" spans="1:8" x14ac:dyDescent="0.3">
      <c r="A302">
        <v>301</v>
      </c>
      <c r="B302" s="3">
        <v>44773.493784722203</v>
      </c>
      <c r="C302" s="3">
        <v>44743</v>
      </c>
      <c r="D302" t="s">
        <v>19</v>
      </c>
      <c r="E302" t="s">
        <v>348</v>
      </c>
      <c r="F302" t="s">
        <v>21</v>
      </c>
      <c r="G302" t="s">
        <v>22</v>
      </c>
      <c r="H302" t="s">
        <v>30</v>
      </c>
    </row>
    <row r="303" spans="1:8" x14ac:dyDescent="0.3">
      <c r="A303">
        <v>302</v>
      </c>
      <c r="B303" s="3">
        <v>44773.5018865741</v>
      </c>
      <c r="C303" s="3">
        <v>44743</v>
      </c>
      <c r="D303" t="s">
        <v>19</v>
      </c>
      <c r="E303" t="s">
        <v>349</v>
      </c>
      <c r="F303" t="s">
        <v>21</v>
      </c>
      <c r="G303" t="s">
        <v>33</v>
      </c>
      <c r="H303" t="s">
        <v>27</v>
      </c>
    </row>
    <row r="304" spans="1:8" x14ac:dyDescent="0.3">
      <c r="A304">
        <v>303</v>
      </c>
      <c r="B304" s="3">
        <v>44773.519421296303</v>
      </c>
      <c r="C304" s="3">
        <v>44743</v>
      </c>
      <c r="D304" t="s">
        <v>19</v>
      </c>
      <c r="E304" t="s">
        <v>350</v>
      </c>
      <c r="F304" t="s">
        <v>25</v>
      </c>
      <c r="G304" t="s">
        <v>345</v>
      </c>
      <c r="H304" t="s">
        <v>30</v>
      </c>
    </row>
    <row r="305" spans="1:8" x14ac:dyDescent="0.3">
      <c r="A305">
        <v>304</v>
      </c>
      <c r="B305" s="3">
        <v>44773.596655092602</v>
      </c>
      <c r="C305" s="3">
        <v>44743</v>
      </c>
      <c r="D305" t="s">
        <v>19</v>
      </c>
      <c r="E305" t="s">
        <v>351</v>
      </c>
      <c r="F305" t="s">
        <v>25</v>
      </c>
      <c r="G305" t="s">
        <v>345</v>
      </c>
      <c r="H305" t="s">
        <v>23</v>
      </c>
    </row>
    <row r="306" spans="1:8" x14ac:dyDescent="0.3">
      <c r="A306">
        <v>305</v>
      </c>
      <c r="B306" s="3">
        <v>44773.6875</v>
      </c>
      <c r="C306" s="3">
        <v>44743</v>
      </c>
      <c r="D306" t="s">
        <v>19</v>
      </c>
      <c r="E306" t="s">
        <v>352</v>
      </c>
      <c r="F306" t="s">
        <v>25</v>
      </c>
      <c r="G306" t="s">
        <v>26</v>
      </c>
      <c r="H306" t="s">
        <v>66</v>
      </c>
    </row>
    <row r="307" spans="1:8" x14ac:dyDescent="0.3">
      <c r="A307">
        <v>306</v>
      </c>
      <c r="B307" s="3">
        <v>44773.732881944401</v>
      </c>
      <c r="C307" s="3">
        <v>44743</v>
      </c>
      <c r="D307" t="s">
        <v>19</v>
      </c>
      <c r="E307" t="s">
        <v>353</v>
      </c>
      <c r="F307" t="s">
        <v>25</v>
      </c>
      <c r="G307" t="s">
        <v>26</v>
      </c>
      <c r="H307" t="s">
        <v>27</v>
      </c>
    </row>
    <row r="308" spans="1:8" x14ac:dyDescent="0.3">
      <c r="A308">
        <v>307</v>
      </c>
      <c r="B308" s="3">
        <v>44776.731145833299</v>
      </c>
      <c r="C308" s="3">
        <v>44774</v>
      </c>
      <c r="D308" t="s">
        <v>19</v>
      </c>
      <c r="E308" t="s">
        <v>354</v>
      </c>
      <c r="F308" t="s">
        <v>21</v>
      </c>
      <c r="G308" t="s">
        <v>22</v>
      </c>
      <c r="H308" t="s">
        <v>27</v>
      </c>
    </row>
    <row r="309" spans="1:8" x14ac:dyDescent="0.3">
      <c r="A309">
        <v>308</v>
      </c>
      <c r="B309" s="3">
        <v>44779.5868402778</v>
      </c>
      <c r="C309" s="3">
        <v>44774</v>
      </c>
      <c r="D309" t="s">
        <v>19</v>
      </c>
      <c r="E309" t="s">
        <v>355</v>
      </c>
      <c r="F309" t="s">
        <v>25</v>
      </c>
      <c r="G309" t="s">
        <v>26</v>
      </c>
      <c r="H309" t="s">
        <v>27</v>
      </c>
    </row>
    <row r="310" spans="1:8" x14ac:dyDescent="0.3">
      <c r="A310">
        <v>309</v>
      </c>
      <c r="B310" s="3">
        <v>44779.637303240699</v>
      </c>
      <c r="C310" s="3">
        <v>44774</v>
      </c>
      <c r="D310" t="s">
        <v>19</v>
      </c>
      <c r="E310" t="s">
        <v>356</v>
      </c>
      <c r="F310" t="s">
        <v>21</v>
      </c>
      <c r="G310" t="s">
        <v>29</v>
      </c>
      <c r="H310" t="s">
        <v>30</v>
      </c>
    </row>
    <row r="311" spans="1:8" x14ac:dyDescent="0.3">
      <c r="A311">
        <v>310</v>
      </c>
      <c r="B311" s="3">
        <v>44779.645231481503</v>
      </c>
      <c r="C311" s="3">
        <v>44774</v>
      </c>
      <c r="D311" t="s">
        <v>19</v>
      </c>
      <c r="E311" t="s">
        <v>357</v>
      </c>
      <c r="F311" t="s">
        <v>21</v>
      </c>
      <c r="G311" t="s">
        <v>29</v>
      </c>
      <c r="H311" t="s">
        <v>51</v>
      </c>
    </row>
    <row r="312" spans="1:8" x14ac:dyDescent="0.3">
      <c r="A312">
        <v>311</v>
      </c>
      <c r="B312" s="3">
        <v>44779.699733796297</v>
      </c>
      <c r="C312" s="3">
        <v>44774</v>
      </c>
      <c r="D312" t="s">
        <v>19</v>
      </c>
      <c r="E312" t="s">
        <v>358</v>
      </c>
      <c r="F312" t="s">
        <v>21</v>
      </c>
      <c r="G312" t="s">
        <v>29</v>
      </c>
      <c r="H312" t="s">
        <v>23</v>
      </c>
    </row>
    <row r="313" spans="1:8" x14ac:dyDescent="0.3">
      <c r="A313">
        <v>312</v>
      </c>
      <c r="B313" s="3">
        <v>44779.720671296302</v>
      </c>
      <c r="C313" s="3">
        <v>44774</v>
      </c>
      <c r="D313" t="s">
        <v>19</v>
      </c>
      <c r="E313" t="s">
        <v>359</v>
      </c>
      <c r="F313" t="s">
        <v>40</v>
      </c>
      <c r="G313" t="s">
        <v>48</v>
      </c>
      <c r="H313" t="s">
        <v>236</v>
      </c>
    </row>
    <row r="314" spans="1:8" x14ac:dyDescent="0.3">
      <c r="A314">
        <v>313</v>
      </c>
      <c r="B314" s="3">
        <v>44782.514085648101</v>
      </c>
      <c r="C314" s="3">
        <v>44774</v>
      </c>
      <c r="D314" t="s">
        <v>19</v>
      </c>
      <c r="E314" t="s">
        <v>360</v>
      </c>
      <c r="F314" t="s">
        <v>32</v>
      </c>
      <c r="G314" t="s">
        <v>33</v>
      </c>
      <c r="H314" t="s">
        <v>27</v>
      </c>
    </row>
    <row r="315" spans="1:8" x14ac:dyDescent="0.3">
      <c r="A315">
        <v>314</v>
      </c>
      <c r="B315" s="3">
        <v>44784.558252314797</v>
      </c>
      <c r="C315" s="3">
        <v>44774</v>
      </c>
      <c r="D315" t="s">
        <v>19</v>
      </c>
      <c r="E315" t="s">
        <v>361</v>
      </c>
      <c r="F315" t="s">
        <v>21</v>
      </c>
      <c r="G315" t="s">
        <v>29</v>
      </c>
      <c r="H315" t="s">
        <v>30</v>
      </c>
    </row>
    <row r="316" spans="1:8" x14ac:dyDescent="0.3">
      <c r="A316">
        <v>315</v>
      </c>
      <c r="B316" s="3">
        <v>44784.567546296297</v>
      </c>
      <c r="C316" s="3">
        <v>44774</v>
      </c>
      <c r="D316" t="s">
        <v>19</v>
      </c>
      <c r="E316" t="s">
        <v>362</v>
      </c>
      <c r="F316" t="s">
        <v>21</v>
      </c>
      <c r="G316" t="s">
        <v>29</v>
      </c>
      <c r="H316" t="s">
        <v>27</v>
      </c>
    </row>
    <row r="317" spans="1:8" x14ac:dyDescent="0.3">
      <c r="A317">
        <v>316</v>
      </c>
      <c r="B317" s="3">
        <v>44784.6878125</v>
      </c>
      <c r="C317" s="3">
        <v>44774</v>
      </c>
      <c r="D317" t="s">
        <v>19</v>
      </c>
      <c r="E317" t="s">
        <v>363</v>
      </c>
      <c r="F317" t="s">
        <v>21</v>
      </c>
      <c r="G317" t="s">
        <v>22</v>
      </c>
      <c r="H317" t="s">
        <v>30</v>
      </c>
    </row>
    <row r="318" spans="1:8" x14ac:dyDescent="0.3">
      <c r="A318">
        <v>317</v>
      </c>
      <c r="B318" s="3">
        <v>44785.758090277799</v>
      </c>
      <c r="C318" s="3">
        <v>44774</v>
      </c>
      <c r="D318" t="s">
        <v>19</v>
      </c>
      <c r="E318" t="s">
        <v>364</v>
      </c>
      <c r="F318" t="s">
        <v>40</v>
      </c>
      <c r="G318" t="s">
        <v>75</v>
      </c>
      <c r="H318" t="s">
        <v>27</v>
      </c>
    </row>
    <row r="319" spans="1:8" x14ac:dyDescent="0.3">
      <c r="A319">
        <v>318</v>
      </c>
      <c r="B319" s="3">
        <v>44790.496111111097</v>
      </c>
      <c r="C319" s="3">
        <v>44774</v>
      </c>
      <c r="D319" t="s">
        <v>19</v>
      </c>
      <c r="E319" t="s">
        <v>365</v>
      </c>
      <c r="F319" t="s">
        <v>25</v>
      </c>
      <c r="G319" t="s">
        <v>26</v>
      </c>
      <c r="H319" t="s">
        <v>30</v>
      </c>
    </row>
    <row r="320" spans="1:8" x14ac:dyDescent="0.3">
      <c r="A320">
        <v>319</v>
      </c>
      <c r="B320" s="3">
        <v>44790.689317129603</v>
      </c>
      <c r="C320" s="3">
        <v>44774</v>
      </c>
      <c r="D320" t="s">
        <v>19</v>
      </c>
      <c r="E320" t="s">
        <v>366</v>
      </c>
      <c r="F320" t="s">
        <v>25</v>
      </c>
      <c r="G320" t="s">
        <v>29</v>
      </c>
      <c r="H320" t="s">
        <v>234</v>
      </c>
    </row>
    <row r="321" spans="1:8" x14ac:dyDescent="0.3">
      <c r="A321">
        <v>320</v>
      </c>
      <c r="B321" s="3">
        <v>44790.7056018519</v>
      </c>
      <c r="C321" s="3">
        <v>44774</v>
      </c>
      <c r="D321" t="s">
        <v>19</v>
      </c>
      <c r="E321" t="s">
        <v>367</v>
      </c>
      <c r="F321" t="s">
        <v>32</v>
      </c>
      <c r="G321" t="s">
        <v>33</v>
      </c>
      <c r="H321" t="s">
        <v>30</v>
      </c>
    </row>
    <row r="322" spans="1:8" x14ac:dyDescent="0.3">
      <c r="A322">
        <v>321</v>
      </c>
      <c r="B322" s="3">
        <v>44791.716388888897</v>
      </c>
      <c r="C322" s="3">
        <v>44774</v>
      </c>
      <c r="D322" t="s">
        <v>19</v>
      </c>
      <c r="E322" t="s">
        <v>368</v>
      </c>
      <c r="F322" t="s">
        <v>21</v>
      </c>
      <c r="G322" t="s">
        <v>33</v>
      </c>
      <c r="H322" t="s">
        <v>30</v>
      </c>
    </row>
    <row r="323" spans="1:8" x14ac:dyDescent="0.3">
      <c r="A323">
        <v>322</v>
      </c>
      <c r="B323" s="3">
        <v>44792.7271064815</v>
      </c>
      <c r="C323" s="3">
        <v>44774</v>
      </c>
      <c r="D323" t="s">
        <v>19</v>
      </c>
      <c r="E323" t="s">
        <v>369</v>
      </c>
      <c r="F323" t="s">
        <v>21</v>
      </c>
      <c r="G323" t="s">
        <v>29</v>
      </c>
      <c r="H323" t="s">
        <v>86</v>
      </c>
    </row>
    <row r="324" spans="1:8" x14ac:dyDescent="0.3">
      <c r="A324">
        <v>323</v>
      </c>
      <c r="B324" s="3">
        <v>44792.733634259297</v>
      </c>
      <c r="C324" s="3">
        <v>44774</v>
      </c>
      <c r="D324" t="s">
        <v>19</v>
      </c>
      <c r="E324" t="s">
        <v>370</v>
      </c>
      <c r="F324" t="s">
        <v>40</v>
      </c>
      <c r="G324" t="s">
        <v>58</v>
      </c>
      <c r="H324" t="s">
        <v>27</v>
      </c>
    </row>
    <row r="325" spans="1:8" x14ac:dyDescent="0.3">
      <c r="A325">
        <v>324</v>
      </c>
      <c r="B325" s="3">
        <v>44792.737152777801</v>
      </c>
      <c r="C325" s="3">
        <v>44774</v>
      </c>
      <c r="D325" t="s">
        <v>19</v>
      </c>
      <c r="E325" t="s">
        <v>371</v>
      </c>
      <c r="F325" t="s">
        <v>25</v>
      </c>
      <c r="G325" t="s">
        <v>26</v>
      </c>
      <c r="H325" t="s">
        <v>27</v>
      </c>
    </row>
    <row r="326" spans="1:8" x14ac:dyDescent="0.3">
      <c r="A326">
        <v>325</v>
      </c>
      <c r="B326" s="3">
        <v>44793.696145833303</v>
      </c>
      <c r="C326" s="3">
        <v>44774</v>
      </c>
      <c r="D326" t="s">
        <v>19</v>
      </c>
      <c r="E326" t="s">
        <v>372</v>
      </c>
      <c r="F326" t="s">
        <v>25</v>
      </c>
      <c r="G326" t="s">
        <v>345</v>
      </c>
      <c r="H326" t="s">
        <v>66</v>
      </c>
    </row>
    <row r="327" spans="1:8" x14ac:dyDescent="0.3">
      <c r="A327">
        <v>326</v>
      </c>
      <c r="B327" s="3">
        <v>44793.716145833299</v>
      </c>
      <c r="C327" s="3">
        <v>44774</v>
      </c>
      <c r="D327" t="s">
        <v>19</v>
      </c>
      <c r="E327" t="s">
        <v>373</v>
      </c>
      <c r="F327" t="s">
        <v>21</v>
      </c>
      <c r="G327" t="s">
        <v>22</v>
      </c>
      <c r="H327" t="s">
        <v>27</v>
      </c>
    </row>
    <row r="328" spans="1:8" x14ac:dyDescent="0.3">
      <c r="A328">
        <v>327</v>
      </c>
      <c r="B328" s="3">
        <v>44793.722905092603</v>
      </c>
      <c r="C328" s="3">
        <v>44774</v>
      </c>
      <c r="D328" t="s">
        <v>19</v>
      </c>
      <c r="E328" t="s">
        <v>374</v>
      </c>
      <c r="F328" t="s">
        <v>25</v>
      </c>
      <c r="G328" t="s">
        <v>26</v>
      </c>
      <c r="H328" t="s">
        <v>27</v>
      </c>
    </row>
    <row r="329" spans="1:8" x14ac:dyDescent="0.3">
      <c r="A329">
        <v>328</v>
      </c>
      <c r="B329" s="3">
        <v>44795.735023148198</v>
      </c>
      <c r="C329" s="3">
        <v>44774</v>
      </c>
      <c r="D329" t="s">
        <v>19</v>
      </c>
      <c r="E329" t="s">
        <v>375</v>
      </c>
      <c r="F329" t="s">
        <v>21</v>
      </c>
      <c r="G329" t="s">
        <v>29</v>
      </c>
      <c r="H329" t="s">
        <v>51</v>
      </c>
    </row>
    <row r="330" spans="1:8" x14ac:dyDescent="0.3">
      <c r="A330">
        <v>329</v>
      </c>
      <c r="B330" s="3">
        <v>44796.528564814798</v>
      </c>
      <c r="C330" s="3">
        <v>44774</v>
      </c>
      <c r="D330" t="s">
        <v>19</v>
      </c>
      <c r="E330" t="s">
        <v>376</v>
      </c>
      <c r="F330" t="s">
        <v>25</v>
      </c>
      <c r="G330" t="s">
        <v>345</v>
      </c>
      <c r="H330" t="s">
        <v>51</v>
      </c>
    </row>
    <row r="331" spans="1:8" x14ac:dyDescent="0.3">
      <c r="A331">
        <v>330</v>
      </c>
      <c r="B331" s="3">
        <v>44796.621585648201</v>
      </c>
      <c r="C331" s="3">
        <v>44774</v>
      </c>
      <c r="D331" t="s">
        <v>19</v>
      </c>
      <c r="E331" t="s">
        <v>377</v>
      </c>
      <c r="F331" t="s">
        <v>25</v>
      </c>
      <c r="G331" t="s">
        <v>345</v>
      </c>
      <c r="H331" t="s">
        <v>30</v>
      </c>
    </row>
    <row r="332" spans="1:8" x14ac:dyDescent="0.3">
      <c r="A332">
        <v>331</v>
      </c>
      <c r="B332" s="3">
        <v>44796.730162036998</v>
      </c>
      <c r="C332" s="3">
        <v>44774</v>
      </c>
      <c r="D332" t="s">
        <v>19</v>
      </c>
      <c r="E332" t="s">
        <v>378</v>
      </c>
      <c r="F332" t="s">
        <v>25</v>
      </c>
      <c r="G332" t="s">
        <v>345</v>
      </c>
      <c r="H332" t="s">
        <v>51</v>
      </c>
    </row>
    <row r="333" spans="1:8" x14ac:dyDescent="0.3">
      <c r="A333">
        <v>332</v>
      </c>
      <c r="B333" s="3">
        <v>44796.754502314798</v>
      </c>
      <c r="C333" s="3">
        <v>44774</v>
      </c>
      <c r="D333" t="s">
        <v>19</v>
      </c>
      <c r="E333" t="s">
        <v>379</v>
      </c>
      <c r="F333" t="s">
        <v>25</v>
      </c>
      <c r="G333" t="s">
        <v>26</v>
      </c>
      <c r="H333" t="s">
        <v>51</v>
      </c>
    </row>
    <row r="334" spans="1:8" x14ac:dyDescent="0.3">
      <c r="A334">
        <v>333</v>
      </c>
      <c r="B334" s="3">
        <v>44797.514259259297</v>
      </c>
      <c r="C334" s="3">
        <v>44774</v>
      </c>
      <c r="D334" t="s">
        <v>19</v>
      </c>
      <c r="E334" t="s">
        <v>380</v>
      </c>
      <c r="F334" t="s">
        <v>25</v>
      </c>
      <c r="G334" t="s">
        <v>26</v>
      </c>
      <c r="H334" t="s">
        <v>234</v>
      </c>
    </row>
    <row r="335" spans="1:8" x14ac:dyDescent="0.3">
      <c r="A335">
        <v>334</v>
      </c>
      <c r="B335" s="3">
        <v>44798.419641203698</v>
      </c>
      <c r="C335" s="3">
        <v>44774</v>
      </c>
      <c r="D335" t="s">
        <v>19</v>
      </c>
      <c r="E335" t="s">
        <v>381</v>
      </c>
      <c r="F335" t="s">
        <v>21</v>
      </c>
      <c r="G335" t="s">
        <v>29</v>
      </c>
      <c r="H335" t="s">
        <v>86</v>
      </c>
    </row>
    <row r="336" spans="1:8" x14ac:dyDescent="0.3">
      <c r="A336">
        <v>335</v>
      </c>
      <c r="B336" s="3">
        <v>44800.552592592598</v>
      </c>
      <c r="C336" s="3">
        <v>44774</v>
      </c>
      <c r="D336" t="s">
        <v>19</v>
      </c>
      <c r="E336" t="s">
        <v>382</v>
      </c>
      <c r="F336" t="s">
        <v>40</v>
      </c>
      <c r="G336" t="s">
        <v>58</v>
      </c>
      <c r="H336" t="s">
        <v>30</v>
      </c>
    </row>
    <row r="337" spans="1:8" x14ac:dyDescent="0.3">
      <c r="A337">
        <v>336</v>
      </c>
      <c r="B337" s="3">
        <v>44802.535219907397</v>
      </c>
      <c r="C337" s="3">
        <v>44774</v>
      </c>
      <c r="D337" t="s">
        <v>19</v>
      </c>
      <c r="E337" t="s">
        <v>383</v>
      </c>
      <c r="F337" t="s">
        <v>25</v>
      </c>
      <c r="G337" t="s">
        <v>26</v>
      </c>
      <c r="H337" t="s">
        <v>27</v>
      </c>
    </row>
    <row r="338" spans="1:8" x14ac:dyDescent="0.3">
      <c r="A338">
        <v>337</v>
      </c>
      <c r="B338" s="3">
        <v>44802.684293981503</v>
      </c>
      <c r="C338" s="3">
        <v>44774</v>
      </c>
      <c r="D338" t="s">
        <v>19</v>
      </c>
      <c r="E338" t="s">
        <v>384</v>
      </c>
      <c r="F338" t="s">
        <v>21</v>
      </c>
      <c r="G338" t="s">
        <v>22</v>
      </c>
      <c r="H338" t="s">
        <v>27</v>
      </c>
    </row>
    <row r="339" spans="1:8" x14ac:dyDescent="0.3">
      <c r="A339">
        <v>338</v>
      </c>
      <c r="B339" s="3">
        <v>44802.755416666703</v>
      </c>
      <c r="C339" s="3">
        <v>44774</v>
      </c>
      <c r="D339" t="s">
        <v>19</v>
      </c>
      <c r="E339" t="s">
        <v>385</v>
      </c>
      <c r="F339" t="s">
        <v>40</v>
      </c>
      <c r="G339" t="s">
        <v>48</v>
      </c>
      <c r="H339" t="s">
        <v>30</v>
      </c>
    </row>
    <row r="340" spans="1:8" x14ac:dyDescent="0.3">
      <c r="A340">
        <v>339</v>
      </c>
      <c r="B340" s="3">
        <v>44802.756724537001</v>
      </c>
      <c r="C340" s="3">
        <v>44774</v>
      </c>
      <c r="D340" t="s">
        <v>19</v>
      </c>
      <c r="E340" t="s">
        <v>386</v>
      </c>
      <c r="F340" t="s">
        <v>40</v>
      </c>
      <c r="G340" t="s">
        <v>108</v>
      </c>
      <c r="H340" t="s">
        <v>30</v>
      </c>
    </row>
    <row r="341" spans="1:8" x14ac:dyDescent="0.3">
      <c r="A341">
        <v>340</v>
      </c>
      <c r="B341" s="3">
        <v>44802.758726851898</v>
      </c>
      <c r="C341" s="3">
        <v>44774</v>
      </c>
      <c r="D341" t="s">
        <v>19</v>
      </c>
      <c r="E341" t="s">
        <v>387</v>
      </c>
      <c r="F341" t="s">
        <v>25</v>
      </c>
      <c r="G341" t="s">
        <v>345</v>
      </c>
      <c r="H341" t="s">
        <v>27</v>
      </c>
    </row>
    <row r="342" spans="1:8" x14ac:dyDescent="0.3">
      <c r="A342">
        <v>341</v>
      </c>
      <c r="B342" s="3">
        <v>44803.5690509259</v>
      </c>
      <c r="C342" s="3">
        <v>44774</v>
      </c>
      <c r="D342" t="s">
        <v>19</v>
      </c>
      <c r="E342" t="s">
        <v>388</v>
      </c>
      <c r="F342" t="s">
        <v>21</v>
      </c>
      <c r="G342" t="s">
        <v>29</v>
      </c>
      <c r="H342" t="s">
        <v>86</v>
      </c>
    </row>
    <row r="343" spans="1:8" x14ac:dyDescent="0.3">
      <c r="A343">
        <v>342</v>
      </c>
      <c r="B343" s="3">
        <v>44803.701932870397</v>
      </c>
      <c r="C343" s="3">
        <v>44774</v>
      </c>
      <c r="D343" t="s">
        <v>19</v>
      </c>
      <c r="E343" t="s">
        <v>389</v>
      </c>
      <c r="F343" t="s">
        <v>25</v>
      </c>
      <c r="G343" t="s">
        <v>26</v>
      </c>
      <c r="H343" t="s">
        <v>30</v>
      </c>
    </row>
    <row r="344" spans="1:8" x14ac:dyDescent="0.3">
      <c r="A344">
        <v>343</v>
      </c>
      <c r="B344" s="3">
        <v>44803.715590277803</v>
      </c>
      <c r="C344" s="3">
        <v>44774</v>
      </c>
      <c r="D344" t="s">
        <v>19</v>
      </c>
      <c r="E344" t="s">
        <v>390</v>
      </c>
      <c r="F344" t="s">
        <v>21</v>
      </c>
      <c r="G344" t="s">
        <v>29</v>
      </c>
      <c r="H344" t="s">
        <v>30</v>
      </c>
    </row>
    <row r="345" spans="1:8" x14ac:dyDescent="0.3">
      <c r="A345">
        <v>344</v>
      </c>
      <c r="B345" s="3">
        <v>44803.767962963</v>
      </c>
      <c r="C345" s="3">
        <v>44774</v>
      </c>
      <c r="D345" t="s">
        <v>19</v>
      </c>
      <c r="E345" t="s">
        <v>391</v>
      </c>
      <c r="F345" t="s">
        <v>32</v>
      </c>
      <c r="G345" t="s">
        <v>33</v>
      </c>
      <c r="H345" t="s">
        <v>30</v>
      </c>
    </row>
    <row r="346" spans="1:8" x14ac:dyDescent="0.3">
      <c r="A346">
        <v>345</v>
      </c>
      <c r="B346" s="3">
        <v>44804.526932870402</v>
      </c>
      <c r="C346" s="3">
        <v>44774</v>
      </c>
      <c r="D346" t="s">
        <v>19</v>
      </c>
      <c r="E346" t="s">
        <v>392</v>
      </c>
      <c r="F346" t="s">
        <v>21</v>
      </c>
      <c r="G346" t="s">
        <v>29</v>
      </c>
      <c r="H346" t="s">
        <v>30</v>
      </c>
    </row>
    <row r="347" spans="1:8" x14ac:dyDescent="0.3">
      <c r="A347">
        <v>346</v>
      </c>
      <c r="B347" s="3">
        <v>44804.584918981498</v>
      </c>
      <c r="C347" s="3">
        <v>44774</v>
      </c>
      <c r="D347" t="s">
        <v>19</v>
      </c>
      <c r="E347" t="s">
        <v>393</v>
      </c>
      <c r="F347" t="s">
        <v>25</v>
      </c>
      <c r="G347" t="s">
        <v>26</v>
      </c>
      <c r="H347" t="s">
        <v>30</v>
      </c>
    </row>
    <row r="348" spans="1:8" x14ac:dyDescent="0.3">
      <c r="A348">
        <v>347</v>
      </c>
      <c r="B348" s="3">
        <v>44804.586724537003</v>
      </c>
      <c r="C348" s="3">
        <v>44774</v>
      </c>
      <c r="D348" t="s">
        <v>19</v>
      </c>
      <c r="E348" t="s">
        <v>394</v>
      </c>
      <c r="F348" t="s">
        <v>25</v>
      </c>
      <c r="G348" t="s">
        <v>345</v>
      </c>
      <c r="H348" t="s">
        <v>27</v>
      </c>
    </row>
    <row r="349" spans="1:8" x14ac:dyDescent="0.3">
      <c r="A349">
        <v>348</v>
      </c>
      <c r="B349" s="3">
        <v>44804.5878240741</v>
      </c>
      <c r="C349" s="3">
        <v>44774</v>
      </c>
      <c r="D349" t="s">
        <v>19</v>
      </c>
      <c r="E349" t="s">
        <v>395</v>
      </c>
      <c r="F349" t="s">
        <v>21</v>
      </c>
      <c r="G349" t="s">
        <v>29</v>
      </c>
      <c r="H349" t="s">
        <v>30</v>
      </c>
    </row>
    <row r="350" spans="1:8" x14ac:dyDescent="0.3">
      <c r="A350">
        <v>349</v>
      </c>
      <c r="B350" s="3">
        <v>44804.612372685202</v>
      </c>
      <c r="C350" s="3">
        <v>44774</v>
      </c>
      <c r="D350" t="s">
        <v>19</v>
      </c>
      <c r="E350" t="s">
        <v>396</v>
      </c>
      <c r="F350" t="s">
        <v>21</v>
      </c>
      <c r="G350" t="s">
        <v>22</v>
      </c>
      <c r="H350" t="s">
        <v>66</v>
      </c>
    </row>
    <row r="351" spans="1:8" x14ac:dyDescent="0.3">
      <c r="A351">
        <v>350</v>
      </c>
      <c r="B351" s="3">
        <v>44804.772835648197</v>
      </c>
      <c r="C351" s="3">
        <v>44774</v>
      </c>
      <c r="D351" t="s">
        <v>19</v>
      </c>
      <c r="E351" t="s">
        <v>397</v>
      </c>
      <c r="F351" t="s">
        <v>25</v>
      </c>
      <c r="G351" t="s">
        <v>317</v>
      </c>
      <c r="H351" t="s">
        <v>23</v>
      </c>
    </row>
    <row r="352" spans="1:8" x14ac:dyDescent="0.3">
      <c r="A352">
        <v>351</v>
      </c>
      <c r="B352" s="3">
        <v>44804.775081018503</v>
      </c>
      <c r="C352" s="3">
        <v>44774</v>
      </c>
      <c r="D352" t="s">
        <v>19</v>
      </c>
      <c r="E352" t="s">
        <v>398</v>
      </c>
      <c r="F352" t="s">
        <v>40</v>
      </c>
      <c r="G352" t="s">
        <v>108</v>
      </c>
      <c r="H352" t="s">
        <v>27</v>
      </c>
    </row>
    <row r="353" spans="1:8" x14ac:dyDescent="0.3">
      <c r="A353">
        <v>352</v>
      </c>
      <c r="B353" s="3">
        <v>44804.776192129597</v>
      </c>
      <c r="C353" s="3">
        <v>44774</v>
      </c>
      <c r="D353" t="s">
        <v>19</v>
      </c>
      <c r="E353" t="s">
        <v>399</v>
      </c>
      <c r="F353" t="s">
        <v>40</v>
      </c>
      <c r="G353" t="s">
        <v>48</v>
      </c>
      <c r="H353" t="s">
        <v>30</v>
      </c>
    </row>
    <row r="354" spans="1:8" x14ac:dyDescent="0.3">
      <c r="A354">
        <v>353</v>
      </c>
      <c r="B354" s="3">
        <v>44804.797893518502</v>
      </c>
      <c r="C354" s="3">
        <v>44774</v>
      </c>
      <c r="D354" t="s">
        <v>19</v>
      </c>
      <c r="E354" t="s">
        <v>400</v>
      </c>
      <c r="F354" t="s">
        <v>21</v>
      </c>
      <c r="G354" t="s">
        <v>29</v>
      </c>
      <c r="H354" t="s">
        <v>86</v>
      </c>
    </row>
    <row r="355" spans="1:8" x14ac:dyDescent="0.3">
      <c r="A355">
        <v>354</v>
      </c>
      <c r="B355" s="3">
        <v>44804.799074074101</v>
      </c>
      <c r="C355" s="3">
        <v>44774</v>
      </c>
      <c r="D355" t="s">
        <v>19</v>
      </c>
      <c r="E355" t="s">
        <v>401</v>
      </c>
      <c r="F355" t="s">
        <v>32</v>
      </c>
      <c r="G355" t="s">
        <v>33</v>
      </c>
      <c r="H355" t="s">
        <v>30</v>
      </c>
    </row>
    <row r="356" spans="1:8" x14ac:dyDescent="0.3">
      <c r="A356">
        <v>355</v>
      </c>
      <c r="B356" s="3">
        <v>44804.800601851901</v>
      </c>
      <c r="C356" s="3">
        <v>44774</v>
      </c>
      <c r="D356" t="s">
        <v>19</v>
      </c>
      <c r="E356" t="s">
        <v>402</v>
      </c>
      <c r="F356" t="s">
        <v>21</v>
      </c>
      <c r="G356" t="s">
        <v>29</v>
      </c>
      <c r="H356" t="s">
        <v>66</v>
      </c>
    </row>
    <row r="357" spans="1:8" x14ac:dyDescent="0.3">
      <c r="A357">
        <v>356</v>
      </c>
      <c r="B357" s="3">
        <v>44804.801817129599</v>
      </c>
      <c r="C357" s="3">
        <v>44774</v>
      </c>
      <c r="D357" t="s">
        <v>19</v>
      </c>
      <c r="E357" t="s">
        <v>403</v>
      </c>
      <c r="F357" t="s">
        <v>21</v>
      </c>
      <c r="G357" t="s">
        <v>69</v>
      </c>
      <c r="H357" t="s">
        <v>30</v>
      </c>
    </row>
    <row r="358" spans="1:8" x14ac:dyDescent="0.3">
      <c r="A358">
        <v>357</v>
      </c>
      <c r="B358" s="3">
        <v>44804.808831018498</v>
      </c>
      <c r="C358" s="3">
        <v>44774</v>
      </c>
      <c r="D358" t="s">
        <v>19</v>
      </c>
      <c r="E358" t="s">
        <v>404</v>
      </c>
      <c r="F358" t="s">
        <v>32</v>
      </c>
      <c r="G358" t="s">
        <v>33</v>
      </c>
      <c r="H358" t="s">
        <v>30</v>
      </c>
    </row>
    <row r="359" spans="1:8" x14ac:dyDescent="0.3">
      <c r="A359">
        <v>358</v>
      </c>
      <c r="B359" s="3">
        <v>44804.849861111099</v>
      </c>
      <c r="C359" s="3">
        <v>44774</v>
      </c>
      <c r="D359" t="s">
        <v>19</v>
      </c>
      <c r="E359" t="s">
        <v>405</v>
      </c>
      <c r="F359" t="s">
        <v>21</v>
      </c>
      <c r="G359" t="s">
        <v>22</v>
      </c>
      <c r="H359" t="s">
        <v>30</v>
      </c>
    </row>
    <row r="360" spans="1:8" x14ac:dyDescent="0.3">
      <c r="A360">
        <v>359</v>
      </c>
      <c r="B360" s="3">
        <v>44807.524641203701</v>
      </c>
      <c r="C360" s="3">
        <v>44805</v>
      </c>
      <c r="D360" t="s">
        <v>19</v>
      </c>
      <c r="E360" t="s">
        <v>406</v>
      </c>
      <c r="F360" t="s">
        <v>21</v>
      </c>
      <c r="G360" t="s">
        <v>29</v>
      </c>
      <c r="H360" t="s">
        <v>27</v>
      </c>
    </row>
    <row r="361" spans="1:8" x14ac:dyDescent="0.3">
      <c r="A361">
        <v>360</v>
      </c>
      <c r="B361" s="3">
        <v>44807.534965277802</v>
      </c>
      <c r="C361" s="3">
        <v>44805</v>
      </c>
      <c r="D361" t="s">
        <v>19</v>
      </c>
      <c r="E361" t="s">
        <v>407</v>
      </c>
      <c r="F361" t="s">
        <v>25</v>
      </c>
      <c r="G361" t="s">
        <v>345</v>
      </c>
      <c r="H361" t="s">
        <v>27</v>
      </c>
    </row>
    <row r="362" spans="1:8" x14ac:dyDescent="0.3">
      <c r="A362">
        <v>361</v>
      </c>
      <c r="B362" s="3">
        <v>44809.505972222199</v>
      </c>
      <c r="C362" s="3">
        <v>44805</v>
      </c>
      <c r="D362" t="s">
        <v>19</v>
      </c>
      <c r="E362" t="s">
        <v>408</v>
      </c>
      <c r="F362" t="s">
        <v>21</v>
      </c>
      <c r="G362" t="s">
        <v>22</v>
      </c>
      <c r="H362" t="s">
        <v>236</v>
      </c>
    </row>
    <row r="363" spans="1:8" x14ac:dyDescent="0.3">
      <c r="A363">
        <v>362</v>
      </c>
      <c r="B363" s="3">
        <v>44809.591527777797</v>
      </c>
      <c r="C363" s="3">
        <v>44805</v>
      </c>
      <c r="D363" t="s">
        <v>19</v>
      </c>
      <c r="E363" t="s">
        <v>409</v>
      </c>
      <c r="F363" t="s">
        <v>40</v>
      </c>
      <c r="G363" t="s">
        <v>48</v>
      </c>
      <c r="H363" t="s">
        <v>236</v>
      </c>
    </row>
    <row r="364" spans="1:8" x14ac:dyDescent="0.3">
      <c r="A364">
        <v>363</v>
      </c>
      <c r="B364" s="3">
        <v>44813.559282407397</v>
      </c>
      <c r="C364" s="3">
        <v>44805</v>
      </c>
      <c r="D364" t="s">
        <v>19</v>
      </c>
      <c r="E364" t="s">
        <v>410</v>
      </c>
      <c r="F364" t="s">
        <v>21</v>
      </c>
      <c r="G364" t="s">
        <v>29</v>
      </c>
      <c r="H364" t="s">
        <v>30</v>
      </c>
    </row>
    <row r="365" spans="1:8" x14ac:dyDescent="0.3">
      <c r="A365">
        <v>364</v>
      </c>
      <c r="B365" s="3">
        <v>44814.421631944497</v>
      </c>
      <c r="C365" s="3">
        <v>44805</v>
      </c>
      <c r="D365" t="s">
        <v>19</v>
      </c>
      <c r="E365" t="s">
        <v>411</v>
      </c>
      <c r="F365" t="s">
        <v>21</v>
      </c>
      <c r="G365" t="s">
        <v>22</v>
      </c>
      <c r="H365" t="s">
        <v>27</v>
      </c>
    </row>
    <row r="366" spans="1:8" x14ac:dyDescent="0.3">
      <c r="A366">
        <v>365</v>
      </c>
      <c r="B366" s="3">
        <v>44817.430833333303</v>
      </c>
      <c r="C366" s="3">
        <v>44805</v>
      </c>
      <c r="D366" t="s">
        <v>19</v>
      </c>
      <c r="E366" t="s">
        <v>412</v>
      </c>
      <c r="F366" t="s">
        <v>21</v>
      </c>
      <c r="G366" t="s">
        <v>22</v>
      </c>
      <c r="H366" t="s">
        <v>30</v>
      </c>
    </row>
    <row r="367" spans="1:8" x14ac:dyDescent="0.3">
      <c r="A367">
        <v>366</v>
      </c>
      <c r="B367" s="3">
        <v>44818.472199074102</v>
      </c>
      <c r="C367" s="3">
        <v>44805</v>
      </c>
      <c r="D367" t="s">
        <v>19</v>
      </c>
      <c r="E367" t="s">
        <v>413</v>
      </c>
      <c r="F367" t="s">
        <v>25</v>
      </c>
      <c r="G367" t="s">
        <v>26</v>
      </c>
      <c r="H367" t="s">
        <v>27</v>
      </c>
    </row>
    <row r="368" spans="1:8" x14ac:dyDescent="0.3">
      <c r="A368">
        <v>367</v>
      </c>
      <c r="B368" s="3">
        <v>44818.487916666701</v>
      </c>
      <c r="C368" s="3">
        <v>44805</v>
      </c>
      <c r="D368" t="s">
        <v>19</v>
      </c>
      <c r="E368" t="s">
        <v>414</v>
      </c>
      <c r="F368" t="s">
        <v>21</v>
      </c>
      <c r="G368" t="s">
        <v>29</v>
      </c>
      <c r="H368" t="s">
        <v>27</v>
      </c>
    </row>
    <row r="369" spans="1:8" x14ac:dyDescent="0.3">
      <c r="A369">
        <v>368</v>
      </c>
      <c r="B369" s="3">
        <v>44818.545578703699</v>
      </c>
      <c r="C369" s="3">
        <v>44805</v>
      </c>
      <c r="D369" t="s">
        <v>19</v>
      </c>
      <c r="E369" t="s">
        <v>415</v>
      </c>
      <c r="F369" t="s">
        <v>25</v>
      </c>
      <c r="G369" t="s">
        <v>26</v>
      </c>
      <c r="H369" t="s">
        <v>27</v>
      </c>
    </row>
    <row r="370" spans="1:8" x14ac:dyDescent="0.3">
      <c r="A370">
        <v>369</v>
      </c>
      <c r="B370" s="3">
        <v>44818.719942129603</v>
      </c>
      <c r="C370" s="3">
        <v>44805</v>
      </c>
      <c r="D370" t="s">
        <v>19</v>
      </c>
      <c r="E370" t="s">
        <v>416</v>
      </c>
      <c r="F370" t="s">
        <v>25</v>
      </c>
      <c r="G370" t="s">
        <v>26</v>
      </c>
      <c r="H370" t="s">
        <v>27</v>
      </c>
    </row>
    <row r="371" spans="1:8" x14ac:dyDescent="0.3">
      <c r="A371">
        <v>370</v>
      </c>
      <c r="B371" s="3">
        <v>44819.554131944496</v>
      </c>
      <c r="C371" s="3">
        <v>44805</v>
      </c>
      <c r="D371" t="s">
        <v>19</v>
      </c>
      <c r="E371" t="s">
        <v>417</v>
      </c>
      <c r="F371" t="s">
        <v>32</v>
      </c>
      <c r="G371" t="s">
        <v>33</v>
      </c>
      <c r="H371" t="s">
        <v>30</v>
      </c>
    </row>
    <row r="372" spans="1:8" x14ac:dyDescent="0.3">
      <c r="A372">
        <v>371</v>
      </c>
      <c r="B372" s="3">
        <v>44820.737083333297</v>
      </c>
      <c r="C372" s="3">
        <v>44805</v>
      </c>
      <c r="D372" t="s">
        <v>19</v>
      </c>
      <c r="E372" t="s">
        <v>418</v>
      </c>
      <c r="F372" t="s">
        <v>40</v>
      </c>
      <c r="G372" t="s">
        <v>58</v>
      </c>
      <c r="H372" t="s">
        <v>30</v>
      </c>
    </row>
    <row r="373" spans="1:8" x14ac:dyDescent="0.3">
      <c r="A373">
        <v>372</v>
      </c>
      <c r="B373" s="3">
        <v>44820.742152777799</v>
      </c>
      <c r="C373" s="3">
        <v>44805</v>
      </c>
      <c r="D373" t="s">
        <v>19</v>
      </c>
      <c r="E373" t="s">
        <v>419</v>
      </c>
      <c r="F373" t="s">
        <v>21</v>
      </c>
      <c r="G373" t="s">
        <v>22</v>
      </c>
      <c r="H373" t="s">
        <v>30</v>
      </c>
    </row>
    <row r="374" spans="1:8" x14ac:dyDescent="0.3">
      <c r="A374">
        <v>373</v>
      </c>
      <c r="B374" s="3">
        <v>44821.741307870398</v>
      </c>
      <c r="C374" s="3">
        <v>44805</v>
      </c>
      <c r="D374" t="s">
        <v>19</v>
      </c>
      <c r="E374" t="s">
        <v>420</v>
      </c>
      <c r="F374" t="s">
        <v>21</v>
      </c>
      <c r="G374" t="s">
        <v>22</v>
      </c>
      <c r="H374" t="s">
        <v>30</v>
      </c>
    </row>
    <row r="375" spans="1:8" x14ac:dyDescent="0.3">
      <c r="A375">
        <v>374</v>
      </c>
      <c r="B375" s="3">
        <v>44824.782291666699</v>
      </c>
      <c r="C375" s="3">
        <v>44805</v>
      </c>
      <c r="D375" t="s">
        <v>19</v>
      </c>
      <c r="E375" t="s">
        <v>421</v>
      </c>
      <c r="F375" t="s">
        <v>32</v>
      </c>
      <c r="G375" t="s">
        <v>33</v>
      </c>
      <c r="H375" t="s">
        <v>27</v>
      </c>
    </row>
    <row r="376" spans="1:8" x14ac:dyDescent="0.3">
      <c r="A376">
        <v>375</v>
      </c>
      <c r="B376" s="3">
        <v>44825.559374999997</v>
      </c>
      <c r="C376" s="3">
        <v>44805</v>
      </c>
      <c r="D376" t="s">
        <v>19</v>
      </c>
      <c r="E376" t="s">
        <v>422</v>
      </c>
      <c r="F376" t="s">
        <v>25</v>
      </c>
      <c r="G376" t="s">
        <v>345</v>
      </c>
      <c r="H376" t="s">
        <v>30</v>
      </c>
    </row>
    <row r="377" spans="1:8" x14ac:dyDescent="0.3">
      <c r="A377">
        <v>376</v>
      </c>
      <c r="B377" s="3">
        <v>44827.4874768519</v>
      </c>
      <c r="C377" s="3">
        <v>44805</v>
      </c>
      <c r="D377" t="s">
        <v>19</v>
      </c>
      <c r="E377" t="s">
        <v>423</v>
      </c>
      <c r="F377" t="s">
        <v>25</v>
      </c>
      <c r="G377" t="s">
        <v>26</v>
      </c>
      <c r="H377" t="s">
        <v>30</v>
      </c>
    </row>
    <row r="378" spans="1:8" x14ac:dyDescent="0.3">
      <c r="A378">
        <v>377</v>
      </c>
      <c r="B378" s="3">
        <v>44828.478275463</v>
      </c>
      <c r="C378" s="3">
        <v>44805</v>
      </c>
      <c r="D378" t="s">
        <v>19</v>
      </c>
      <c r="E378" t="s">
        <v>424</v>
      </c>
      <c r="F378" t="s">
        <v>21</v>
      </c>
      <c r="G378" t="s">
        <v>22</v>
      </c>
      <c r="H378" t="s">
        <v>27</v>
      </c>
    </row>
    <row r="379" spans="1:8" x14ac:dyDescent="0.3">
      <c r="A379">
        <v>378</v>
      </c>
      <c r="B379" s="3">
        <v>44828.573865740698</v>
      </c>
      <c r="C379" s="3">
        <v>44805</v>
      </c>
      <c r="D379" t="s">
        <v>19</v>
      </c>
      <c r="E379" t="s">
        <v>425</v>
      </c>
      <c r="F379" t="s">
        <v>21</v>
      </c>
      <c r="G379" t="s">
        <v>33</v>
      </c>
      <c r="H379" t="s">
        <v>30</v>
      </c>
    </row>
    <row r="380" spans="1:8" x14ac:dyDescent="0.3">
      <c r="A380">
        <v>379</v>
      </c>
      <c r="B380" s="3">
        <v>44830.507650462998</v>
      </c>
      <c r="C380" s="3">
        <v>44805</v>
      </c>
      <c r="D380" t="s">
        <v>19</v>
      </c>
      <c r="E380" t="s">
        <v>426</v>
      </c>
      <c r="F380" t="s">
        <v>25</v>
      </c>
      <c r="G380" t="s">
        <v>26</v>
      </c>
      <c r="H380" t="s">
        <v>23</v>
      </c>
    </row>
    <row r="381" spans="1:8" x14ac:dyDescent="0.3">
      <c r="A381">
        <v>380</v>
      </c>
      <c r="B381" s="3">
        <v>44830.726724537002</v>
      </c>
      <c r="C381" s="3">
        <v>44805</v>
      </c>
      <c r="D381" t="s">
        <v>19</v>
      </c>
      <c r="E381" t="s">
        <v>427</v>
      </c>
      <c r="F381" t="s">
        <v>21</v>
      </c>
      <c r="G381" t="s">
        <v>22</v>
      </c>
      <c r="H381" t="s">
        <v>30</v>
      </c>
    </row>
    <row r="382" spans="1:8" x14ac:dyDescent="0.3">
      <c r="A382">
        <v>381</v>
      </c>
      <c r="B382" s="3">
        <v>44831.6268865741</v>
      </c>
      <c r="C382" s="3">
        <v>44805</v>
      </c>
      <c r="D382" t="s">
        <v>19</v>
      </c>
      <c r="E382" t="s">
        <v>428</v>
      </c>
      <c r="F382" t="s">
        <v>21</v>
      </c>
      <c r="G382" t="s">
        <v>29</v>
      </c>
      <c r="H382" t="s">
        <v>30</v>
      </c>
    </row>
    <row r="383" spans="1:8" x14ac:dyDescent="0.3">
      <c r="A383">
        <v>382</v>
      </c>
      <c r="B383" s="3">
        <v>44831.730624999997</v>
      </c>
      <c r="C383" s="3">
        <v>44805</v>
      </c>
      <c r="D383" t="s">
        <v>19</v>
      </c>
      <c r="E383" t="s">
        <v>429</v>
      </c>
      <c r="F383" t="s">
        <v>21</v>
      </c>
      <c r="G383" t="s">
        <v>22</v>
      </c>
      <c r="H383" t="s">
        <v>27</v>
      </c>
    </row>
    <row r="384" spans="1:8" x14ac:dyDescent="0.3">
      <c r="A384">
        <v>383</v>
      </c>
      <c r="B384" s="3">
        <v>44831.750914351898</v>
      </c>
      <c r="C384" s="3">
        <v>44805</v>
      </c>
      <c r="D384" t="s">
        <v>19</v>
      </c>
      <c r="E384" t="s">
        <v>430</v>
      </c>
      <c r="F384" t="s">
        <v>40</v>
      </c>
      <c r="G384" t="s">
        <v>75</v>
      </c>
      <c r="H384" t="s">
        <v>30</v>
      </c>
    </row>
    <row r="385" spans="1:8" x14ac:dyDescent="0.3">
      <c r="A385">
        <v>384</v>
      </c>
      <c r="B385" s="3">
        <v>44831.772118055596</v>
      </c>
      <c r="C385" s="3">
        <v>44805</v>
      </c>
      <c r="D385" t="s">
        <v>19</v>
      </c>
      <c r="E385" t="s">
        <v>431</v>
      </c>
      <c r="F385" t="s">
        <v>25</v>
      </c>
      <c r="G385" t="s">
        <v>26</v>
      </c>
      <c r="H385" t="s">
        <v>30</v>
      </c>
    </row>
    <row r="386" spans="1:8" x14ac:dyDescent="0.3">
      <c r="A386">
        <v>385</v>
      </c>
      <c r="B386" s="3">
        <v>44832.493900463</v>
      </c>
      <c r="C386" s="3">
        <v>44805</v>
      </c>
      <c r="D386" t="s">
        <v>19</v>
      </c>
      <c r="E386" t="s">
        <v>432</v>
      </c>
      <c r="F386" t="s">
        <v>32</v>
      </c>
      <c r="G386" t="s">
        <v>33</v>
      </c>
      <c r="H386" t="s">
        <v>51</v>
      </c>
    </row>
    <row r="387" spans="1:8" x14ac:dyDescent="0.3">
      <c r="A387">
        <v>386</v>
      </c>
      <c r="B387" s="3">
        <v>44832.691446759301</v>
      </c>
      <c r="C387" s="3">
        <v>44805</v>
      </c>
      <c r="D387" t="s">
        <v>19</v>
      </c>
      <c r="E387" t="s">
        <v>433</v>
      </c>
      <c r="F387" t="s">
        <v>21</v>
      </c>
      <c r="G387" t="s">
        <v>22</v>
      </c>
      <c r="H387" t="s">
        <v>23</v>
      </c>
    </row>
    <row r="388" spans="1:8" x14ac:dyDescent="0.3">
      <c r="A388">
        <v>387</v>
      </c>
      <c r="B388" s="3">
        <v>44832.693159722199</v>
      </c>
      <c r="C388" s="3">
        <v>44805</v>
      </c>
      <c r="D388" t="s">
        <v>19</v>
      </c>
      <c r="E388" t="s">
        <v>434</v>
      </c>
      <c r="F388" t="s">
        <v>40</v>
      </c>
      <c r="G388" t="s">
        <v>48</v>
      </c>
      <c r="H388" t="s">
        <v>30</v>
      </c>
    </row>
    <row r="389" spans="1:8" x14ac:dyDescent="0.3">
      <c r="A389">
        <v>388</v>
      </c>
      <c r="B389" s="3">
        <v>44832.737395833297</v>
      </c>
      <c r="C389" s="3">
        <v>44805</v>
      </c>
      <c r="D389" t="s">
        <v>19</v>
      </c>
      <c r="E389" t="s">
        <v>435</v>
      </c>
      <c r="F389" t="s">
        <v>25</v>
      </c>
      <c r="G389" t="s">
        <v>26</v>
      </c>
      <c r="H389" t="s">
        <v>30</v>
      </c>
    </row>
    <row r="390" spans="1:8" x14ac:dyDescent="0.3">
      <c r="A390">
        <v>389</v>
      </c>
      <c r="B390" s="3">
        <v>44832.750393518501</v>
      </c>
      <c r="C390" s="3">
        <v>44805</v>
      </c>
      <c r="D390" t="s">
        <v>19</v>
      </c>
      <c r="E390" t="s">
        <v>436</v>
      </c>
      <c r="F390" t="s">
        <v>40</v>
      </c>
      <c r="G390" t="s">
        <v>437</v>
      </c>
      <c r="H390" t="s">
        <v>234</v>
      </c>
    </row>
    <row r="391" spans="1:8" x14ac:dyDescent="0.3">
      <c r="A391">
        <v>390</v>
      </c>
      <c r="B391" s="3">
        <v>44833.542592592603</v>
      </c>
      <c r="C391" s="3">
        <v>44805</v>
      </c>
      <c r="D391" t="s">
        <v>19</v>
      </c>
      <c r="E391" t="s">
        <v>438</v>
      </c>
      <c r="F391" t="s">
        <v>21</v>
      </c>
      <c r="G391" t="s">
        <v>22</v>
      </c>
      <c r="H391" t="s">
        <v>27</v>
      </c>
    </row>
    <row r="392" spans="1:8" x14ac:dyDescent="0.3">
      <c r="A392">
        <v>391</v>
      </c>
      <c r="B392" s="3">
        <v>44833.547337962998</v>
      </c>
      <c r="C392" s="3">
        <v>44805</v>
      </c>
      <c r="D392" t="s">
        <v>19</v>
      </c>
      <c r="E392" t="s">
        <v>439</v>
      </c>
      <c r="F392" t="s">
        <v>21</v>
      </c>
      <c r="G392" t="s">
        <v>22</v>
      </c>
      <c r="H392" t="s">
        <v>23</v>
      </c>
    </row>
    <row r="393" spans="1:8" x14ac:dyDescent="0.3">
      <c r="A393">
        <v>392</v>
      </c>
      <c r="B393" s="3">
        <v>44833.770902777796</v>
      </c>
      <c r="C393" s="3">
        <v>44805</v>
      </c>
      <c r="D393" t="s">
        <v>19</v>
      </c>
      <c r="E393" t="s">
        <v>440</v>
      </c>
      <c r="F393" t="s">
        <v>40</v>
      </c>
      <c r="G393" t="s">
        <v>75</v>
      </c>
      <c r="H393" t="s">
        <v>30</v>
      </c>
    </row>
    <row r="394" spans="1:8" x14ac:dyDescent="0.3">
      <c r="A394">
        <v>393</v>
      </c>
      <c r="B394" s="3">
        <v>44834.480046296303</v>
      </c>
      <c r="C394" s="3">
        <v>44805</v>
      </c>
      <c r="D394" t="s">
        <v>19</v>
      </c>
      <c r="E394" t="s">
        <v>441</v>
      </c>
      <c r="F394" t="s">
        <v>25</v>
      </c>
      <c r="G394" t="s">
        <v>26</v>
      </c>
      <c r="H394" t="s">
        <v>30</v>
      </c>
    </row>
    <row r="395" spans="1:8" x14ac:dyDescent="0.3">
      <c r="A395">
        <v>394</v>
      </c>
      <c r="B395" s="3">
        <v>44834.4984722222</v>
      </c>
      <c r="C395" s="3">
        <v>44805</v>
      </c>
      <c r="D395" t="s">
        <v>19</v>
      </c>
      <c r="E395" t="s">
        <v>442</v>
      </c>
      <c r="F395" t="s">
        <v>32</v>
      </c>
      <c r="G395" t="s">
        <v>33</v>
      </c>
      <c r="H395" t="s">
        <v>23</v>
      </c>
    </row>
    <row r="396" spans="1:8" x14ac:dyDescent="0.3">
      <c r="A396">
        <v>395</v>
      </c>
      <c r="B396" s="3">
        <v>44834.712118055599</v>
      </c>
      <c r="C396" s="3">
        <v>44805</v>
      </c>
      <c r="D396" t="s">
        <v>19</v>
      </c>
      <c r="E396" t="s">
        <v>443</v>
      </c>
      <c r="F396" t="s">
        <v>40</v>
      </c>
      <c r="G396" t="s">
        <v>58</v>
      </c>
      <c r="H396" t="s">
        <v>23</v>
      </c>
    </row>
    <row r="397" spans="1:8" x14ac:dyDescent="0.3">
      <c r="A397">
        <v>396</v>
      </c>
      <c r="B397" s="3">
        <v>44834.765810185199</v>
      </c>
      <c r="C397" s="3">
        <v>44805</v>
      </c>
      <c r="D397" t="s">
        <v>19</v>
      </c>
      <c r="E397" t="s">
        <v>444</v>
      </c>
      <c r="F397" t="s">
        <v>25</v>
      </c>
      <c r="G397" t="s">
        <v>345</v>
      </c>
      <c r="H397" t="s">
        <v>27</v>
      </c>
    </row>
    <row r="398" spans="1:8" x14ac:dyDescent="0.3">
      <c r="A398">
        <v>397</v>
      </c>
      <c r="B398" s="3">
        <v>44834.770185185203</v>
      </c>
      <c r="C398" s="3">
        <v>44805</v>
      </c>
      <c r="D398" t="s">
        <v>19</v>
      </c>
      <c r="E398" t="s">
        <v>445</v>
      </c>
      <c r="F398" t="s">
        <v>40</v>
      </c>
      <c r="G398" t="s">
        <v>58</v>
      </c>
      <c r="H398" t="s">
        <v>30</v>
      </c>
    </row>
    <row r="399" spans="1:8" x14ac:dyDescent="0.3">
      <c r="A399">
        <v>398</v>
      </c>
      <c r="B399" s="3">
        <v>44834.773113425901</v>
      </c>
      <c r="C399" s="3">
        <v>44805</v>
      </c>
      <c r="D399" t="s">
        <v>19</v>
      </c>
      <c r="E399" t="s">
        <v>446</v>
      </c>
      <c r="F399" t="s">
        <v>21</v>
      </c>
      <c r="G399" t="s">
        <v>29</v>
      </c>
      <c r="H399" t="s">
        <v>30</v>
      </c>
    </row>
    <row r="400" spans="1:8" x14ac:dyDescent="0.3">
      <c r="A400">
        <v>399</v>
      </c>
      <c r="B400" s="3">
        <v>44839</v>
      </c>
      <c r="C400" s="3">
        <v>44835</v>
      </c>
      <c r="D400" t="s">
        <v>19</v>
      </c>
      <c r="E400" t="s">
        <v>447</v>
      </c>
      <c r="F400" t="s">
        <v>25</v>
      </c>
      <c r="G400" t="s">
        <v>26</v>
      </c>
      <c r="H400" t="s">
        <v>30</v>
      </c>
    </row>
    <row r="401" spans="1:8" x14ac:dyDescent="0.3">
      <c r="A401">
        <v>400</v>
      </c>
      <c r="B401" s="3">
        <v>44840</v>
      </c>
      <c r="C401" s="3">
        <v>44835</v>
      </c>
      <c r="D401" t="s">
        <v>19</v>
      </c>
      <c r="E401" t="s">
        <v>448</v>
      </c>
      <c r="F401" t="s">
        <v>40</v>
      </c>
      <c r="G401" t="s">
        <v>437</v>
      </c>
      <c r="H401" t="s">
        <v>234</v>
      </c>
    </row>
    <row r="402" spans="1:8" x14ac:dyDescent="0.3">
      <c r="A402">
        <v>401</v>
      </c>
      <c r="B402" s="3">
        <v>44844</v>
      </c>
      <c r="C402" s="3">
        <v>44835</v>
      </c>
      <c r="D402" t="s">
        <v>19</v>
      </c>
      <c r="E402" t="s">
        <v>449</v>
      </c>
      <c r="F402" t="s">
        <v>40</v>
      </c>
      <c r="G402" t="s">
        <v>437</v>
      </c>
      <c r="H402" t="s">
        <v>234</v>
      </c>
    </row>
    <row r="403" spans="1:8" x14ac:dyDescent="0.3">
      <c r="A403">
        <v>402</v>
      </c>
      <c r="B403" s="3">
        <v>44845</v>
      </c>
      <c r="C403" s="3">
        <v>44835</v>
      </c>
      <c r="D403" t="s">
        <v>19</v>
      </c>
      <c r="E403" t="s">
        <v>450</v>
      </c>
      <c r="F403" t="s">
        <v>40</v>
      </c>
      <c r="G403" t="s">
        <v>75</v>
      </c>
      <c r="H403" t="s">
        <v>27</v>
      </c>
    </row>
    <row r="404" spans="1:8" x14ac:dyDescent="0.3">
      <c r="A404">
        <v>403</v>
      </c>
      <c r="B404" s="3">
        <v>44845</v>
      </c>
      <c r="C404" s="3">
        <v>44835</v>
      </c>
      <c r="D404" t="s">
        <v>19</v>
      </c>
      <c r="E404" t="s">
        <v>451</v>
      </c>
      <c r="F404" t="s">
        <v>21</v>
      </c>
      <c r="G404" t="s">
        <v>22</v>
      </c>
      <c r="H404" t="s">
        <v>51</v>
      </c>
    </row>
    <row r="405" spans="1:8" x14ac:dyDescent="0.3">
      <c r="A405">
        <v>404</v>
      </c>
      <c r="B405" s="3">
        <v>44847</v>
      </c>
      <c r="C405" s="3">
        <v>44835</v>
      </c>
      <c r="D405" t="s">
        <v>19</v>
      </c>
      <c r="E405" t="s">
        <v>452</v>
      </c>
      <c r="F405" t="s">
        <v>21</v>
      </c>
      <c r="G405" t="s">
        <v>29</v>
      </c>
      <c r="H405" t="s">
        <v>30</v>
      </c>
    </row>
    <row r="406" spans="1:8" x14ac:dyDescent="0.3">
      <c r="A406">
        <v>405</v>
      </c>
      <c r="B406" s="3">
        <v>44848</v>
      </c>
      <c r="C406" s="3">
        <v>44835</v>
      </c>
      <c r="D406" t="s">
        <v>19</v>
      </c>
      <c r="E406" t="s">
        <v>453</v>
      </c>
      <c r="F406" t="s">
        <v>25</v>
      </c>
      <c r="G406" t="s">
        <v>26</v>
      </c>
      <c r="H406" t="s">
        <v>30</v>
      </c>
    </row>
    <row r="407" spans="1:8" x14ac:dyDescent="0.3">
      <c r="A407">
        <v>406</v>
      </c>
      <c r="B407" s="3">
        <v>44848</v>
      </c>
      <c r="C407" s="3">
        <v>44835</v>
      </c>
      <c r="D407" t="s">
        <v>19</v>
      </c>
      <c r="E407" t="s">
        <v>454</v>
      </c>
      <c r="F407" t="s">
        <v>32</v>
      </c>
      <c r="G407" t="s">
        <v>33</v>
      </c>
      <c r="H407" t="s">
        <v>30</v>
      </c>
    </row>
    <row r="408" spans="1:8" x14ac:dyDescent="0.3">
      <c r="A408">
        <v>407</v>
      </c>
      <c r="B408" s="3">
        <v>44849</v>
      </c>
      <c r="C408" s="3">
        <v>44835</v>
      </c>
      <c r="D408" t="s">
        <v>19</v>
      </c>
      <c r="E408" t="s">
        <v>455</v>
      </c>
      <c r="F408" t="s">
        <v>40</v>
      </c>
      <c r="G408" t="s">
        <v>58</v>
      </c>
      <c r="H408" t="s">
        <v>30</v>
      </c>
    </row>
    <row r="409" spans="1:8" x14ac:dyDescent="0.3">
      <c r="A409">
        <v>408</v>
      </c>
      <c r="B409" s="3">
        <v>44849</v>
      </c>
      <c r="C409" s="3">
        <v>44835</v>
      </c>
      <c r="D409" t="s">
        <v>19</v>
      </c>
      <c r="E409" t="s">
        <v>456</v>
      </c>
      <c r="F409" t="s">
        <v>40</v>
      </c>
      <c r="G409" t="s">
        <v>437</v>
      </c>
      <c r="H409" t="s">
        <v>23</v>
      </c>
    </row>
    <row r="410" spans="1:8" x14ac:dyDescent="0.3">
      <c r="A410">
        <v>409</v>
      </c>
      <c r="B410" s="3">
        <v>44851</v>
      </c>
      <c r="C410" s="3">
        <v>44835</v>
      </c>
      <c r="D410" t="s">
        <v>19</v>
      </c>
      <c r="E410" t="s">
        <v>457</v>
      </c>
      <c r="F410" t="s">
        <v>40</v>
      </c>
      <c r="G410" t="s">
        <v>48</v>
      </c>
      <c r="H410" t="s">
        <v>30</v>
      </c>
    </row>
    <row r="411" spans="1:8" x14ac:dyDescent="0.3">
      <c r="A411">
        <v>410</v>
      </c>
      <c r="B411" s="3">
        <v>44851</v>
      </c>
      <c r="C411" s="3">
        <v>44835</v>
      </c>
      <c r="D411" t="s">
        <v>19</v>
      </c>
      <c r="E411" t="s">
        <v>458</v>
      </c>
      <c r="F411" t="s">
        <v>32</v>
      </c>
      <c r="G411" t="s">
        <v>33</v>
      </c>
      <c r="H411" t="s">
        <v>23</v>
      </c>
    </row>
    <row r="412" spans="1:8" x14ac:dyDescent="0.3">
      <c r="A412">
        <v>411</v>
      </c>
      <c r="B412" s="3">
        <v>44851</v>
      </c>
      <c r="C412" s="3">
        <v>44835</v>
      </c>
      <c r="D412" t="s">
        <v>19</v>
      </c>
      <c r="E412" t="s">
        <v>459</v>
      </c>
      <c r="F412" t="s">
        <v>32</v>
      </c>
      <c r="G412" t="s">
        <v>33</v>
      </c>
      <c r="H412" t="s">
        <v>30</v>
      </c>
    </row>
    <row r="413" spans="1:8" x14ac:dyDescent="0.3">
      <c r="A413">
        <v>412</v>
      </c>
      <c r="B413" s="3">
        <v>44852</v>
      </c>
      <c r="C413" s="3">
        <v>44835</v>
      </c>
      <c r="D413" t="s">
        <v>19</v>
      </c>
      <c r="E413" t="s">
        <v>460</v>
      </c>
      <c r="F413" t="s">
        <v>32</v>
      </c>
      <c r="G413" t="s">
        <v>33</v>
      </c>
      <c r="H413" t="s">
        <v>27</v>
      </c>
    </row>
    <row r="414" spans="1:8" x14ac:dyDescent="0.3">
      <c r="A414">
        <v>413</v>
      </c>
      <c r="B414" s="3">
        <v>44853</v>
      </c>
      <c r="C414" s="3">
        <v>44835</v>
      </c>
      <c r="D414" t="s">
        <v>19</v>
      </c>
      <c r="E414" t="s">
        <v>461</v>
      </c>
      <c r="F414" t="s">
        <v>21</v>
      </c>
      <c r="G414" t="s">
        <v>22</v>
      </c>
      <c r="H414" t="s">
        <v>30</v>
      </c>
    </row>
    <row r="415" spans="1:8" x14ac:dyDescent="0.3">
      <c r="A415">
        <v>414</v>
      </c>
      <c r="B415" s="3">
        <v>44853</v>
      </c>
      <c r="C415" s="3">
        <v>44835</v>
      </c>
      <c r="D415" t="s">
        <v>19</v>
      </c>
      <c r="E415" t="s">
        <v>462</v>
      </c>
      <c r="F415" t="s">
        <v>21</v>
      </c>
      <c r="G415" t="s">
        <v>22</v>
      </c>
      <c r="H415" t="s">
        <v>51</v>
      </c>
    </row>
    <row r="416" spans="1:8" x14ac:dyDescent="0.3">
      <c r="A416">
        <v>415</v>
      </c>
      <c r="B416" s="3">
        <v>44853</v>
      </c>
      <c r="C416" s="3">
        <v>44835</v>
      </c>
      <c r="D416" t="s">
        <v>19</v>
      </c>
      <c r="E416" t="s">
        <v>463</v>
      </c>
      <c r="F416" t="s">
        <v>25</v>
      </c>
      <c r="G416" t="s">
        <v>26</v>
      </c>
      <c r="H416" t="s">
        <v>30</v>
      </c>
    </row>
    <row r="417" spans="1:8" x14ac:dyDescent="0.3">
      <c r="A417">
        <v>416</v>
      </c>
      <c r="B417" s="3">
        <v>44854</v>
      </c>
      <c r="C417" s="3">
        <v>44835</v>
      </c>
      <c r="D417" t="s">
        <v>19</v>
      </c>
      <c r="E417" t="s">
        <v>464</v>
      </c>
      <c r="F417" t="s">
        <v>40</v>
      </c>
      <c r="G417" t="s">
        <v>48</v>
      </c>
      <c r="H417" t="s">
        <v>27</v>
      </c>
    </row>
    <row r="418" spans="1:8" x14ac:dyDescent="0.3">
      <c r="A418">
        <v>417</v>
      </c>
      <c r="B418" s="3">
        <v>44854</v>
      </c>
      <c r="C418" s="3">
        <v>44835</v>
      </c>
      <c r="D418" t="s">
        <v>19</v>
      </c>
      <c r="E418" t="s">
        <v>465</v>
      </c>
      <c r="F418" t="s">
        <v>21</v>
      </c>
      <c r="G418" t="s">
        <v>22</v>
      </c>
      <c r="H418" t="s">
        <v>30</v>
      </c>
    </row>
    <row r="419" spans="1:8" x14ac:dyDescent="0.3">
      <c r="A419">
        <v>418</v>
      </c>
      <c r="B419" s="3">
        <v>44855</v>
      </c>
      <c r="C419" s="3">
        <v>44835</v>
      </c>
      <c r="D419" t="s">
        <v>19</v>
      </c>
      <c r="E419" t="s">
        <v>466</v>
      </c>
      <c r="F419" t="s">
        <v>21</v>
      </c>
      <c r="G419" t="s">
        <v>22</v>
      </c>
      <c r="H419" t="s">
        <v>30</v>
      </c>
    </row>
    <row r="420" spans="1:8" x14ac:dyDescent="0.3">
      <c r="A420">
        <v>419</v>
      </c>
      <c r="B420" s="3">
        <v>44856</v>
      </c>
      <c r="C420" s="3">
        <v>44835</v>
      </c>
      <c r="D420" t="s">
        <v>19</v>
      </c>
      <c r="E420" t="s">
        <v>467</v>
      </c>
      <c r="F420" t="s">
        <v>25</v>
      </c>
      <c r="G420" t="s">
        <v>345</v>
      </c>
      <c r="H420" t="s">
        <v>30</v>
      </c>
    </row>
    <row r="421" spans="1:8" x14ac:dyDescent="0.3">
      <c r="A421">
        <v>420</v>
      </c>
      <c r="B421" s="3">
        <v>44859</v>
      </c>
      <c r="C421" s="3">
        <v>44835</v>
      </c>
      <c r="D421" t="s">
        <v>19</v>
      </c>
      <c r="E421" t="s">
        <v>468</v>
      </c>
      <c r="F421" t="s">
        <v>25</v>
      </c>
      <c r="G421" t="s">
        <v>26</v>
      </c>
      <c r="H421" t="s">
        <v>23</v>
      </c>
    </row>
    <row r="422" spans="1:8" x14ac:dyDescent="0.3">
      <c r="A422">
        <v>421</v>
      </c>
      <c r="B422" s="3">
        <v>44860</v>
      </c>
      <c r="C422" s="3">
        <v>44835</v>
      </c>
      <c r="D422" t="s">
        <v>19</v>
      </c>
      <c r="E422" t="s">
        <v>469</v>
      </c>
      <c r="F422" t="s">
        <v>32</v>
      </c>
      <c r="G422" t="s">
        <v>33</v>
      </c>
      <c r="H422" t="s">
        <v>27</v>
      </c>
    </row>
    <row r="423" spans="1:8" x14ac:dyDescent="0.3">
      <c r="A423">
        <v>422</v>
      </c>
      <c r="B423" s="3">
        <v>44860</v>
      </c>
      <c r="C423" s="3">
        <v>44835</v>
      </c>
      <c r="D423" t="s">
        <v>19</v>
      </c>
      <c r="E423" t="s">
        <v>470</v>
      </c>
      <c r="F423" t="s">
        <v>25</v>
      </c>
      <c r="G423" t="s">
        <v>26</v>
      </c>
      <c r="H423" t="s">
        <v>27</v>
      </c>
    </row>
    <row r="424" spans="1:8" x14ac:dyDescent="0.3">
      <c r="A424">
        <v>423</v>
      </c>
      <c r="B424" s="3">
        <v>44860</v>
      </c>
      <c r="C424" s="3">
        <v>44835</v>
      </c>
      <c r="D424" t="s">
        <v>19</v>
      </c>
      <c r="E424" t="s">
        <v>471</v>
      </c>
      <c r="F424" t="s">
        <v>21</v>
      </c>
      <c r="G424" t="s">
        <v>22</v>
      </c>
      <c r="H424" t="s">
        <v>30</v>
      </c>
    </row>
    <row r="425" spans="1:8" x14ac:dyDescent="0.3">
      <c r="A425">
        <v>424</v>
      </c>
      <c r="B425" s="3">
        <v>44861</v>
      </c>
      <c r="C425" s="3">
        <v>44835</v>
      </c>
      <c r="D425" t="s">
        <v>19</v>
      </c>
      <c r="E425" t="s">
        <v>472</v>
      </c>
      <c r="F425" t="s">
        <v>21</v>
      </c>
      <c r="G425" t="s">
        <v>22</v>
      </c>
      <c r="H425" t="s">
        <v>51</v>
      </c>
    </row>
    <row r="426" spans="1:8" x14ac:dyDescent="0.3">
      <c r="A426">
        <v>425</v>
      </c>
      <c r="B426" s="3">
        <v>44861</v>
      </c>
      <c r="C426" s="3">
        <v>44835</v>
      </c>
      <c r="D426" t="s">
        <v>19</v>
      </c>
      <c r="E426" t="s">
        <v>473</v>
      </c>
      <c r="F426" t="s">
        <v>25</v>
      </c>
      <c r="G426" t="s">
        <v>345</v>
      </c>
      <c r="H426" t="s">
        <v>27</v>
      </c>
    </row>
    <row r="427" spans="1:8" x14ac:dyDescent="0.3">
      <c r="A427">
        <v>426</v>
      </c>
      <c r="B427" s="3">
        <v>44861</v>
      </c>
      <c r="C427" s="3">
        <v>44835</v>
      </c>
      <c r="D427" t="s">
        <v>19</v>
      </c>
      <c r="E427" t="s">
        <v>474</v>
      </c>
      <c r="F427" t="s">
        <v>25</v>
      </c>
      <c r="G427" t="s">
        <v>317</v>
      </c>
      <c r="H427" t="s">
        <v>30</v>
      </c>
    </row>
    <row r="428" spans="1:8" x14ac:dyDescent="0.3">
      <c r="A428">
        <v>427</v>
      </c>
      <c r="B428" s="3">
        <v>44862</v>
      </c>
      <c r="C428" s="3">
        <v>44835</v>
      </c>
      <c r="D428" t="s">
        <v>19</v>
      </c>
      <c r="E428" t="s">
        <v>475</v>
      </c>
      <c r="F428" t="s">
        <v>21</v>
      </c>
      <c r="G428" t="s">
        <v>29</v>
      </c>
      <c r="H428" t="s">
        <v>23</v>
      </c>
    </row>
    <row r="429" spans="1:8" x14ac:dyDescent="0.3">
      <c r="A429">
        <v>428</v>
      </c>
      <c r="B429" s="3">
        <v>44862</v>
      </c>
      <c r="C429" s="3">
        <v>44835</v>
      </c>
      <c r="D429" t="s">
        <v>19</v>
      </c>
      <c r="E429" t="s">
        <v>476</v>
      </c>
      <c r="F429" t="s">
        <v>21</v>
      </c>
      <c r="G429" t="s">
        <v>22</v>
      </c>
      <c r="H429" t="s">
        <v>51</v>
      </c>
    </row>
    <row r="430" spans="1:8" x14ac:dyDescent="0.3">
      <c r="A430">
        <v>429</v>
      </c>
      <c r="B430" s="3">
        <v>44863</v>
      </c>
      <c r="C430" s="3">
        <v>44835</v>
      </c>
      <c r="D430" t="s">
        <v>19</v>
      </c>
      <c r="E430" t="s">
        <v>477</v>
      </c>
      <c r="F430" t="s">
        <v>21</v>
      </c>
      <c r="G430" t="s">
        <v>22</v>
      </c>
      <c r="H430" t="s">
        <v>30</v>
      </c>
    </row>
    <row r="431" spans="1:8" x14ac:dyDescent="0.3">
      <c r="A431">
        <v>430</v>
      </c>
      <c r="B431" s="3">
        <v>44863</v>
      </c>
      <c r="C431" s="3">
        <v>44835</v>
      </c>
      <c r="D431" t="s">
        <v>19</v>
      </c>
      <c r="E431" t="s">
        <v>478</v>
      </c>
      <c r="F431" t="s">
        <v>25</v>
      </c>
      <c r="G431" t="s">
        <v>317</v>
      </c>
      <c r="H431" t="s">
        <v>27</v>
      </c>
    </row>
    <row r="432" spans="1:8" x14ac:dyDescent="0.3">
      <c r="A432">
        <v>431</v>
      </c>
      <c r="B432" s="3">
        <v>44863</v>
      </c>
      <c r="C432" s="3">
        <v>44835</v>
      </c>
      <c r="D432" t="s">
        <v>19</v>
      </c>
      <c r="E432" t="s">
        <v>479</v>
      </c>
      <c r="F432" t="s">
        <v>21</v>
      </c>
      <c r="G432" t="s">
        <v>41</v>
      </c>
      <c r="H432" t="s">
        <v>27</v>
      </c>
    </row>
    <row r="433" spans="1:8" x14ac:dyDescent="0.3">
      <c r="A433">
        <v>432</v>
      </c>
      <c r="B433" s="3">
        <v>44863</v>
      </c>
      <c r="C433" s="3">
        <v>44835</v>
      </c>
      <c r="D433" t="s">
        <v>19</v>
      </c>
      <c r="E433" t="s">
        <v>480</v>
      </c>
      <c r="F433" t="s">
        <v>32</v>
      </c>
      <c r="G433" t="s">
        <v>33</v>
      </c>
      <c r="H433" t="s">
        <v>30</v>
      </c>
    </row>
    <row r="434" spans="1:8" x14ac:dyDescent="0.3">
      <c r="A434">
        <v>433</v>
      </c>
      <c r="B434" s="3">
        <v>44865</v>
      </c>
      <c r="C434" s="3">
        <v>44835</v>
      </c>
      <c r="D434" t="s">
        <v>19</v>
      </c>
      <c r="E434" t="s">
        <v>481</v>
      </c>
      <c r="F434" t="s">
        <v>21</v>
      </c>
      <c r="G434" t="s">
        <v>22</v>
      </c>
      <c r="H434" t="s">
        <v>30</v>
      </c>
    </row>
    <row r="435" spans="1:8" x14ac:dyDescent="0.3">
      <c r="A435">
        <v>434</v>
      </c>
      <c r="B435" s="3">
        <v>44865</v>
      </c>
      <c r="C435" s="3">
        <v>44835</v>
      </c>
      <c r="D435" t="s">
        <v>19</v>
      </c>
      <c r="E435" t="s">
        <v>482</v>
      </c>
      <c r="F435" t="s">
        <v>40</v>
      </c>
      <c r="G435" t="s">
        <v>58</v>
      </c>
      <c r="H435" t="s">
        <v>27</v>
      </c>
    </row>
    <row r="436" spans="1:8" x14ac:dyDescent="0.3">
      <c r="A436">
        <v>435</v>
      </c>
      <c r="B436" s="3">
        <v>44865</v>
      </c>
      <c r="C436" s="3">
        <v>44835</v>
      </c>
      <c r="D436" t="s">
        <v>19</v>
      </c>
      <c r="E436" t="s">
        <v>483</v>
      </c>
      <c r="F436" t="s">
        <v>25</v>
      </c>
      <c r="G436" t="s">
        <v>345</v>
      </c>
      <c r="H436" t="s">
        <v>27</v>
      </c>
    </row>
    <row r="437" spans="1:8" x14ac:dyDescent="0.3">
      <c r="A437">
        <v>436</v>
      </c>
      <c r="B437" s="3">
        <v>44865</v>
      </c>
      <c r="C437" s="3">
        <v>44835</v>
      </c>
      <c r="D437" t="s">
        <v>19</v>
      </c>
      <c r="E437" t="s">
        <v>484</v>
      </c>
      <c r="F437" t="s">
        <v>40</v>
      </c>
      <c r="G437" t="s">
        <v>48</v>
      </c>
      <c r="H437" t="s">
        <v>30</v>
      </c>
    </row>
    <row r="438" spans="1:8" x14ac:dyDescent="0.3">
      <c r="A438">
        <v>437</v>
      </c>
      <c r="B438" s="3">
        <v>44865</v>
      </c>
      <c r="C438" s="3">
        <v>44835</v>
      </c>
      <c r="D438" t="s">
        <v>19</v>
      </c>
      <c r="E438" t="s">
        <v>485</v>
      </c>
      <c r="F438" t="s">
        <v>21</v>
      </c>
      <c r="G438" t="s">
        <v>264</v>
      </c>
      <c r="H438" t="s">
        <v>27</v>
      </c>
    </row>
    <row r="439" spans="1:8" x14ac:dyDescent="0.3">
      <c r="A439">
        <v>438</v>
      </c>
      <c r="B439" s="3">
        <v>44865</v>
      </c>
      <c r="C439" s="3">
        <v>44835</v>
      </c>
      <c r="D439" t="s">
        <v>19</v>
      </c>
      <c r="E439" t="s">
        <v>486</v>
      </c>
      <c r="F439" t="s">
        <v>25</v>
      </c>
      <c r="G439" t="s">
        <v>317</v>
      </c>
      <c r="H439" t="s">
        <v>234</v>
      </c>
    </row>
    <row r="440" spans="1:8" x14ac:dyDescent="0.3">
      <c r="A440">
        <v>439</v>
      </c>
      <c r="B440" s="3">
        <v>44865</v>
      </c>
      <c r="C440" s="3">
        <v>44835</v>
      </c>
      <c r="D440" t="s">
        <v>19</v>
      </c>
      <c r="E440" t="s">
        <v>487</v>
      </c>
      <c r="F440" t="s">
        <v>25</v>
      </c>
      <c r="G440" t="s">
        <v>345</v>
      </c>
      <c r="H440" t="s">
        <v>30</v>
      </c>
    </row>
    <row r="441" spans="1:8" x14ac:dyDescent="0.3">
      <c r="A441">
        <v>440</v>
      </c>
      <c r="B441" s="3">
        <v>44865</v>
      </c>
      <c r="C441" s="3">
        <v>44835</v>
      </c>
      <c r="D441" t="s">
        <v>19</v>
      </c>
      <c r="E441" t="s">
        <v>488</v>
      </c>
      <c r="F441" t="s">
        <v>40</v>
      </c>
      <c r="G441" t="s">
        <v>75</v>
      </c>
      <c r="H441" t="s">
        <v>30</v>
      </c>
    </row>
    <row r="442" spans="1:8" x14ac:dyDescent="0.3">
      <c r="A442">
        <v>441</v>
      </c>
      <c r="B442" s="3">
        <v>44873</v>
      </c>
      <c r="C442" s="3">
        <v>44866</v>
      </c>
      <c r="D442" t="s">
        <v>19</v>
      </c>
      <c r="E442" t="s">
        <v>489</v>
      </c>
      <c r="F442" t="s">
        <v>21</v>
      </c>
      <c r="G442" t="s">
        <v>22</v>
      </c>
      <c r="H442" t="s">
        <v>30</v>
      </c>
    </row>
    <row r="443" spans="1:8" x14ac:dyDescent="0.3">
      <c r="A443">
        <v>442</v>
      </c>
      <c r="B443" s="3">
        <v>44873</v>
      </c>
      <c r="C443" s="3">
        <v>44866</v>
      </c>
      <c r="D443" t="s">
        <v>19</v>
      </c>
      <c r="E443" t="s">
        <v>490</v>
      </c>
      <c r="F443" t="s">
        <v>25</v>
      </c>
      <c r="G443" t="s">
        <v>26</v>
      </c>
      <c r="H443" t="s">
        <v>30</v>
      </c>
    </row>
    <row r="444" spans="1:8" x14ac:dyDescent="0.3">
      <c r="A444">
        <v>443</v>
      </c>
      <c r="B444" s="3">
        <v>44875</v>
      </c>
      <c r="C444" s="3">
        <v>44866</v>
      </c>
      <c r="D444" t="s">
        <v>19</v>
      </c>
      <c r="E444" t="s">
        <v>491</v>
      </c>
      <c r="F444" t="s">
        <v>21</v>
      </c>
      <c r="G444" t="s">
        <v>22</v>
      </c>
      <c r="H444" t="s">
        <v>23</v>
      </c>
    </row>
    <row r="445" spans="1:8" x14ac:dyDescent="0.3">
      <c r="A445">
        <v>444</v>
      </c>
      <c r="B445" s="3">
        <v>44877</v>
      </c>
      <c r="C445" s="3">
        <v>44866</v>
      </c>
      <c r="D445" t="s">
        <v>19</v>
      </c>
      <c r="E445" t="s">
        <v>492</v>
      </c>
      <c r="F445" t="s">
        <v>32</v>
      </c>
      <c r="G445" t="s">
        <v>33</v>
      </c>
      <c r="H445" t="s">
        <v>23</v>
      </c>
    </row>
    <row r="446" spans="1:8" x14ac:dyDescent="0.3">
      <c r="A446">
        <v>445</v>
      </c>
      <c r="B446" s="3">
        <v>44879</v>
      </c>
      <c r="C446" s="3">
        <v>44866</v>
      </c>
      <c r="D446" t="s">
        <v>19</v>
      </c>
      <c r="E446" t="s">
        <v>493</v>
      </c>
      <c r="F446" t="s">
        <v>21</v>
      </c>
      <c r="G446" t="s">
        <v>33</v>
      </c>
      <c r="H446" t="s">
        <v>30</v>
      </c>
    </row>
    <row r="447" spans="1:8" x14ac:dyDescent="0.3">
      <c r="A447">
        <v>446</v>
      </c>
      <c r="B447" s="3">
        <v>44880</v>
      </c>
      <c r="C447" s="3">
        <v>44866</v>
      </c>
      <c r="D447" t="s">
        <v>19</v>
      </c>
      <c r="E447" t="s">
        <v>494</v>
      </c>
      <c r="F447" t="s">
        <v>21</v>
      </c>
      <c r="G447" t="s">
        <v>22</v>
      </c>
      <c r="H447" t="s">
        <v>30</v>
      </c>
    </row>
    <row r="448" spans="1:8" x14ac:dyDescent="0.3">
      <c r="A448">
        <v>447</v>
      </c>
      <c r="B448" s="3">
        <v>44881</v>
      </c>
      <c r="C448" s="3">
        <v>44866</v>
      </c>
      <c r="D448" t="s">
        <v>19</v>
      </c>
      <c r="E448" t="s">
        <v>495</v>
      </c>
      <c r="F448" t="s">
        <v>21</v>
      </c>
      <c r="G448" t="s">
        <v>22</v>
      </c>
      <c r="H448" t="s">
        <v>23</v>
      </c>
    </row>
    <row r="449" spans="1:8" x14ac:dyDescent="0.3">
      <c r="A449">
        <v>448</v>
      </c>
      <c r="B449" s="3">
        <v>44881</v>
      </c>
      <c r="C449" s="3">
        <v>44866</v>
      </c>
      <c r="D449" t="s">
        <v>19</v>
      </c>
      <c r="E449" t="s">
        <v>496</v>
      </c>
      <c r="F449" t="s">
        <v>21</v>
      </c>
      <c r="G449" t="s">
        <v>29</v>
      </c>
      <c r="H449" t="s">
        <v>51</v>
      </c>
    </row>
    <row r="450" spans="1:8" x14ac:dyDescent="0.3">
      <c r="A450">
        <v>449</v>
      </c>
      <c r="B450" s="3">
        <v>44881</v>
      </c>
      <c r="C450" s="3">
        <v>44866</v>
      </c>
      <c r="D450" t="s">
        <v>19</v>
      </c>
      <c r="E450" t="s">
        <v>497</v>
      </c>
      <c r="F450" t="s">
        <v>21</v>
      </c>
      <c r="G450" t="s">
        <v>29</v>
      </c>
      <c r="H450" t="s">
        <v>51</v>
      </c>
    </row>
    <row r="451" spans="1:8" x14ac:dyDescent="0.3">
      <c r="A451">
        <v>450</v>
      </c>
      <c r="B451" s="3">
        <v>44883</v>
      </c>
      <c r="C451" s="3">
        <v>44866</v>
      </c>
      <c r="D451" t="s">
        <v>19</v>
      </c>
      <c r="E451" t="s">
        <v>498</v>
      </c>
      <c r="F451" t="s">
        <v>25</v>
      </c>
      <c r="G451" t="s">
        <v>26</v>
      </c>
      <c r="H451" t="s">
        <v>51</v>
      </c>
    </row>
    <row r="452" spans="1:8" x14ac:dyDescent="0.3">
      <c r="A452">
        <v>451</v>
      </c>
      <c r="B452" s="3">
        <v>44883</v>
      </c>
      <c r="C452" s="3">
        <v>44866</v>
      </c>
      <c r="D452" t="s">
        <v>19</v>
      </c>
      <c r="E452" t="s">
        <v>499</v>
      </c>
      <c r="F452" t="s">
        <v>25</v>
      </c>
      <c r="G452" t="s">
        <v>317</v>
      </c>
      <c r="H452" t="s">
        <v>30</v>
      </c>
    </row>
    <row r="453" spans="1:8" x14ac:dyDescent="0.3">
      <c r="A453">
        <v>452</v>
      </c>
      <c r="B453" s="3">
        <v>44883</v>
      </c>
      <c r="C453" s="3">
        <v>44866</v>
      </c>
      <c r="D453" t="s">
        <v>19</v>
      </c>
      <c r="E453" t="s">
        <v>500</v>
      </c>
      <c r="F453" t="s">
        <v>40</v>
      </c>
      <c r="G453" t="s">
        <v>75</v>
      </c>
      <c r="H453" t="s">
        <v>30</v>
      </c>
    </row>
    <row r="454" spans="1:8" x14ac:dyDescent="0.3">
      <c r="A454">
        <v>453</v>
      </c>
      <c r="B454" s="3">
        <v>44884</v>
      </c>
      <c r="C454" s="3">
        <v>44866</v>
      </c>
      <c r="D454" t="s">
        <v>19</v>
      </c>
      <c r="E454" t="s">
        <v>501</v>
      </c>
      <c r="F454" t="s">
        <v>21</v>
      </c>
      <c r="G454" t="s">
        <v>33</v>
      </c>
      <c r="H454" t="s">
        <v>30</v>
      </c>
    </row>
    <row r="455" spans="1:8" x14ac:dyDescent="0.3">
      <c r="A455">
        <v>454</v>
      </c>
      <c r="B455" s="3">
        <v>44884</v>
      </c>
      <c r="C455" s="3">
        <v>44866</v>
      </c>
      <c r="D455" t="s">
        <v>19</v>
      </c>
      <c r="E455" t="s">
        <v>502</v>
      </c>
      <c r="F455" t="s">
        <v>25</v>
      </c>
      <c r="G455" t="s">
        <v>317</v>
      </c>
      <c r="H455" t="s">
        <v>27</v>
      </c>
    </row>
    <row r="456" spans="1:8" x14ac:dyDescent="0.3">
      <c r="A456">
        <v>455</v>
      </c>
      <c r="B456" s="3">
        <v>44884</v>
      </c>
      <c r="C456" s="3">
        <v>44866</v>
      </c>
      <c r="D456" t="s">
        <v>19</v>
      </c>
      <c r="E456" t="s">
        <v>503</v>
      </c>
      <c r="F456" t="s">
        <v>40</v>
      </c>
      <c r="G456" t="s">
        <v>58</v>
      </c>
      <c r="H456" t="s">
        <v>30</v>
      </c>
    </row>
    <row r="457" spans="1:8" x14ac:dyDescent="0.3">
      <c r="A457">
        <v>456</v>
      </c>
      <c r="B457" s="3">
        <v>44886</v>
      </c>
      <c r="C457" s="3">
        <v>44866</v>
      </c>
      <c r="D457" t="s">
        <v>19</v>
      </c>
      <c r="E457" t="s">
        <v>504</v>
      </c>
      <c r="F457" t="s">
        <v>40</v>
      </c>
      <c r="G457" t="s">
        <v>58</v>
      </c>
      <c r="H457" t="s">
        <v>30</v>
      </c>
    </row>
    <row r="458" spans="1:8" x14ac:dyDescent="0.3">
      <c r="A458">
        <v>457</v>
      </c>
      <c r="B458" s="3">
        <v>44887</v>
      </c>
      <c r="C458" s="3">
        <v>44866</v>
      </c>
      <c r="D458" t="s">
        <v>19</v>
      </c>
      <c r="E458" t="s">
        <v>505</v>
      </c>
      <c r="F458" t="s">
        <v>21</v>
      </c>
      <c r="G458" t="s">
        <v>22</v>
      </c>
      <c r="H458" t="s">
        <v>27</v>
      </c>
    </row>
    <row r="459" spans="1:8" x14ac:dyDescent="0.3">
      <c r="A459">
        <v>458</v>
      </c>
      <c r="B459" s="3">
        <v>44888</v>
      </c>
      <c r="C459" s="3">
        <v>44866</v>
      </c>
      <c r="D459" t="s">
        <v>19</v>
      </c>
      <c r="E459" t="s">
        <v>506</v>
      </c>
      <c r="F459" t="s">
        <v>21</v>
      </c>
      <c r="G459" t="s">
        <v>29</v>
      </c>
      <c r="H459" t="s">
        <v>30</v>
      </c>
    </row>
    <row r="460" spans="1:8" x14ac:dyDescent="0.3">
      <c r="A460">
        <v>459</v>
      </c>
      <c r="B460" s="3">
        <v>44889</v>
      </c>
      <c r="C460" s="3">
        <v>44866</v>
      </c>
      <c r="D460" t="s">
        <v>19</v>
      </c>
      <c r="E460" t="s">
        <v>507</v>
      </c>
      <c r="F460" t="s">
        <v>21</v>
      </c>
      <c r="G460" t="s">
        <v>22</v>
      </c>
      <c r="H460" t="s">
        <v>27</v>
      </c>
    </row>
    <row r="461" spans="1:8" x14ac:dyDescent="0.3">
      <c r="A461">
        <v>460</v>
      </c>
      <c r="B461" s="3">
        <v>44889</v>
      </c>
      <c r="C461" s="3">
        <v>44866</v>
      </c>
      <c r="D461" t="s">
        <v>19</v>
      </c>
      <c r="E461" t="s">
        <v>508</v>
      </c>
      <c r="F461" t="s">
        <v>40</v>
      </c>
      <c r="G461" t="s">
        <v>48</v>
      </c>
      <c r="H461" t="s">
        <v>236</v>
      </c>
    </row>
    <row r="462" spans="1:8" x14ac:dyDescent="0.3">
      <c r="A462">
        <v>461</v>
      </c>
      <c r="B462" s="3">
        <v>44889</v>
      </c>
      <c r="C462" s="3">
        <v>44866</v>
      </c>
      <c r="D462" t="s">
        <v>19</v>
      </c>
      <c r="E462" t="s">
        <v>509</v>
      </c>
      <c r="F462" t="s">
        <v>25</v>
      </c>
      <c r="G462" t="s">
        <v>26</v>
      </c>
      <c r="H462" t="s">
        <v>30</v>
      </c>
    </row>
    <row r="463" spans="1:8" x14ac:dyDescent="0.3">
      <c r="A463">
        <v>462</v>
      </c>
      <c r="B463" s="3">
        <v>44891</v>
      </c>
      <c r="C463" s="3">
        <v>44866</v>
      </c>
      <c r="D463" t="s">
        <v>19</v>
      </c>
      <c r="E463" t="s">
        <v>510</v>
      </c>
      <c r="F463" t="s">
        <v>32</v>
      </c>
      <c r="G463" t="s">
        <v>33</v>
      </c>
      <c r="H463" t="s">
        <v>23</v>
      </c>
    </row>
    <row r="464" spans="1:8" x14ac:dyDescent="0.3">
      <c r="A464">
        <v>463</v>
      </c>
      <c r="B464" s="3">
        <v>44891</v>
      </c>
      <c r="C464" s="3">
        <v>44866</v>
      </c>
      <c r="D464" t="s">
        <v>19</v>
      </c>
      <c r="E464" t="s">
        <v>511</v>
      </c>
      <c r="F464" t="s">
        <v>21</v>
      </c>
      <c r="G464" t="s">
        <v>22</v>
      </c>
      <c r="H464" t="s">
        <v>30</v>
      </c>
    </row>
    <row r="465" spans="1:8" x14ac:dyDescent="0.3">
      <c r="A465">
        <v>464</v>
      </c>
      <c r="B465" s="3">
        <v>44893</v>
      </c>
      <c r="C465" s="3">
        <v>44866</v>
      </c>
      <c r="D465" t="s">
        <v>19</v>
      </c>
      <c r="E465" t="s">
        <v>512</v>
      </c>
      <c r="F465" t="s">
        <v>21</v>
      </c>
      <c r="G465" t="s">
        <v>29</v>
      </c>
      <c r="H465" t="s">
        <v>51</v>
      </c>
    </row>
    <row r="466" spans="1:8" x14ac:dyDescent="0.3">
      <c r="A466">
        <v>465</v>
      </c>
      <c r="B466" s="3">
        <v>44893</v>
      </c>
      <c r="C466" s="3">
        <v>44866</v>
      </c>
      <c r="D466" t="s">
        <v>19</v>
      </c>
      <c r="E466" t="s">
        <v>513</v>
      </c>
      <c r="F466" t="s">
        <v>25</v>
      </c>
      <c r="G466" t="s">
        <v>26</v>
      </c>
      <c r="H466" t="s">
        <v>51</v>
      </c>
    </row>
    <row r="467" spans="1:8" x14ac:dyDescent="0.3">
      <c r="A467">
        <v>466</v>
      </c>
      <c r="B467" s="3">
        <v>44894</v>
      </c>
      <c r="C467" s="3">
        <v>44866</v>
      </c>
      <c r="D467" t="s">
        <v>19</v>
      </c>
      <c r="E467" t="s">
        <v>514</v>
      </c>
      <c r="F467" t="s">
        <v>40</v>
      </c>
      <c r="G467" t="s">
        <v>48</v>
      </c>
      <c r="H467" t="s">
        <v>30</v>
      </c>
    </row>
    <row r="468" spans="1:8" x14ac:dyDescent="0.3">
      <c r="A468">
        <v>467</v>
      </c>
      <c r="B468" s="3">
        <v>44895</v>
      </c>
      <c r="C468" s="3">
        <v>44866</v>
      </c>
      <c r="D468" t="s">
        <v>19</v>
      </c>
      <c r="E468" t="s">
        <v>515</v>
      </c>
      <c r="F468" t="s">
        <v>32</v>
      </c>
      <c r="G468" t="s">
        <v>33</v>
      </c>
      <c r="H468" t="s">
        <v>27</v>
      </c>
    </row>
    <row r="469" spans="1:8" x14ac:dyDescent="0.3">
      <c r="A469">
        <v>468</v>
      </c>
      <c r="B469" s="3">
        <v>44895</v>
      </c>
      <c r="C469" s="3">
        <v>44866</v>
      </c>
      <c r="D469" t="s">
        <v>19</v>
      </c>
      <c r="E469" t="s">
        <v>516</v>
      </c>
      <c r="F469" t="s">
        <v>21</v>
      </c>
      <c r="G469" t="s">
        <v>22</v>
      </c>
      <c r="H469" t="s">
        <v>23</v>
      </c>
    </row>
    <row r="470" spans="1:8" x14ac:dyDescent="0.3">
      <c r="A470">
        <v>469</v>
      </c>
      <c r="B470" s="3">
        <v>44895</v>
      </c>
      <c r="C470" s="3">
        <v>44866</v>
      </c>
      <c r="D470" t="s">
        <v>19</v>
      </c>
      <c r="E470" t="s">
        <v>517</v>
      </c>
      <c r="F470" t="s">
        <v>40</v>
      </c>
      <c r="G470" t="s">
        <v>48</v>
      </c>
      <c r="H470" t="s">
        <v>30</v>
      </c>
    </row>
    <row r="471" spans="1:8" x14ac:dyDescent="0.3">
      <c r="A471">
        <v>470</v>
      </c>
      <c r="B471" s="3">
        <v>44895</v>
      </c>
      <c r="C471" s="3">
        <v>44866</v>
      </c>
      <c r="D471" t="s">
        <v>19</v>
      </c>
      <c r="E471" t="s">
        <v>518</v>
      </c>
      <c r="F471" t="s">
        <v>21</v>
      </c>
      <c r="G471" t="s">
        <v>22</v>
      </c>
      <c r="H471" t="s">
        <v>30</v>
      </c>
    </row>
    <row r="472" spans="1:8" x14ac:dyDescent="0.3">
      <c r="A472">
        <v>471</v>
      </c>
      <c r="B472" s="3">
        <v>44896</v>
      </c>
      <c r="C472" s="3">
        <v>44896</v>
      </c>
      <c r="D472" t="s">
        <v>19</v>
      </c>
      <c r="E472" t="s">
        <v>519</v>
      </c>
      <c r="F472" t="s">
        <v>25</v>
      </c>
      <c r="G472" t="s">
        <v>26</v>
      </c>
      <c r="H472" t="s">
        <v>27</v>
      </c>
    </row>
    <row r="473" spans="1:8" x14ac:dyDescent="0.3">
      <c r="A473">
        <v>472</v>
      </c>
      <c r="B473" s="3">
        <v>44896</v>
      </c>
      <c r="C473" s="3">
        <v>44896</v>
      </c>
      <c r="D473" t="s">
        <v>19</v>
      </c>
      <c r="E473" t="s">
        <v>520</v>
      </c>
      <c r="F473" t="s">
        <v>25</v>
      </c>
      <c r="G473" t="s">
        <v>26</v>
      </c>
      <c r="H473" t="s">
        <v>27</v>
      </c>
    </row>
    <row r="474" spans="1:8" x14ac:dyDescent="0.3">
      <c r="A474">
        <v>473</v>
      </c>
      <c r="B474" s="3">
        <v>44896</v>
      </c>
      <c r="C474" s="3">
        <v>44896</v>
      </c>
      <c r="D474" t="s">
        <v>19</v>
      </c>
      <c r="E474" t="s">
        <v>521</v>
      </c>
      <c r="F474" t="s">
        <v>21</v>
      </c>
      <c r="G474" t="s">
        <v>29</v>
      </c>
      <c r="H474" t="s">
        <v>30</v>
      </c>
    </row>
    <row r="475" spans="1:8" x14ac:dyDescent="0.3">
      <c r="A475">
        <v>474</v>
      </c>
      <c r="B475" s="3">
        <v>44900</v>
      </c>
      <c r="C475" s="3">
        <v>44896</v>
      </c>
      <c r="D475" t="s">
        <v>19</v>
      </c>
      <c r="E475" t="s">
        <v>522</v>
      </c>
      <c r="F475" t="s">
        <v>21</v>
      </c>
      <c r="G475" t="s">
        <v>22</v>
      </c>
      <c r="H475" t="s">
        <v>30</v>
      </c>
    </row>
    <row r="476" spans="1:8" x14ac:dyDescent="0.3">
      <c r="A476">
        <v>475</v>
      </c>
      <c r="B476" s="3">
        <v>44907</v>
      </c>
      <c r="C476" s="3">
        <v>44896</v>
      </c>
      <c r="D476" t="s">
        <v>19</v>
      </c>
      <c r="E476" t="s">
        <v>523</v>
      </c>
      <c r="F476" t="s">
        <v>21</v>
      </c>
      <c r="G476" t="s">
        <v>33</v>
      </c>
      <c r="H476" t="s">
        <v>30</v>
      </c>
    </row>
    <row r="477" spans="1:8" x14ac:dyDescent="0.3">
      <c r="A477">
        <v>476</v>
      </c>
      <c r="B477" s="3">
        <v>44904</v>
      </c>
      <c r="C477" s="3">
        <v>44896</v>
      </c>
      <c r="D477" t="s">
        <v>19</v>
      </c>
      <c r="E477" t="s">
        <v>524</v>
      </c>
      <c r="F477" t="s">
        <v>40</v>
      </c>
      <c r="G477" t="s">
        <v>75</v>
      </c>
      <c r="H477" t="s">
        <v>30</v>
      </c>
    </row>
    <row r="478" spans="1:8" x14ac:dyDescent="0.3">
      <c r="A478">
        <v>477</v>
      </c>
      <c r="B478" s="3">
        <v>44908</v>
      </c>
      <c r="C478" s="3">
        <v>44896</v>
      </c>
      <c r="D478" t="s">
        <v>19</v>
      </c>
      <c r="E478" t="s">
        <v>525</v>
      </c>
      <c r="F478" t="s">
        <v>25</v>
      </c>
      <c r="G478" t="s">
        <v>345</v>
      </c>
      <c r="H478" t="s">
        <v>30</v>
      </c>
    </row>
    <row r="479" spans="1:8" x14ac:dyDescent="0.3">
      <c r="A479">
        <v>478</v>
      </c>
      <c r="B479" s="3">
        <v>44909</v>
      </c>
      <c r="C479" s="3">
        <v>44896</v>
      </c>
      <c r="D479" t="s">
        <v>19</v>
      </c>
      <c r="E479" t="s">
        <v>526</v>
      </c>
      <c r="F479" t="s">
        <v>21</v>
      </c>
      <c r="G479" t="s">
        <v>22</v>
      </c>
      <c r="H479" t="s">
        <v>30</v>
      </c>
    </row>
    <row r="480" spans="1:8" x14ac:dyDescent="0.3">
      <c r="A480">
        <v>479</v>
      </c>
      <c r="B480" s="3">
        <v>44910</v>
      </c>
      <c r="C480" s="3">
        <v>44896</v>
      </c>
      <c r="D480" t="s">
        <v>19</v>
      </c>
      <c r="E480" t="s">
        <v>527</v>
      </c>
      <c r="F480" t="s">
        <v>21</v>
      </c>
      <c r="G480" t="s">
        <v>33</v>
      </c>
      <c r="H480" t="s">
        <v>27</v>
      </c>
    </row>
    <row r="481" spans="1:8" x14ac:dyDescent="0.3">
      <c r="A481">
        <v>480</v>
      </c>
      <c r="B481" s="3">
        <v>44910</v>
      </c>
      <c r="C481" s="3">
        <v>44896</v>
      </c>
      <c r="D481" t="s">
        <v>19</v>
      </c>
      <c r="E481" t="s">
        <v>528</v>
      </c>
      <c r="F481" t="s">
        <v>21</v>
      </c>
      <c r="G481" t="s">
        <v>22</v>
      </c>
      <c r="H481" t="s">
        <v>30</v>
      </c>
    </row>
    <row r="482" spans="1:8" x14ac:dyDescent="0.3">
      <c r="A482">
        <v>481</v>
      </c>
      <c r="B482" s="3">
        <v>44910</v>
      </c>
      <c r="C482" s="3">
        <v>44896</v>
      </c>
      <c r="D482" t="s">
        <v>19</v>
      </c>
      <c r="E482" t="s">
        <v>529</v>
      </c>
      <c r="F482" t="s">
        <v>32</v>
      </c>
      <c r="G482" t="s">
        <v>33</v>
      </c>
      <c r="H482" t="s">
        <v>30</v>
      </c>
    </row>
    <row r="483" spans="1:8" x14ac:dyDescent="0.3">
      <c r="A483">
        <v>482</v>
      </c>
      <c r="B483" s="3">
        <v>44911</v>
      </c>
      <c r="C483" s="3">
        <v>44896</v>
      </c>
      <c r="D483" t="s">
        <v>19</v>
      </c>
      <c r="E483" t="s">
        <v>530</v>
      </c>
      <c r="F483" t="s">
        <v>25</v>
      </c>
      <c r="G483" t="s">
        <v>26</v>
      </c>
      <c r="H483" t="s">
        <v>30</v>
      </c>
    </row>
    <row r="484" spans="1:8" x14ac:dyDescent="0.3">
      <c r="A484">
        <v>483</v>
      </c>
      <c r="B484" s="3">
        <v>44912</v>
      </c>
      <c r="C484" s="3">
        <v>44896</v>
      </c>
      <c r="D484" t="s">
        <v>19</v>
      </c>
      <c r="E484" t="s">
        <v>531</v>
      </c>
      <c r="F484" t="s">
        <v>21</v>
      </c>
      <c r="G484" t="s">
        <v>29</v>
      </c>
      <c r="H484" t="s">
        <v>30</v>
      </c>
    </row>
    <row r="485" spans="1:8" x14ac:dyDescent="0.3">
      <c r="A485">
        <v>484</v>
      </c>
      <c r="B485" s="3">
        <v>44912</v>
      </c>
      <c r="C485" s="3">
        <v>44896</v>
      </c>
      <c r="D485" t="s">
        <v>19</v>
      </c>
      <c r="E485" t="s">
        <v>532</v>
      </c>
      <c r="F485" t="s">
        <v>32</v>
      </c>
      <c r="G485" t="s">
        <v>33</v>
      </c>
      <c r="H485" t="s">
        <v>27</v>
      </c>
    </row>
    <row r="486" spans="1:8" x14ac:dyDescent="0.3">
      <c r="A486">
        <v>485</v>
      </c>
      <c r="B486" s="3">
        <v>44912</v>
      </c>
      <c r="C486" s="3">
        <v>44896</v>
      </c>
      <c r="D486" t="s">
        <v>19</v>
      </c>
      <c r="E486" t="s">
        <v>533</v>
      </c>
      <c r="F486" t="s">
        <v>25</v>
      </c>
      <c r="G486" t="s">
        <v>26</v>
      </c>
      <c r="H486" t="s">
        <v>27</v>
      </c>
    </row>
    <row r="487" spans="1:8" x14ac:dyDescent="0.3">
      <c r="A487">
        <v>486</v>
      </c>
      <c r="B487" s="3">
        <v>44912</v>
      </c>
      <c r="C487" s="3">
        <v>44896</v>
      </c>
      <c r="D487" t="s">
        <v>19</v>
      </c>
      <c r="E487" t="s">
        <v>534</v>
      </c>
      <c r="F487" t="s">
        <v>21</v>
      </c>
      <c r="G487" t="s">
        <v>22</v>
      </c>
      <c r="H487" t="s">
        <v>27</v>
      </c>
    </row>
    <row r="488" spans="1:8" x14ac:dyDescent="0.3">
      <c r="A488">
        <v>487</v>
      </c>
      <c r="B488" s="3">
        <v>44912</v>
      </c>
      <c r="C488" s="3">
        <v>44896</v>
      </c>
      <c r="D488" t="s">
        <v>19</v>
      </c>
      <c r="E488" t="s">
        <v>535</v>
      </c>
      <c r="F488" t="s">
        <v>21</v>
      </c>
      <c r="G488" t="s">
        <v>29</v>
      </c>
      <c r="H488" t="s">
        <v>30</v>
      </c>
    </row>
    <row r="489" spans="1:8" x14ac:dyDescent="0.3">
      <c r="A489">
        <v>488</v>
      </c>
      <c r="B489" s="3">
        <v>44914</v>
      </c>
      <c r="C489" s="3">
        <v>44896</v>
      </c>
      <c r="D489" t="s">
        <v>19</v>
      </c>
      <c r="E489" t="s">
        <v>536</v>
      </c>
      <c r="F489" t="s">
        <v>21</v>
      </c>
      <c r="G489" t="s">
        <v>22</v>
      </c>
      <c r="H489" t="s">
        <v>30</v>
      </c>
    </row>
    <row r="490" spans="1:8" x14ac:dyDescent="0.3">
      <c r="A490">
        <v>489</v>
      </c>
      <c r="B490" s="3">
        <v>44915</v>
      </c>
      <c r="C490" s="3">
        <v>44896</v>
      </c>
      <c r="D490" t="s">
        <v>19</v>
      </c>
      <c r="E490" t="s">
        <v>537</v>
      </c>
      <c r="F490" t="s">
        <v>25</v>
      </c>
      <c r="G490" t="s">
        <v>26</v>
      </c>
      <c r="H490" t="s">
        <v>27</v>
      </c>
    </row>
    <row r="491" spans="1:8" x14ac:dyDescent="0.3">
      <c r="A491">
        <v>490</v>
      </c>
      <c r="B491" s="3">
        <v>44915</v>
      </c>
      <c r="C491" s="3">
        <v>44896</v>
      </c>
      <c r="D491" t="s">
        <v>19</v>
      </c>
      <c r="E491" t="s">
        <v>538</v>
      </c>
      <c r="F491" t="s">
        <v>21</v>
      </c>
      <c r="G491" t="s">
        <v>22</v>
      </c>
      <c r="H491" t="s">
        <v>23</v>
      </c>
    </row>
    <row r="492" spans="1:8" x14ac:dyDescent="0.3">
      <c r="A492">
        <v>491</v>
      </c>
      <c r="B492" s="3">
        <v>44915</v>
      </c>
      <c r="C492" s="3">
        <v>44896</v>
      </c>
      <c r="D492" t="s">
        <v>19</v>
      </c>
      <c r="E492" t="s">
        <v>539</v>
      </c>
      <c r="F492" t="s">
        <v>25</v>
      </c>
      <c r="G492" t="s">
        <v>345</v>
      </c>
      <c r="H492" t="s">
        <v>30</v>
      </c>
    </row>
    <row r="493" spans="1:8" x14ac:dyDescent="0.3">
      <c r="A493">
        <v>492</v>
      </c>
      <c r="B493" s="3">
        <v>44915</v>
      </c>
      <c r="C493" s="3">
        <v>44896</v>
      </c>
      <c r="D493" t="s">
        <v>19</v>
      </c>
      <c r="E493" t="s">
        <v>540</v>
      </c>
      <c r="F493" t="s">
        <v>21</v>
      </c>
      <c r="G493" t="s">
        <v>26</v>
      </c>
      <c r="H493" t="s">
        <v>27</v>
      </c>
    </row>
    <row r="494" spans="1:8" x14ac:dyDescent="0.3">
      <c r="A494">
        <v>493</v>
      </c>
      <c r="B494" s="3">
        <v>44915</v>
      </c>
      <c r="C494" s="3">
        <v>44896</v>
      </c>
      <c r="D494" t="s">
        <v>19</v>
      </c>
      <c r="E494" t="s">
        <v>541</v>
      </c>
      <c r="F494" t="s">
        <v>40</v>
      </c>
      <c r="G494" t="s">
        <v>58</v>
      </c>
      <c r="H494" t="s">
        <v>27</v>
      </c>
    </row>
    <row r="495" spans="1:8" x14ac:dyDescent="0.3">
      <c r="A495">
        <v>494</v>
      </c>
      <c r="B495" s="3">
        <v>44915</v>
      </c>
      <c r="C495" s="3">
        <v>44896</v>
      </c>
      <c r="D495" t="s">
        <v>19</v>
      </c>
      <c r="E495" t="s">
        <v>542</v>
      </c>
      <c r="F495" t="s">
        <v>32</v>
      </c>
      <c r="G495" t="s">
        <v>33</v>
      </c>
      <c r="H495" t="s">
        <v>27</v>
      </c>
    </row>
    <row r="496" spans="1:8" x14ac:dyDescent="0.3">
      <c r="A496">
        <v>495</v>
      </c>
      <c r="B496" s="3">
        <v>44915</v>
      </c>
      <c r="C496" s="3">
        <v>44896</v>
      </c>
      <c r="D496" t="s">
        <v>19</v>
      </c>
      <c r="E496" t="s">
        <v>543</v>
      </c>
      <c r="F496" t="s">
        <v>25</v>
      </c>
      <c r="G496" t="s">
        <v>26</v>
      </c>
      <c r="H496" t="s">
        <v>30</v>
      </c>
    </row>
    <row r="497" spans="1:8" x14ac:dyDescent="0.3">
      <c r="A497">
        <v>496</v>
      </c>
      <c r="B497" s="3">
        <v>44916</v>
      </c>
      <c r="C497" s="3">
        <v>44896</v>
      </c>
      <c r="D497" t="s">
        <v>19</v>
      </c>
      <c r="E497" t="s">
        <v>544</v>
      </c>
      <c r="F497" t="s">
        <v>40</v>
      </c>
      <c r="G497" t="s">
        <v>75</v>
      </c>
      <c r="H497" t="s">
        <v>30</v>
      </c>
    </row>
    <row r="498" spans="1:8" x14ac:dyDescent="0.3">
      <c r="A498">
        <v>497</v>
      </c>
      <c r="B498" s="3">
        <v>44916</v>
      </c>
      <c r="C498" s="3">
        <v>44896</v>
      </c>
      <c r="D498" t="s">
        <v>19</v>
      </c>
      <c r="E498" t="s">
        <v>545</v>
      </c>
      <c r="F498" t="s">
        <v>25</v>
      </c>
      <c r="G498" t="s">
        <v>26</v>
      </c>
      <c r="H498" t="s">
        <v>30</v>
      </c>
    </row>
    <row r="499" spans="1:8" x14ac:dyDescent="0.3">
      <c r="A499">
        <v>498</v>
      </c>
      <c r="B499" s="3">
        <v>44916</v>
      </c>
      <c r="C499" s="3">
        <v>44896</v>
      </c>
      <c r="D499" t="s">
        <v>19</v>
      </c>
      <c r="E499" t="s">
        <v>546</v>
      </c>
      <c r="F499" t="s">
        <v>21</v>
      </c>
      <c r="G499" t="s">
        <v>29</v>
      </c>
      <c r="H499" t="s">
        <v>236</v>
      </c>
    </row>
    <row r="500" spans="1:8" x14ac:dyDescent="0.3">
      <c r="A500">
        <v>499</v>
      </c>
      <c r="B500" s="3">
        <v>44917</v>
      </c>
      <c r="C500" s="3">
        <v>44896</v>
      </c>
      <c r="D500" t="s">
        <v>19</v>
      </c>
      <c r="E500" t="s">
        <v>547</v>
      </c>
      <c r="F500" t="s">
        <v>32</v>
      </c>
      <c r="G500" t="s">
        <v>33</v>
      </c>
      <c r="H500" t="s">
        <v>27</v>
      </c>
    </row>
    <row r="501" spans="1:8" x14ac:dyDescent="0.3">
      <c r="A501">
        <v>500</v>
      </c>
      <c r="B501" s="3">
        <v>44917</v>
      </c>
      <c r="C501" s="3">
        <v>44896</v>
      </c>
      <c r="D501" t="s">
        <v>19</v>
      </c>
      <c r="E501" t="s">
        <v>548</v>
      </c>
      <c r="F501" t="s">
        <v>21</v>
      </c>
      <c r="G501" t="s">
        <v>29</v>
      </c>
      <c r="H501" t="s">
        <v>30</v>
      </c>
    </row>
    <row r="502" spans="1:8" x14ac:dyDescent="0.3">
      <c r="A502">
        <v>501</v>
      </c>
      <c r="B502" s="3">
        <v>44917</v>
      </c>
      <c r="C502" s="3">
        <v>44896</v>
      </c>
      <c r="D502" t="s">
        <v>19</v>
      </c>
      <c r="E502" t="s">
        <v>549</v>
      </c>
      <c r="F502" t="s">
        <v>21</v>
      </c>
      <c r="G502" t="s">
        <v>22</v>
      </c>
      <c r="H502" t="s">
        <v>27</v>
      </c>
    </row>
    <row r="503" spans="1:8" x14ac:dyDescent="0.3">
      <c r="A503">
        <v>502</v>
      </c>
      <c r="B503" s="3">
        <v>44917</v>
      </c>
      <c r="C503" s="3">
        <v>44896</v>
      </c>
      <c r="D503" t="s">
        <v>19</v>
      </c>
      <c r="E503" t="s">
        <v>550</v>
      </c>
      <c r="F503" t="s">
        <v>21</v>
      </c>
      <c r="G503" t="s">
        <v>33</v>
      </c>
      <c r="H503" t="s">
        <v>30</v>
      </c>
    </row>
    <row r="504" spans="1:8" x14ac:dyDescent="0.3">
      <c r="A504">
        <v>503</v>
      </c>
      <c r="B504" s="3">
        <v>44918</v>
      </c>
      <c r="C504" s="3">
        <v>44896</v>
      </c>
      <c r="D504" t="s">
        <v>19</v>
      </c>
      <c r="E504" t="s">
        <v>551</v>
      </c>
      <c r="F504" t="s">
        <v>40</v>
      </c>
      <c r="G504" t="s">
        <v>48</v>
      </c>
      <c r="H504" t="s">
        <v>30</v>
      </c>
    </row>
    <row r="505" spans="1:8" x14ac:dyDescent="0.3">
      <c r="A505">
        <v>504</v>
      </c>
      <c r="B505" s="3">
        <v>44918</v>
      </c>
      <c r="C505" s="3">
        <v>44896</v>
      </c>
      <c r="D505" t="s">
        <v>19</v>
      </c>
      <c r="E505" t="s">
        <v>552</v>
      </c>
      <c r="F505" t="s">
        <v>25</v>
      </c>
      <c r="G505" t="s">
        <v>345</v>
      </c>
      <c r="H505" t="s">
        <v>236</v>
      </c>
    </row>
    <row r="506" spans="1:8" x14ac:dyDescent="0.3">
      <c r="A506">
        <v>505</v>
      </c>
      <c r="B506" s="3">
        <v>44918</v>
      </c>
      <c r="C506" s="3">
        <v>44896</v>
      </c>
      <c r="D506" t="s">
        <v>19</v>
      </c>
      <c r="E506" t="s">
        <v>553</v>
      </c>
      <c r="F506" t="s">
        <v>21</v>
      </c>
      <c r="G506" t="s">
        <v>317</v>
      </c>
      <c r="H506" t="s">
        <v>30</v>
      </c>
    </row>
    <row r="507" spans="1:8" x14ac:dyDescent="0.3">
      <c r="A507">
        <v>506</v>
      </c>
      <c r="B507" s="3">
        <v>44918</v>
      </c>
      <c r="C507" s="3">
        <v>44896</v>
      </c>
      <c r="D507" t="s">
        <v>19</v>
      </c>
      <c r="E507" t="s">
        <v>554</v>
      </c>
      <c r="F507" t="s">
        <v>32</v>
      </c>
      <c r="G507" t="s">
        <v>33</v>
      </c>
      <c r="H507" t="s">
        <v>30</v>
      </c>
    </row>
    <row r="508" spans="1:8" x14ac:dyDescent="0.3">
      <c r="A508">
        <v>507</v>
      </c>
      <c r="B508" s="3">
        <v>44921</v>
      </c>
      <c r="C508" s="3">
        <v>44896</v>
      </c>
      <c r="D508" t="s">
        <v>19</v>
      </c>
      <c r="E508" t="s">
        <v>555</v>
      </c>
      <c r="F508" t="s">
        <v>32</v>
      </c>
      <c r="G508" t="s">
        <v>33</v>
      </c>
      <c r="H508" t="s">
        <v>27</v>
      </c>
    </row>
    <row r="509" spans="1:8" x14ac:dyDescent="0.3">
      <c r="A509">
        <v>508</v>
      </c>
      <c r="B509" s="3">
        <v>44921</v>
      </c>
      <c r="C509" s="3">
        <v>44896</v>
      </c>
      <c r="D509" t="s">
        <v>19</v>
      </c>
      <c r="E509" t="s">
        <v>556</v>
      </c>
      <c r="F509" t="s">
        <v>21</v>
      </c>
      <c r="G509" t="s">
        <v>22</v>
      </c>
      <c r="H509" t="s">
        <v>30</v>
      </c>
    </row>
    <row r="510" spans="1:8" x14ac:dyDescent="0.3">
      <c r="A510">
        <v>509</v>
      </c>
      <c r="B510" s="3">
        <v>44922</v>
      </c>
      <c r="C510" s="3">
        <v>44896</v>
      </c>
      <c r="D510" t="s">
        <v>19</v>
      </c>
      <c r="E510" t="s">
        <v>557</v>
      </c>
      <c r="F510" t="s">
        <v>21</v>
      </c>
      <c r="G510" t="s">
        <v>22</v>
      </c>
      <c r="H510" t="s">
        <v>27</v>
      </c>
    </row>
    <row r="511" spans="1:8" x14ac:dyDescent="0.3">
      <c r="A511">
        <v>510</v>
      </c>
      <c r="B511" s="3">
        <v>44922</v>
      </c>
      <c r="C511" s="3">
        <v>44896</v>
      </c>
      <c r="D511" t="s">
        <v>19</v>
      </c>
      <c r="E511" t="s">
        <v>558</v>
      </c>
      <c r="F511" t="s">
        <v>21</v>
      </c>
      <c r="G511" t="s">
        <v>29</v>
      </c>
      <c r="H511" t="s">
        <v>66</v>
      </c>
    </row>
    <row r="512" spans="1:8" x14ac:dyDescent="0.3">
      <c r="A512">
        <v>511</v>
      </c>
      <c r="B512" s="3">
        <v>44922</v>
      </c>
      <c r="C512" s="3">
        <v>44896</v>
      </c>
      <c r="D512" t="s">
        <v>19</v>
      </c>
      <c r="E512" t="s">
        <v>559</v>
      </c>
      <c r="F512" t="s">
        <v>32</v>
      </c>
      <c r="G512" t="s">
        <v>33</v>
      </c>
      <c r="H512" t="s">
        <v>30</v>
      </c>
    </row>
    <row r="513" spans="1:8" x14ac:dyDescent="0.3">
      <c r="A513">
        <v>512</v>
      </c>
      <c r="B513" s="3">
        <v>44923</v>
      </c>
      <c r="C513" s="3">
        <v>44896</v>
      </c>
      <c r="D513" t="s">
        <v>19</v>
      </c>
      <c r="E513" t="s">
        <v>560</v>
      </c>
      <c r="F513" t="s">
        <v>21</v>
      </c>
      <c r="G513" t="s">
        <v>22</v>
      </c>
      <c r="H513" t="s">
        <v>30</v>
      </c>
    </row>
    <row r="514" spans="1:8" x14ac:dyDescent="0.3">
      <c r="A514">
        <v>513</v>
      </c>
      <c r="B514" s="3">
        <v>44923</v>
      </c>
      <c r="C514" s="3">
        <v>44896</v>
      </c>
      <c r="D514" t="s">
        <v>19</v>
      </c>
      <c r="E514" t="s">
        <v>561</v>
      </c>
      <c r="F514" t="s">
        <v>25</v>
      </c>
      <c r="G514" t="s">
        <v>26</v>
      </c>
      <c r="H514" t="s">
        <v>30</v>
      </c>
    </row>
    <row r="515" spans="1:8" x14ac:dyDescent="0.3">
      <c r="A515">
        <v>514</v>
      </c>
      <c r="B515" s="3">
        <v>44923</v>
      </c>
      <c r="C515" s="3">
        <v>44896</v>
      </c>
      <c r="D515" t="s">
        <v>19</v>
      </c>
      <c r="E515" t="s">
        <v>562</v>
      </c>
      <c r="F515" t="s">
        <v>40</v>
      </c>
      <c r="G515" t="s">
        <v>48</v>
      </c>
      <c r="H515" t="s">
        <v>30</v>
      </c>
    </row>
    <row r="516" spans="1:8" x14ac:dyDescent="0.3">
      <c r="A516">
        <v>515</v>
      </c>
      <c r="B516" s="3">
        <v>44923</v>
      </c>
      <c r="C516" s="3">
        <v>44896</v>
      </c>
      <c r="D516" t="s">
        <v>19</v>
      </c>
      <c r="E516" t="s">
        <v>563</v>
      </c>
      <c r="F516" t="s">
        <v>21</v>
      </c>
      <c r="G516" t="s">
        <v>22</v>
      </c>
      <c r="H516" t="s">
        <v>30</v>
      </c>
    </row>
    <row r="517" spans="1:8" x14ac:dyDescent="0.3">
      <c r="A517">
        <v>516</v>
      </c>
      <c r="B517" s="3">
        <v>44924</v>
      </c>
      <c r="C517" s="3">
        <v>44896</v>
      </c>
      <c r="D517" t="s">
        <v>19</v>
      </c>
      <c r="E517" t="s">
        <v>564</v>
      </c>
      <c r="F517" t="s">
        <v>25</v>
      </c>
      <c r="G517" t="s">
        <v>26</v>
      </c>
      <c r="H517" t="s">
        <v>30</v>
      </c>
    </row>
    <row r="518" spans="1:8" x14ac:dyDescent="0.3">
      <c r="A518">
        <v>517</v>
      </c>
      <c r="B518" s="3">
        <v>44924</v>
      </c>
      <c r="C518" s="3">
        <v>44896</v>
      </c>
      <c r="D518" t="s">
        <v>19</v>
      </c>
      <c r="E518" t="s">
        <v>565</v>
      </c>
      <c r="F518" t="s">
        <v>21</v>
      </c>
      <c r="G518" t="s">
        <v>29</v>
      </c>
      <c r="H518" t="s">
        <v>30</v>
      </c>
    </row>
    <row r="519" spans="1:8" x14ac:dyDescent="0.3">
      <c r="A519">
        <v>518</v>
      </c>
      <c r="B519" s="3">
        <v>44925</v>
      </c>
      <c r="C519" s="3">
        <v>44896</v>
      </c>
      <c r="D519" t="s">
        <v>19</v>
      </c>
      <c r="E519" t="s">
        <v>566</v>
      </c>
      <c r="F519" t="s">
        <v>32</v>
      </c>
      <c r="G519" t="s">
        <v>33</v>
      </c>
      <c r="H519" t="s">
        <v>30</v>
      </c>
    </row>
    <row r="520" spans="1:8" x14ac:dyDescent="0.3">
      <c r="A520">
        <v>519</v>
      </c>
      <c r="B520" s="3">
        <v>44925</v>
      </c>
      <c r="C520" s="3">
        <v>44896</v>
      </c>
      <c r="D520" t="s">
        <v>19</v>
      </c>
      <c r="E520" t="s">
        <v>567</v>
      </c>
      <c r="F520" t="s">
        <v>25</v>
      </c>
      <c r="G520" t="s">
        <v>26</v>
      </c>
      <c r="H520" t="s">
        <v>30</v>
      </c>
    </row>
    <row r="521" spans="1:8" x14ac:dyDescent="0.3">
      <c r="A521">
        <v>520</v>
      </c>
      <c r="B521" s="3">
        <v>44924</v>
      </c>
      <c r="C521" s="3">
        <v>44896</v>
      </c>
      <c r="D521" t="s">
        <v>19</v>
      </c>
      <c r="E521" t="s">
        <v>568</v>
      </c>
      <c r="F521" t="s">
        <v>32</v>
      </c>
      <c r="G521" t="s">
        <v>33</v>
      </c>
      <c r="H521" t="s">
        <v>30</v>
      </c>
    </row>
    <row r="522" spans="1:8" x14ac:dyDescent="0.3">
      <c r="A522">
        <v>521</v>
      </c>
      <c r="B522" s="3">
        <v>44926</v>
      </c>
      <c r="C522" s="3">
        <v>44896</v>
      </c>
      <c r="D522" t="s">
        <v>19</v>
      </c>
      <c r="E522" t="s">
        <v>569</v>
      </c>
      <c r="F522" t="s">
        <v>40</v>
      </c>
      <c r="G522" t="s">
        <v>108</v>
      </c>
      <c r="H522" t="s">
        <v>30</v>
      </c>
    </row>
    <row r="523" spans="1:8" x14ac:dyDescent="0.3">
      <c r="A523">
        <v>522</v>
      </c>
      <c r="B523" s="3">
        <v>44926</v>
      </c>
      <c r="C523" s="3">
        <v>44896</v>
      </c>
      <c r="D523" t="s">
        <v>19</v>
      </c>
      <c r="E523" t="s">
        <v>570</v>
      </c>
      <c r="F523" t="s">
        <v>21</v>
      </c>
      <c r="G523" t="s">
        <v>29</v>
      </c>
      <c r="H523" t="s">
        <v>30</v>
      </c>
    </row>
    <row r="524" spans="1:8" x14ac:dyDescent="0.3">
      <c r="A524">
        <v>523</v>
      </c>
      <c r="B524" s="3">
        <v>44931</v>
      </c>
      <c r="C524" s="3">
        <v>44927</v>
      </c>
      <c r="D524" t="s">
        <v>19</v>
      </c>
      <c r="E524" t="s">
        <v>571</v>
      </c>
      <c r="F524" t="s">
        <v>32</v>
      </c>
      <c r="G524" t="s">
        <v>33</v>
      </c>
      <c r="H524" t="s">
        <v>30</v>
      </c>
    </row>
    <row r="525" spans="1:8" x14ac:dyDescent="0.3">
      <c r="A525">
        <v>524</v>
      </c>
      <c r="B525" s="3">
        <v>44937</v>
      </c>
      <c r="C525" s="3">
        <v>44927</v>
      </c>
      <c r="D525" t="s">
        <v>19</v>
      </c>
      <c r="E525" t="s">
        <v>572</v>
      </c>
      <c r="F525" t="s">
        <v>21</v>
      </c>
      <c r="G525" t="s">
        <v>29</v>
      </c>
      <c r="H525" t="s">
        <v>236</v>
      </c>
    </row>
    <row r="526" spans="1:8" x14ac:dyDescent="0.3">
      <c r="A526">
        <v>525</v>
      </c>
      <c r="B526" s="3">
        <v>44938</v>
      </c>
      <c r="C526" s="3">
        <v>44927</v>
      </c>
      <c r="D526" t="s">
        <v>19</v>
      </c>
      <c r="E526" t="s">
        <v>573</v>
      </c>
      <c r="F526" t="s">
        <v>32</v>
      </c>
      <c r="G526" t="s">
        <v>33</v>
      </c>
      <c r="H526" t="s">
        <v>574</v>
      </c>
    </row>
    <row r="527" spans="1:8" x14ac:dyDescent="0.3">
      <c r="A527">
        <v>526</v>
      </c>
      <c r="B527" s="3">
        <v>44942</v>
      </c>
      <c r="C527" s="3">
        <v>44927</v>
      </c>
      <c r="D527" t="s">
        <v>19</v>
      </c>
      <c r="E527" t="s">
        <v>575</v>
      </c>
      <c r="F527" t="s">
        <v>40</v>
      </c>
      <c r="G527" t="s">
        <v>48</v>
      </c>
      <c r="H527" t="s">
        <v>30</v>
      </c>
    </row>
    <row r="528" spans="1:8" x14ac:dyDescent="0.3">
      <c r="A528">
        <v>527</v>
      </c>
      <c r="B528" s="3">
        <v>44942</v>
      </c>
      <c r="C528" s="3">
        <v>44927</v>
      </c>
      <c r="D528" t="s">
        <v>19</v>
      </c>
      <c r="E528" t="s">
        <v>576</v>
      </c>
      <c r="F528" t="s">
        <v>21</v>
      </c>
      <c r="G528" t="s">
        <v>33</v>
      </c>
      <c r="H528" t="s">
        <v>27</v>
      </c>
    </row>
    <row r="529" spans="1:8" x14ac:dyDescent="0.3">
      <c r="A529">
        <v>528</v>
      </c>
      <c r="B529" s="3">
        <v>44943</v>
      </c>
      <c r="C529" s="3">
        <v>44927</v>
      </c>
      <c r="D529" t="s">
        <v>19</v>
      </c>
      <c r="E529" t="s">
        <v>577</v>
      </c>
      <c r="F529" t="s">
        <v>25</v>
      </c>
      <c r="G529" t="s">
        <v>26</v>
      </c>
      <c r="H529" t="s">
        <v>30</v>
      </c>
    </row>
    <row r="530" spans="1:8" x14ac:dyDescent="0.3">
      <c r="A530">
        <v>529</v>
      </c>
      <c r="B530" s="3">
        <v>44945</v>
      </c>
      <c r="C530" s="3">
        <v>44927</v>
      </c>
      <c r="D530" t="s">
        <v>19</v>
      </c>
      <c r="E530" t="s">
        <v>578</v>
      </c>
      <c r="F530" t="s">
        <v>32</v>
      </c>
      <c r="G530" t="s">
        <v>33</v>
      </c>
      <c r="H530" t="s">
        <v>27</v>
      </c>
    </row>
    <row r="531" spans="1:8" x14ac:dyDescent="0.3">
      <c r="A531">
        <v>530</v>
      </c>
      <c r="B531" s="3">
        <v>44946</v>
      </c>
      <c r="C531" s="3">
        <v>44927</v>
      </c>
      <c r="D531" t="s">
        <v>19</v>
      </c>
      <c r="E531" t="s">
        <v>579</v>
      </c>
      <c r="F531" t="s">
        <v>21</v>
      </c>
      <c r="G531" t="s">
        <v>22</v>
      </c>
      <c r="H531" t="s">
        <v>574</v>
      </c>
    </row>
    <row r="532" spans="1:8" x14ac:dyDescent="0.3">
      <c r="A532">
        <v>531</v>
      </c>
      <c r="B532" s="3">
        <v>44947</v>
      </c>
      <c r="C532" s="3">
        <v>44927</v>
      </c>
      <c r="D532" t="s">
        <v>19</v>
      </c>
      <c r="E532" t="s">
        <v>580</v>
      </c>
      <c r="F532" t="s">
        <v>25</v>
      </c>
      <c r="G532" t="s">
        <v>26</v>
      </c>
      <c r="H532" t="s">
        <v>574</v>
      </c>
    </row>
    <row r="533" spans="1:8" x14ac:dyDescent="0.3">
      <c r="A533">
        <v>532</v>
      </c>
      <c r="B533" s="3">
        <v>44950</v>
      </c>
      <c r="C533" s="3">
        <v>44927</v>
      </c>
      <c r="D533" t="s">
        <v>19</v>
      </c>
      <c r="E533" t="s">
        <v>581</v>
      </c>
      <c r="F533" t="s">
        <v>21</v>
      </c>
      <c r="G533" t="s">
        <v>29</v>
      </c>
      <c r="H533" t="s">
        <v>236</v>
      </c>
    </row>
    <row r="534" spans="1:8" x14ac:dyDescent="0.3">
      <c r="A534">
        <v>533</v>
      </c>
      <c r="B534" s="3">
        <v>44950</v>
      </c>
      <c r="C534" s="3">
        <v>44927</v>
      </c>
      <c r="D534" t="s">
        <v>19</v>
      </c>
      <c r="E534" t="s">
        <v>582</v>
      </c>
      <c r="F534" t="s">
        <v>40</v>
      </c>
      <c r="G534" t="s">
        <v>48</v>
      </c>
      <c r="H534" t="s">
        <v>30</v>
      </c>
    </row>
    <row r="535" spans="1:8" x14ac:dyDescent="0.3">
      <c r="A535">
        <v>534</v>
      </c>
      <c r="B535" s="3">
        <v>44953</v>
      </c>
      <c r="C535" s="3">
        <v>44927</v>
      </c>
      <c r="D535" t="s">
        <v>19</v>
      </c>
      <c r="E535" t="s">
        <v>583</v>
      </c>
      <c r="F535" t="s">
        <v>21</v>
      </c>
      <c r="G535" t="s">
        <v>29</v>
      </c>
      <c r="H535" t="s">
        <v>30</v>
      </c>
    </row>
    <row r="536" spans="1:8" x14ac:dyDescent="0.3">
      <c r="A536">
        <v>535</v>
      </c>
      <c r="B536" s="3">
        <v>44954</v>
      </c>
      <c r="C536" s="3">
        <v>44927</v>
      </c>
      <c r="D536" t="s">
        <v>19</v>
      </c>
      <c r="E536" t="s">
        <v>584</v>
      </c>
      <c r="F536" t="s">
        <v>21</v>
      </c>
      <c r="G536" t="s">
        <v>22</v>
      </c>
      <c r="H536" t="s">
        <v>574</v>
      </c>
    </row>
    <row r="537" spans="1:8" x14ac:dyDescent="0.3">
      <c r="A537">
        <v>536</v>
      </c>
      <c r="B537" s="3">
        <v>44954</v>
      </c>
      <c r="C537" s="3">
        <v>44927</v>
      </c>
      <c r="D537" t="s">
        <v>19</v>
      </c>
      <c r="E537" t="s">
        <v>585</v>
      </c>
      <c r="F537" t="s">
        <v>21</v>
      </c>
      <c r="G537" t="s">
        <v>22</v>
      </c>
      <c r="H537" t="s">
        <v>574</v>
      </c>
    </row>
    <row r="538" spans="1:8" x14ac:dyDescent="0.3">
      <c r="A538">
        <v>537</v>
      </c>
      <c r="B538" s="3">
        <v>44954</v>
      </c>
      <c r="C538" s="3">
        <v>44927</v>
      </c>
      <c r="D538" t="s">
        <v>19</v>
      </c>
      <c r="E538" t="s">
        <v>586</v>
      </c>
      <c r="F538" t="s">
        <v>40</v>
      </c>
      <c r="G538" t="s">
        <v>108</v>
      </c>
      <c r="H538" t="s">
        <v>574</v>
      </c>
    </row>
    <row r="539" spans="1:8" x14ac:dyDescent="0.3">
      <c r="A539">
        <v>538</v>
      </c>
      <c r="B539" s="3">
        <v>44956</v>
      </c>
      <c r="C539" s="3">
        <v>44927</v>
      </c>
      <c r="D539" t="s">
        <v>19</v>
      </c>
      <c r="E539" t="s">
        <v>587</v>
      </c>
      <c r="F539" t="s">
        <v>32</v>
      </c>
      <c r="G539" t="s">
        <v>33</v>
      </c>
      <c r="H539" t="s">
        <v>27</v>
      </c>
    </row>
    <row r="540" spans="1:8" x14ac:dyDescent="0.3">
      <c r="A540">
        <v>539</v>
      </c>
      <c r="B540" s="3">
        <v>44957</v>
      </c>
      <c r="C540" s="3">
        <v>44927</v>
      </c>
      <c r="D540" t="s">
        <v>19</v>
      </c>
      <c r="E540" t="s">
        <v>588</v>
      </c>
      <c r="F540" t="s">
        <v>21</v>
      </c>
      <c r="G540" t="s">
        <v>22</v>
      </c>
      <c r="H540" t="s">
        <v>574</v>
      </c>
    </row>
    <row r="541" spans="1:8" x14ac:dyDescent="0.3">
      <c r="A541">
        <v>540</v>
      </c>
      <c r="B541" s="3">
        <v>44957</v>
      </c>
      <c r="C541" s="3">
        <v>44927</v>
      </c>
      <c r="D541" t="s">
        <v>19</v>
      </c>
      <c r="E541" t="s">
        <v>589</v>
      </c>
      <c r="F541" t="s">
        <v>25</v>
      </c>
      <c r="G541" t="s">
        <v>26</v>
      </c>
      <c r="H541" t="s">
        <v>27</v>
      </c>
    </row>
    <row r="542" spans="1:8" x14ac:dyDescent="0.3">
      <c r="A542">
        <v>541</v>
      </c>
      <c r="B542" s="3">
        <v>44957</v>
      </c>
      <c r="C542" s="3">
        <v>44927</v>
      </c>
      <c r="D542" t="s">
        <v>19</v>
      </c>
      <c r="E542" t="s">
        <v>590</v>
      </c>
      <c r="F542" t="s">
        <v>21</v>
      </c>
      <c r="G542" t="s">
        <v>29</v>
      </c>
      <c r="H542" t="s">
        <v>574</v>
      </c>
    </row>
    <row r="543" spans="1:8" x14ac:dyDescent="0.3">
      <c r="A543">
        <v>542</v>
      </c>
      <c r="B543" s="3">
        <v>44957</v>
      </c>
      <c r="C543" s="3">
        <v>44927</v>
      </c>
      <c r="D543" t="s">
        <v>19</v>
      </c>
      <c r="E543" t="s">
        <v>591</v>
      </c>
      <c r="F543" t="s">
        <v>21</v>
      </c>
      <c r="G543" t="s">
        <v>22</v>
      </c>
      <c r="H543" t="s">
        <v>574</v>
      </c>
    </row>
    <row r="544" spans="1:8" x14ac:dyDescent="0.3">
      <c r="A544">
        <v>543</v>
      </c>
      <c r="B544" s="3">
        <v>44957</v>
      </c>
      <c r="C544" s="3">
        <v>44927</v>
      </c>
      <c r="D544" t="s">
        <v>19</v>
      </c>
      <c r="E544" t="s">
        <v>592</v>
      </c>
      <c r="F544" t="s">
        <v>32</v>
      </c>
      <c r="G544" t="s">
        <v>593</v>
      </c>
      <c r="H544" t="s">
        <v>574</v>
      </c>
    </row>
    <row r="545" spans="1:8" x14ac:dyDescent="0.3">
      <c r="A545">
        <v>544</v>
      </c>
      <c r="B545" s="3">
        <v>44957</v>
      </c>
      <c r="C545" s="3">
        <v>44927</v>
      </c>
      <c r="D545" t="s">
        <v>19</v>
      </c>
      <c r="E545" t="s">
        <v>594</v>
      </c>
      <c r="F545" t="s">
        <v>32</v>
      </c>
      <c r="G545" t="s">
        <v>593</v>
      </c>
      <c r="H545" t="s">
        <v>574</v>
      </c>
    </row>
    <row r="546" spans="1:8" x14ac:dyDescent="0.3">
      <c r="A546">
        <v>545</v>
      </c>
      <c r="B546" s="3">
        <v>44959</v>
      </c>
      <c r="C546" s="3">
        <v>44958</v>
      </c>
      <c r="D546" t="s">
        <v>19</v>
      </c>
      <c r="E546" t="s">
        <v>595</v>
      </c>
      <c r="F546" t="s">
        <v>32</v>
      </c>
      <c r="G546" t="s">
        <v>33</v>
      </c>
      <c r="H546" t="s">
        <v>574</v>
      </c>
    </row>
    <row r="547" spans="1:8" x14ac:dyDescent="0.3">
      <c r="A547">
        <v>546</v>
      </c>
      <c r="B547" s="3">
        <v>44961</v>
      </c>
      <c r="C547" s="3">
        <v>44958</v>
      </c>
      <c r="D547" t="s">
        <v>19</v>
      </c>
      <c r="E547" t="s">
        <v>596</v>
      </c>
      <c r="F547" t="s">
        <v>25</v>
      </c>
      <c r="G547" t="s">
        <v>33</v>
      </c>
      <c r="H547" t="s">
        <v>27</v>
      </c>
    </row>
    <row r="548" spans="1:8" x14ac:dyDescent="0.3">
      <c r="A548">
        <v>547</v>
      </c>
      <c r="B548" s="3">
        <v>44963</v>
      </c>
      <c r="C548" s="3">
        <v>44958</v>
      </c>
      <c r="D548" t="s">
        <v>19</v>
      </c>
      <c r="E548" t="s">
        <v>597</v>
      </c>
      <c r="F548" t="s">
        <v>21</v>
      </c>
      <c r="G548" t="s">
        <v>29</v>
      </c>
      <c r="H548" t="s">
        <v>27</v>
      </c>
    </row>
    <row r="549" spans="1:8" x14ac:dyDescent="0.3">
      <c r="A549">
        <v>548</v>
      </c>
      <c r="B549" s="3">
        <v>44965</v>
      </c>
      <c r="C549" s="3">
        <v>44958</v>
      </c>
      <c r="D549" t="s">
        <v>19</v>
      </c>
      <c r="E549" t="s">
        <v>598</v>
      </c>
      <c r="F549" t="s">
        <v>25</v>
      </c>
      <c r="G549" t="s">
        <v>26</v>
      </c>
      <c r="H549" t="s">
        <v>66</v>
      </c>
    </row>
    <row r="550" spans="1:8" x14ac:dyDescent="0.3">
      <c r="A550">
        <v>549</v>
      </c>
      <c r="B550" s="3">
        <v>44965</v>
      </c>
      <c r="C550" s="3">
        <v>44958</v>
      </c>
      <c r="D550" t="s">
        <v>19</v>
      </c>
      <c r="E550" t="s">
        <v>599</v>
      </c>
      <c r="F550" t="s">
        <v>40</v>
      </c>
      <c r="G550" t="s">
        <v>48</v>
      </c>
      <c r="H550" t="s">
        <v>27</v>
      </c>
    </row>
    <row r="551" spans="1:8" x14ac:dyDescent="0.3">
      <c r="A551">
        <v>550</v>
      </c>
      <c r="B551" s="3">
        <v>44966</v>
      </c>
      <c r="C551" s="3">
        <v>44958</v>
      </c>
      <c r="D551" t="s">
        <v>19</v>
      </c>
      <c r="E551" t="s">
        <v>600</v>
      </c>
      <c r="F551" t="s">
        <v>21</v>
      </c>
      <c r="G551" t="s">
        <v>22</v>
      </c>
      <c r="H551" t="s">
        <v>27</v>
      </c>
    </row>
    <row r="552" spans="1:8" x14ac:dyDescent="0.3">
      <c r="A552">
        <v>551</v>
      </c>
      <c r="B552" s="3">
        <v>44966</v>
      </c>
      <c r="C552" s="3">
        <v>44958</v>
      </c>
      <c r="D552" t="s">
        <v>19</v>
      </c>
      <c r="E552" t="s">
        <v>601</v>
      </c>
      <c r="F552" t="s">
        <v>40</v>
      </c>
      <c r="G552" t="s">
        <v>75</v>
      </c>
      <c r="H552" t="s">
        <v>574</v>
      </c>
    </row>
    <row r="553" spans="1:8" x14ac:dyDescent="0.3">
      <c r="A553">
        <v>552</v>
      </c>
      <c r="B553" s="3">
        <v>44966</v>
      </c>
      <c r="C553" s="3">
        <v>44958</v>
      </c>
      <c r="D553" t="s">
        <v>19</v>
      </c>
      <c r="E553" t="s">
        <v>602</v>
      </c>
      <c r="F553" t="s">
        <v>40</v>
      </c>
      <c r="G553" t="s">
        <v>48</v>
      </c>
      <c r="H553" t="s">
        <v>27</v>
      </c>
    </row>
    <row r="554" spans="1:8" x14ac:dyDescent="0.3">
      <c r="A554">
        <v>553</v>
      </c>
      <c r="B554" s="3">
        <v>44967</v>
      </c>
      <c r="C554" s="3">
        <v>44958</v>
      </c>
      <c r="D554" t="s">
        <v>19</v>
      </c>
      <c r="E554" t="s">
        <v>603</v>
      </c>
      <c r="F554" t="s">
        <v>21</v>
      </c>
      <c r="G554" t="s">
        <v>29</v>
      </c>
      <c r="H554" t="s">
        <v>27</v>
      </c>
    </row>
    <row r="555" spans="1:8" x14ac:dyDescent="0.3">
      <c r="A555">
        <v>554</v>
      </c>
      <c r="B555" s="3">
        <v>44967</v>
      </c>
      <c r="C555" s="3">
        <v>44958</v>
      </c>
      <c r="D555" t="s">
        <v>19</v>
      </c>
      <c r="E555" t="s">
        <v>604</v>
      </c>
      <c r="F555" t="s">
        <v>40</v>
      </c>
      <c r="G555" t="s">
        <v>48</v>
      </c>
      <c r="H555" t="s">
        <v>51</v>
      </c>
    </row>
    <row r="556" spans="1:8" x14ac:dyDescent="0.3">
      <c r="A556">
        <v>555</v>
      </c>
      <c r="B556" s="3">
        <v>44970</v>
      </c>
      <c r="C556" s="3">
        <v>44958</v>
      </c>
      <c r="D556" t="s">
        <v>19</v>
      </c>
      <c r="E556" t="s">
        <v>605</v>
      </c>
      <c r="F556" t="s">
        <v>25</v>
      </c>
      <c r="G556" t="s">
        <v>26</v>
      </c>
      <c r="H556" t="s">
        <v>574</v>
      </c>
    </row>
    <row r="557" spans="1:8" x14ac:dyDescent="0.3">
      <c r="A557">
        <v>556</v>
      </c>
      <c r="B557" s="3">
        <v>44970</v>
      </c>
      <c r="C557" s="3">
        <v>44958</v>
      </c>
      <c r="D557" t="s">
        <v>19</v>
      </c>
      <c r="E557" t="s">
        <v>606</v>
      </c>
      <c r="F557" t="s">
        <v>40</v>
      </c>
      <c r="G557" t="s">
        <v>48</v>
      </c>
      <c r="H557" t="s">
        <v>574</v>
      </c>
    </row>
    <row r="558" spans="1:8" x14ac:dyDescent="0.3">
      <c r="A558">
        <v>557</v>
      </c>
      <c r="B558" s="3">
        <v>44970</v>
      </c>
      <c r="C558" s="3">
        <v>44958</v>
      </c>
      <c r="D558" t="s">
        <v>19</v>
      </c>
      <c r="E558" t="s">
        <v>607</v>
      </c>
      <c r="F558" t="s">
        <v>21</v>
      </c>
      <c r="G558" t="s">
        <v>22</v>
      </c>
      <c r="H558" t="s">
        <v>27</v>
      </c>
    </row>
    <row r="559" spans="1:8" x14ac:dyDescent="0.3">
      <c r="A559">
        <v>558</v>
      </c>
      <c r="B559" s="3">
        <v>44971</v>
      </c>
      <c r="C559" s="3">
        <v>44958</v>
      </c>
      <c r="D559" t="s">
        <v>19</v>
      </c>
      <c r="E559" t="s">
        <v>608</v>
      </c>
      <c r="F559" t="s">
        <v>21</v>
      </c>
      <c r="G559" t="s">
        <v>29</v>
      </c>
      <c r="H559" t="s">
        <v>574</v>
      </c>
    </row>
    <row r="560" spans="1:8" x14ac:dyDescent="0.3">
      <c r="A560">
        <v>559</v>
      </c>
      <c r="B560" s="3">
        <v>44971</v>
      </c>
      <c r="C560" s="3">
        <v>44958</v>
      </c>
      <c r="D560" t="s">
        <v>19</v>
      </c>
      <c r="E560" t="s">
        <v>609</v>
      </c>
      <c r="F560" t="s">
        <v>21</v>
      </c>
      <c r="G560" t="s">
        <v>29</v>
      </c>
      <c r="H560" t="s">
        <v>574</v>
      </c>
    </row>
    <row r="561" spans="1:8" x14ac:dyDescent="0.3">
      <c r="A561">
        <v>560</v>
      </c>
      <c r="B561" s="3">
        <v>44972</v>
      </c>
      <c r="C561" s="3">
        <v>44958</v>
      </c>
      <c r="D561" t="s">
        <v>19</v>
      </c>
      <c r="E561" t="s">
        <v>610</v>
      </c>
      <c r="F561" t="s">
        <v>21</v>
      </c>
      <c r="G561" t="s">
        <v>22</v>
      </c>
      <c r="H561" t="s">
        <v>574</v>
      </c>
    </row>
    <row r="562" spans="1:8" x14ac:dyDescent="0.3">
      <c r="A562">
        <v>561</v>
      </c>
      <c r="B562" s="3">
        <v>44974</v>
      </c>
      <c r="C562" s="3">
        <v>44958</v>
      </c>
      <c r="D562" t="s">
        <v>19</v>
      </c>
      <c r="E562" t="s">
        <v>611</v>
      </c>
      <c r="F562" t="s">
        <v>21</v>
      </c>
      <c r="G562" t="s">
        <v>22</v>
      </c>
      <c r="H562" t="s">
        <v>51</v>
      </c>
    </row>
    <row r="563" spans="1:8" x14ac:dyDescent="0.3">
      <c r="A563">
        <v>562</v>
      </c>
      <c r="B563" s="3">
        <v>44974</v>
      </c>
      <c r="C563" s="3">
        <v>44958</v>
      </c>
      <c r="D563" t="s">
        <v>19</v>
      </c>
      <c r="E563" t="s">
        <v>612</v>
      </c>
      <c r="F563" t="s">
        <v>25</v>
      </c>
      <c r="G563" t="s">
        <v>345</v>
      </c>
      <c r="H563" t="s">
        <v>574</v>
      </c>
    </row>
    <row r="564" spans="1:8" x14ac:dyDescent="0.3">
      <c r="A564">
        <v>563</v>
      </c>
      <c r="B564" s="3">
        <v>44974</v>
      </c>
      <c r="C564" s="3">
        <v>44958</v>
      </c>
      <c r="D564" t="s">
        <v>19</v>
      </c>
      <c r="E564" t="s">
        <v>613</v>
      </c>
      <c r="F564" t="s">
        <v>25</v>
      </c>
      <c r="G564" t="s">
        <v>26</v>
      </c>
      <c r="H564" t="s">
        <v>236</v>
      </c>
    </row>
    <row r="565" spans="1:8" x14ac:dyDescent="0.3">
      <c r="A565">
        <v>564</v>
      </c>
      <c r="B565" s="3">
        <v>44977</v>
      </c>
      <c r="C565" s="3">
        <v>44958</v>
      </c>
      <c r="D565" t="s">
        <v>19</v>
      </c>
      <c r="E565" t="s">
        <v>614</v>
      </c>
      <c r="F565" t="s">
        <v>21</v>
      </c>
      <c r="G565" t="s">
        <v>22</v>
      </c>
      <c r="H565" t="s">
        <v>574</v>
      </c>
    </row>
    <row r="566" spans="1:8" x14ac:dyDescent="0.3">
      <c r="A566">
        <v>565</v>
      </c>
      <c r="B566" s="3">
        <v>44980</v>
      </c>
      <c r="C566" s="3">
        <v>44958</v>
      </c>
      <c r="D566" t="s">
        <v>19</v>
      </c>
      <c r="E566" t="s">
        <v>615</v>
      </c>
      <c r="F566" t="s">
        <v>21</v>
      </c>
      <c r="G566" t="s">
        <v>22</v>
      </c>
      <c r="H566" t="s">
        <v>574</v>
      </c>
    </row>
    <row r="567" spans="1:8" x14ac:dyDescent="0.3">
      <c r="A567">
        <v>566</v>
      </c>
      <c r="B567" s="3">
        <v>44981</v>
      </c>
      <c r="C567" s="3">
        <v>44958</v>
      </c>
      <c r="D567" t="s">
        <v>19</v>
      </c>
      <c r="E567" t="s">
        <v>616</v>
      </c>
      <c r="F567" t="s">
        <v>40</v>
      </c>
      <c r="G567" t="s">
        <v>48</v>
      </c>
      <c r="H567" t="s">
        <v>51</v>
      </c>
    </row>
    <row r="568" spans="1:8" x14ac:dyDescent="0.3">
      <c r="A568">
        <v>567</v>
      </c>
      <c r="B568" s="3">
        <v>44981</v>
      </c>
      <c r="C568" s="3">
        <v>44958</v>
      </c>
      <c r="D568" t="s">
        <v>19</v>
      </c>
      <c r="E568" t="s">
        <v>617</v>
      </c>
      <c r="F568" t="s">
        <v>25</v>
      </c>
      <c r="G568" t="s">
        <v>26</v>
      </c>
      <c r="H568" t="s">
        <v>27</v>
      </c>
    </row>
    <row r="569" spans="1:8" x14ac:dyDescent="0.3">
      <c r="A569">
        <v>568</v>
      </c>
      <c r="B569" s="3">
        <v>44981</v>
      </c>
      <c r="C569" s="3">
        <v>44958</v>
      </c>
      <c r="D569" t="s">
        <v>19</v>
      </c>
      <c r="E569" t="s">
        <v>618</v>
      </c>
      <c r="F569" t="s">
        <v>32</v>
      </c>
      <c r="G569" t="s">
        <v>33</v>
      </c>
      <c r="H569" t="s">
        <v>27</v>
      </c>
    </row>
    <row r="570" spans="1:8" x14ac:dyDescent="0.3">
      <c r="A570">
        <v>569</v>
      </c>
      <c r="B570" s="3">
        <v>44981</v>
      </c>
      <c r="C570" s="3">
        <v>44958</v>
      </c>
      <c r="D570" t="s">
        <v>19</v>
      </c>
      <c r="E570" t="s">
        <v>619</v>
      </c>
      <c r="F570" t="s">
        <v>21</v>
      </c>
      <c r="G570" t="s">
        <v>29</v>
      </c>
      <c r="H570" t="s">
        <v>23</v>
      </c>
    </row>
    <row r="571" spans="1:8" x14ac:dyDescent="0.3">
      <c r="A571">
        <v>570</v>
      </c>
      <c r="B571" s="3">
        <v>44982</v>
      </c>
      <c r="C571" s="3">
        <v>44958</v>
      </c>
      <c r="D571" t="s">
        <v>19</v>
      </c>
      <c r="E571" t="s">
        <v>620</v>
      </c>
      <c r="F571" t="s">
        <v>21</v>
      </c>
      <c r="G571" t="s">
        <v>29</v>
      </c>
      <c r="H571" t="s">
        <v>27</v>
      </c>
    </row>
    <row r="572" spans="1:8" x14ac:dyDescent="0.3">
      <c r="A572">
        <v>571</v>
      </c>
      <c r="B572" s="3">
        <v>44982</v>
      </c>
      <c r="C572" s="3">
        <v>44958</v>
      </c>
      <c r="D572" t="s">
        <v>19</v>
      </c>
      <c r="E572" t="s">
        <v>621</v>
      </c>
      <c r="F572" t="s">
        <v>21</v>
      </c>
      <c r="G572" t="s">
        <v>22</v>
      </c>
      <c r="H572" t="s">
        <v>27</v>
      </c>
    </row>
    <row r="573" spans="1:8" x14ac:dyDescent="0.3">
      <c r="A573">
        <v>572</v>
      </c>
      <c r="B573" s="3">
        <v>44984</v>
      </c>
      <c r="C573" s="3">
        <v>44958</v>
      </c>
      <c r="D573" t="s">
        <v>19</v>
      </c>
      <c r="E573" t="s">
        <v>622</v>
      </c>
      <c r="F573" t="s">
        <v>25</v>
      </c>
      <c r="G573" t="s">
        <v>26</v>
      </c>
      <c r="H573" t="s">
        <v>574</v>
      </c>
    </row>
    <row r="574" spans="1:8" x14ac:dyDescent="0.3">
      <c r="A574">
        <v>573</v>
      </c>
      <c r="B574" s="3">
        <v>44985</v>
      </c>
      <c r="C574" s="3">
        <v>44958</v>
      </c>
      <c r="D574" t="s">
        <v>19</v>
      </c>
      <c r="E574" t="s">
        <v>623</v>
      </c>
      <c r="F574" t="s">
        <v>21</v>
      </c>
      <c r="G574" t="s">
        <v>69</v>
      </c>
      <c r="H574" t="s">
        <v>236</v>
      </c>
    </row>
    <row r="575" spans="1:8" x14ac:dyDescent="0.3">
      <c r="A575">
        <v>574</v>
      </c>
      <c r="B575" s="3">
        <v>44985</v>
      </c>
      <c r="C575" s="3">
        <v>44958</v>
      </c>
      <c r="D575" t="s">
        <v>19</v>
      </c>
      <c r="E575" t="s">
        <v>624</v>
      </c>
      <c r="F575" t="s">
        <v>21</v>
      </c>
      <c r="G575" t="s">
        <v>29</v>
      </c>
      <c r="H575" t="s">
        <v>574</v>
      </c>
    </row>
    <row r="576" spans="1:8" x14ac:dyDescent="0.3">
      <c r="A576">
        <v>575</v>
      </c>
      <c r="B576" s="3">
        <v>44988</v>
      </c>
      <c r="C576" s="3">
        <v>44986</v>
      </c>
      <c r="D576" t="s">
        <v>19</v>
      </c>
      <c r="E576" t="s">
        <v>625</v>
      </c>
      <c r="F576" t="s">
        <v>32</v>
      </c>
      <c r="G576" t="s">
        <v>593</v>
      </c>
      <c r="H576" t="s">
        <v>27</v>
      </c>
    </row>
    <row r="577" spans="1:8" x14ac:dyDescent="0.3">
      <c r="A577">
        <v>576</v>
      </c>
      <c r="B577" s="3">
        <v>44989</v>
      </c>
      <c r="C577" s="3">
        <v>44986</v>
      </c>
      <c r="D577" t="s">
        <v>19</v>
      </c>
      <c r="E577" t="s">
        <v>626</v>
      </c>
      <c r="F577" t="s">
        <v>40</v>
      </c>
      <c r="G577" t="s">
        <v>48</v>
      </c>
      <c r="H577" t="s">
        <v>574</v>
      </c>
    </row>
    <row r="578" spans="1:8" x14ac:dyDescent="0.3">
      <c r="A578">
        <v>577</v>
      </c>
      <c r="B578" s="3">
        <v>44994</v>
      </c>
      <c r="C578" s="3">
        <v>44986</v>
      </c>
      <c r="D578" t="s">
        <v>19</v>
      </c>
      <c r="E578" t="s">
        <v>627</v>
      </c>
      <c r="F578" t="s">
        <v>21</v>
      </c>
      <c r="G578" t="s">
        <v>22</v>
      </c>
      <c r="H578" t="s">
        <v>27</v>
      </c>
    </row>
    <row r="579" spans="1:8" x14ac:dyDescent="0.3">
      <c r="A579">
        <v>578</v>
      </c>
      <c r="B579" s="3">
        <v>44995</v>
      </c>
      <c r="C579" s="3">
        <v>44986</v>
      </c>
      <c r="D579" t="s">
        <v>19</v>
      </c>
      <c r="E579" t="s">
        <v>628</v>
      </c>
      <c r="F579" t="s">
        <v>32</v>
      </c>
      <c r="G579" t="s">
        <v>33</v>
      </c>
      <c r="H579" t="s">
        <v>574</v>
      </c>
    </row>
    <row r="580" spans="1:8" x14ac:dyDescent="0.3">
      <c r="A580">
        <v>579</v>
      </c>
      <c r="B580" s="3">
        <v>44995</v>
      </c>
      <c r="C580" s="3">
        <v>44986</v>
      </c>
      <c r="D580" t="s">
        <v>19</v>
      </c>
      <c r="E580" t="s">
        <v>629</v>
      </c>
      <c r="F580" t="s">
        <v>21</v>
      </c>
      <c r="G580" t="s">
        <v>22</v>
      </c>
      <c r="H580" t="s">
        <v>27</v>
      </c>
    </row>
    <row r="581" spans="1:8" x14ac:dyDescent="0.3">
      <c r="A581">
        <v>580</v>
      </c>
      <c r="B581" s="3">
        <v>44998</v>
      </c>
      <c r="C581" s="3">
        <v>44986</v>
      </c>
      <c r="D581" t="s">
        <v>19</v>
      </c>
      <c r="E581" t="s">
        <v>630</v>
      </c>
      <c r="F581" t="s">
        <v>21</v>
      </c>
      <c r="G581" t="s">
        <v>22</v>
      </c>
      <c r="H581" t="s">
        <v>27</v>
      </c>
    </row>
    <row r="582" spans="1:8" x14ac:dyDescent="0.3">
      <c r="A582">
        <v>581</v>
      </c>
      <c r="B582" s="3">
        <v>44998</v>
      </c>
      <c r="C582" s="3">
        <v>44986</v>
      </c>
      <c r="D582" t="s">
        <v>19</v>
      </c>
      <c r="E582" t="s">
        <v>631</v>
      </c>
      <c r="F582" t="s">
        <v>32</v>
      </c>
      <c r="G582" t="s">
        <v>33</v>
      </c>
      <c r="H582" t="s">
        <v>27</v>
      </c>
    </row>
    <row r="583" spans="1:8" x14ac:dyDescent="0.3">
      <c r="A583">
        <v>582</v>
      </c>
      <c r="B583" s="3">
        <v>45002</v>
      </c>
      <c r="C583" s="3">
        <v>44986</v>
      </c>
      <c r="D583" t="s">
        <v>19</v>
      </c>
      <c r="E583" t="s">
        <v>632</v>
      </c>
      <c r="F583" t="s">
        <v>25</v>
      </c>
      <c r="G583" t="s">
        <v>26</v>
      </c>
      <c r="H583" t="s">
        <v>27</v>
      </c>
    </row>
    <row r="584" spans="1:8" x14ac:dyDescent="0.3">
      <c r="A584">
        <v>583</v>
      </c>
      <c r="B584" s="3">
        <v>45005</v>
      </c>
      <c r="C584" s="3">
        <v>44986</v>
      </c>
      <c r="D584" t="s">
        <v>19</v>
      </c>
      <c r="E584" t="s">
        <v>633</v>
      </c>
      <c r="F584" t="s">
        <v>32</v>
      </c>
      <c r="G584" t="s">
        <v>33</v>
      </c>
      <c r="H584" t="s">
        <v>574</v>
      </c>
    </row>
    <row r="585" spans="1:8" x14ac:dyDescent="0.3">
      <c r="A585">
        <v>584</v>
      </c>
      <c r="B585" s="3">
        <v>45005</v>
      </c>
      <c r="C585" s="3">
        <v>44986</v>
      </c>
      <c r="D585" t="s">
        <v>19</v>
      </c>
      <c r="E585" t="s">
        <v>634</v>
      </c>
      <c r="F585" t="s">
        <v>32</v>
      </c>
      <c r="G585" t="s">
        <v>33</v>
      </c>
      <c r="H585" t="s">
        <v>574</v>
      </c>
    </row>
    <row r="586" spans="1:8" x14ac:dyDescent="0.3">
      <c r="A586">
        <v>585</v>
      </c>
      <c r="B586" s="3">
        <v>45005</v>
      </c>
      <c r="C586" s="3">
        <v>44986</v>
      </c>
      <c r="D586" t="s">
        <v>19</v>
      </c>
      <c r="E586" t="s">
        <v>635</v>
      </c>
      <c r="F586" t="s">
        <v>25</v>
      </c>
      <c r="G586" t="s">
        <v>26</v>
      </c>
      <c r="H586" t="s">
        <v>27</v>
      </c>
    </row>
    <row r="587" spans="1:8" x14ac:dyDescent="0.3">
      <c r="A587">
        <v>586</v>
      </c>
      <c r="B587" s="3">
        <v>45007</v>
      </c>
      <c r="C587" s="3">
        <v>44986</v>
      </c>
      <c r="D587" t="s">
        <v>19</v>
      </c>
      <c r="E587" t="s">
        <v>636</v>
      </c>
      <c r="F587" t="s">
        <v>25</v>
      </c>
      <c r="G587" t="s">
        <v>26</v>
      </c>
      <c r="H587" t="s">
        <v>27</v>
      </c>
    </row>
    <row r="588" spans="1:8" x14ac:dyDescent="0.3">
      <c r="A588">
        <v>587</v>
      </c>
      <c r="B588" s="3">
        <v>45007</v>
      </c>
      <c r="C588" s="3">
        <v>44986</v>
      </c>
      <c r="D588" t="s">
        <v>19</v>
      </c>
      <c r="E588" t="s">
        <v>637</v>
      </c>
      <c r="F588" t="s">
        <v>32</v>
      </c>
      <c r="G588" t="s">
        <v>33</v>
      </c>
      <c r="H588" t="s">
        <v>574</v>
      </c>
    </row>
    <row r="589" spans="1:8" x14ac:dyDescent="0.3">
      <c r="A589">
        <v>588</v>
      </c>
      <c r="B589" s="3">
        <v>45008</v>
      </c>
      <c r="C589" s="3">
        <v>44986</v>
      </c>
      <c r="D589" t="s">
        <v>19</v>
      </c>
      <c r="E589" t="s">
        <v>638</v>
      </c>
      <c r="F589" t="s">
        <v>32</v>
      </c>
      <c r="G589" t="s">
        <v>33</v>
      </c>
      <c r="H589" t="s">
        <v>27</v>
      </c>
    </row>
    <row r="590" spans="1:8" x14ac:dyDescent="0.3">
      <c r="A590">
        <v>589</v>
      </c>
      <c r="B590" s="3">
        <v>45008</v>
      </c>
      <c r="C590" s="3">
        <v>44986</v>
      </c>
      <c r="D590" t="s">
        <v>19</v>
      </c>
      <c r="E590" t="s">
        <v>639</v>
      </c>
      <c r="F590" t="s">
        <v>21</v>
      </c>
      <c r="G590" t="s">
        <v>22</v>
      </c>
      <c r="H590" t="s">
        <v>574</v>
      </c>
    </row>
    <row r="591" spans="1:8" x14ac:dyDescent="0.3">
      <c r="A591">
        <v>590</v>
      </c>
      <c r="B591" s="3">
        <v>45009</v>
      </c>
      <c r="C591" s="3">
        <v>44986</v>
      </c>
      <c r="D591" t="s">
        <v>19</v>
      </c>
      <c r="E591" t="s">
        <v>640</v>
      </c>
      <c r="F591" t="s">
        <v>32</v>
      </c>
      <c r="G591" t="s">
        <v>33</v>
      </c>
      <c r="H591" t="s">
        <v>574</v>
      </c>
    </row>
    <row r="592" spans="1:8" x14ac:dyDescent="0.3">
      <c r="A592">
        <v>591</v>
      </c>
      <c r="B592" s="3">
        <v>45010</v>
      </c>
      <c r="C592" s="3">
        <v>44986</v>
      </c>
      <c r="D592" t="s">
        <v>19</v>
      </c>
      <c r="E592" t="s">
        <v>641</v>
      </c>
      <c r="F592" t="s">
        <v>21</v>
      </c>
      <c r="G592" t="s">
        <v>29</v>
      </c>
      <c r="H592" t="s">
        <v>574</v>
      </c>
    </row>
    <row r="593" spans="1:8" x14ac:dyDescent="0.3">
      <c r="A593">
        <v>592</v>
      </c>
      <c r="B593" s="3">
        <v>45012</v>
      </c>
      <c r="C593" s="3">
        <v>44986</v>
      </c>
      <c r="D593" t="s">
        <v>19</v>
      </c>
      <c r="E593" t="s">
        <v>642</v>
      </c>
      <c r="F593" t="s">
        <v>32</v>
      </c>
      <c r="G593" t="s">
        <v>33</v>
      </c>
      <c r="H593" t="s">
        <v>574</v>
      </c>
    </row>
    <row r="594" spans="1:8" x14ac:dyDescent="0.3">
      <c r="A594">
        <v>593</v>
      </c>
      <c r="B594" s="3">
        <v>45013</v>
      </c>
      <c r="C594" s="3">
        <v>44986</v>
      </c>
      <c r="D594" t="s">
        <v>19</v>
      </c>
      <c r="E594" t="s">
        <v>643</v>
      </c>
      <c r="F594" t="s">
        <v>25</v>
      </c>
      <c r="G594" t="s">
        <v>26</v>
      </c>
      <c r="H594" t="s">
        <v>574</v>
      </c>
    </row>
    <row r="595" spans="1:8" x14ac:dyDescent="0.3">
      <c r="A595">
        <v>594</v>
      </c>
      <c r="B595" s="3">
        <v>45014</v>
      </c>
      <c r="C595" s="3">
        <v>44986</v>
      </c>
      <c r="D595" t="s">
        <v>19</v>
      </c>
      <c r="E595" t="s">
        <v>644</v>
      </c>
      <c r="F595" t="s">
        <v>40</v>
      </c>
      <c r="G595" t="s">
        <v>48</v>
      </c>
      <c r="H595" t="s">
        <v>27</v>
      </c>
    </row>
    <row r="596" spans="1:8" x14ac:dyDescent="0.3">
      <c r="A596">
        <v>595</v>
      </c>
      <c r="B596" s="3">
        <v>45016</v>
      </c>
      <c r="C596" s="3">
        <v>44986</v>
      </c>
      <c r="D596" t="s">
        <v>19</v>
      </c>
      <c r="E596" t="s">
        <v>645</v>
      </c>
      <c r="F596" t="s">
        <v>25</v>
      </c>
      <c r="G596" t="s">
        <v>26</v>
      </c>
      <c r="H596" t="s">
        <v>574</v>
      </c>
    </row>
    <row r="597" spans="1:8" x14ac:dyDescent="0.3">
      <c r="A597">
        <v>596</v>
      </c>
      <c r="B597" s="3">
        <v>45016</v>
      </c>
      <c r="C597" s="3">
        <v>44986</v>
      </c>
      <c r="D597" t="s">
        <v>19</v>
      </c>
      <c r="E597" t="s">
        <v>646</v>
      </c>
      <c r="F597" t="s">
        <v>21</v>
      </c>
      <c r="G597" t="s">
        <v>22</v>
      </c>
      <c r="H597" t="s">
        <v>27</v>
      </c>
    </row>
    <row r="598" spans="1:8" x14ac:dyDescent="0.3">
      <c r="A598">
        <v>597</v>
      </c>
      <c r="B598" s="3">
        <v>45016</v>
      </c>
      <c r="C598" s="3">
        <v>44986</v>
      </c>
      <c r="D598" t="s">
        <v>19</v>
      </c>
      <c r="E598" t="s">
        <v>647</v>
      </c>
      <c r="F598" t="s">
        <v>40</v>
      </c>
      <c r="G598" t="s">
        <v>48</v>
      </c>
      <c r="H598" t="s">
        <v>574</v>
      </c>
    </row>
    <row r="599" spans="1:8" x14ac:dyDescent="0.3">
      <c r="A599">
        <v>598</v>
      </c>
      <c r="B599" s="3">
        <v>45016</v>
      </c>
      <c r="C599" s="3">
        <v>44986</v>
      </c>
      <c r="D599" t="s">
        <v>19</v>
      </c>
      <c r="E599" t="s">
        <v>648</v>
      </c>
      <c r="F599" t="s">
        <v>32</v>
      </c>
      <c r="G599" t="s">
        <v>33</v>
      </c>
      <c r="H599" t="s">
        <v>27</v>
      </c>
    </row>
    <row r="600" spans="1:8" x14ac:dyDescent="0.3">
      <c r="A600">
        <v>599</v>
      </c>
      <c r="B600" s="3">
        <v>45016</v>
      </c>
      <c r="C600" s="3">
        <v>44986</v>
      </c>
      <c r="D600" t="s">
        <v>19</v>
      </c>
      <c r="E600" t="s">
        <v>649</v>
      </c>
      <c r="F600" t="s">
        <v>21</v>
      </c>
      <c r="G600" t="s">
        <v>22</v>
      </c>
      <c r="H600" t="s">
        <v>574</v>
      </c>
    </row>
    <row r="601" spans="1:8" x14ac:dyDescent="0.3">
      <c r="A601">
        <v>600</v>
      </c>
      <c r="B601" s="3">
        <v>45016</v>
      </c>
      <c r="C601" s="3">
        <v>44986</v>
      </c>
      <c r="D601" t="s">
        <v>19</v>
      </c>
      <c r="E601" t="s">
        <v>650</v>
      </c>
      <c r="F601" t="s">
        <v>21</v>
      </c>
      <c r="G601" t="s">
        <v>22</v>
      </c>
      <c r="H601" t="s">
        <v>574</v>
      </c>
    </row>
    <row r="602" spans="1:8" x14ac:dyDescent="0.3">
      <c r="A602">
        <v>601</v>
      </c>
      <c r="B602" s="3">
        <v>45016</v>
      </c>
      <c r="C602" s="3">
        <v>44986</v>
      </c>
      <c r="D602" t="s">
        <v>19</v>
      </c>
      <c r="E602" t="s">
        <v>651</v>
      </c>
      <c r="F602" t="s">
        <v>21</v>
      </c>
      <c r="G602" t="s">
        <v>29</v>
      </c>
      <c r="H602" t="s">
        <v>574</v>
      </c>
    </row>
    <row r="603" spans="1:8" x14ac:dyDescent="0.3">
      <c r="A603">
        <v>602</v>
      </c>
      <c r="B603" s="3">
        <v>45016</v>
      </c>
      <c r="C603" s="3">
        <v>44986</v>
      </c>
      <c r="D603" t="s">
        <v>19</v>
      </c>
      <c r="E603" t="s">
        <v>652</v>
      </c>
      <c r="F603" t="s">
        <v>40</v>
      </c>
      <c r="G603" t="s">
        <v>48</v>
      </c>
      <c r="H603" t="s">
        <v>574</v>
      </c>
    </row>
    <row r="604" spans="1:8" x14ac:dyDescent="0.3">
      <c r="A604">
        <v>603</v>
      </c>
      <c r="B604" s="3">
        <v>45016</v>
      </c>
      <c r="C604" s="3">
        <v>44986</v>
      </c>
      <c r="D604" t="s">
        <v>19</v>
      </c>
      <c r="E604" t="s">
        <v>653</v>
      </c>
      <c r="F604" t="s">
        <v>32</v>
      </c>
      <c r="G604" t="s">
        <v>33</v>
      </c>
      <c r="H604" t="s">
        <v>574</v>
      </c>
    </row>
    <row r="605" spans="1:8" x14ac:dyDescent="0.3">
      <c r="A605">
        <v>604</v>
      </c>
      <c r="B605" s="3">
        <v>45027</v>
      </c>
      <c r="C605" s="3">
        <v>45017</v>
      </c>
      <c r="D605" t="s">
        <v>19</v>
      </c>
      <c r="E605" t="s">
        <v>654</v>
      </c>
      <c r="F605" t="s">
        <v>21</v>
      </c>
      <c r="G605" t="s">
        <v>22</v>
      </c>
      <c r="H605" t="s">
        <v>27</v>
      </c>
    </row>
    <row r="606" spans="1:8" x14ac:dyDescent="0.3">
      <c r="A606">
        <v>605</v>
      </c>
      <c r="B606" s="3">
        <v>45027</v>
      </c>
      <c r="C606" s="3">
        <v>45017</v>
      </c>
      <c r="D606" t="s">
        <v>19</v>
      </c>
      <c r="E606" t="s">
        <v>655</v>
      </c>
      <c r="F606" t="s">
        <v>32</v>
      </c>
      <c r="G606" t="s">
        <v>33</v>
      </c>
      <c r="H606" t="s">
        <v>574</v>
      </c>
    </row>
    <row r="607" spans="1:8" x14ac:dyDescent="0.3">
      <c r="A607">
        <v>606</v>
      </c>
      <c r="B607" s="3">
        <v>45028</v>
      </c>
      <c r="C607" s="3">
        <v>45017</v>
      </c>
      <c r="D607" t="s">
        <v>19</v>
      </c>
      <c r="E607" t="s">
        <v>656</v>
      </c>
      <c r="F607" t="s">
        <v>40</v>
      </c>
      <c r="G607" t="s">
        <v>48</v>
      </c>
      <c r="H607" t="s">
        <v>574</v>
      </c>
    </row>
    <row r="608" spans="1:8" x14ac:dyDescent="0.3">
      <c r="A608">
        <v>607</v>
      </c>
      <c r="B608" s="3">
        <v>45033</v>
      </c>
      <c r="C608" s="3">
        <v>45017</v>
      </c>
      <c r="D608" t="s">
        <v>19</v>
      </c>
      <c r="E608" t="s">
        <v>657</v>
      </c>
      <c r="F608" t="s">
        <v>40</v>
      </c>
      <c r="G608" t="s">
        <v>108</v>
      </c>
      <c r="H608" t="s">
        <v>574</v>
      </c>
    </row>
    <row r="609" spans="1:8" x14ac:dyDescent="0.3">
      <c r="A609">
        <v>608</v>
      </c>
      <c r="B609" s="3">
        <v>45034</v>
      </c>
      <c r="C609" s="3">
        <v>45017</v>
      </c>
      <c r="D609" t="s">
        <v>19</v>
      </c>
      <c r="E609" t="s">
        <v>658</v>
      </c>
      <c r="F609" t="s">
        <v>32</v>
      </c>
      <c r="G609" t="s">
        <v>33</v>
      </c>
      <c r="H609" t="s">
        <v>574</v>
      </c>
    </row>
    <row r="610" spans="1:8" x14ac:dyDescent="0.3">
      <c r="A610">
        <v>609</v>
      </c>
      <c r="B610" s="3">
        <v>45035</v>
      </c>
      <c r="C610" s="3">
        <v>45017</v>
      </c>
      <c r="D610" t="s">
        <v>19</v>
      </c>
      <c r="E610" t="s">
        <v>659</v>
      </c>
      <c r="F610" t="s">
        <v>21</v>
      </c>
      <c r="G610" t="s">
        <v>29</v>
      </c>
      <c r="H610" t="s">
        <v>23</v>
      </c>
    </row>
    <row r="611" spans="1:8" x14ac:dyDescent="0.3">
      <c r="A611">
        <v>610</v>
      </c>
      <c r="B611" s="3">
        <v>45035</v>
      </c>
      <c r="C611" s="3">
        <v>45017</v>
      </c>
      <c r="D611" t="s">
        <v>19</v>
      </c>
      <c r="E611" t="s">
        <v>660</v>
      </c>
      <c r="F611" t="s">
        <v>21</v>
      </c>
      <c r="G611" t="s">
        <v>22</v>
      </c>
      <c r="H611" t="s">
        <v>574</v>
      </c>
    </row>
    <row r="612" spans="1:8" x14ac:dyDescent="0.3">
      <c r="A612">
        <v>611</v>
      </c>
      <c r="B612" s="3">
        <v>45035</v>
      </c>
      <c r="C612" s="3">
        <v>45017</v>
      </c>
      <c r="D612" t="s">
        <v>19</v>
      </c>
      <c r="E612" t="s">
        <v>661</v>
      </c>
      <c r="F612" t="s">
        <v>40</v>
      </c>
      <c r="G612" t="s">
        <v>48</v>
      </c>
      <c r="H612" t="s">
        <v>27</v>
      </c>
    </row>
    <row r="613" spans="1:8" x14ac:dyDescent="0.3">
      <c r="A613">
        <v>612</v>
      </c>
      <c r="B613" s="3">
        <v>45037</v>
      </c>
      <c r="C613" s="3">
        <v>45017</v>
      </c>
      <c r="D613" t="s">
        <v>19</v>
      </c>
      <c r="E613" t="s">
        <v>662</v>
      </c>
      <c r="F613" t="s">
        <v>21</v>
      </c>
      <c r="G613" t="s">
        <v>29</v>
      </c>
      <c r="H613" t="s">
        <v>574</v>
      </c>
    </row>
    <row r="614" spans="1:8" x14ac:dyDescent="0.3">
      <c r="A614">
        <v>613</v>
      </c>
      <c r="B614" s="3">
        <v>45037</v>
      </c>
      <c r="C614" s="3">
        <v>45017</v>
      </c>
      <c r="D614" t="s">
        <v>19</v>
      </c>
      <c r="E614" t="s">
        <v>663</v>
      </c>
      <c r="F614" t="s">
        <v>21</v>
      </c>
      <c r="G614" t="s">
        <v>22</v>
      </c>
      <c r="H614" t="s">
        <v>574</v>
      </c>
    </row>
    <row r="615" spans="1:8" x14ac:dyDescent="0.3">
      <c r="A615">
        <v>614</v>
      </c>
      <c r="B615" s="3">
        <v>45037</v>
      </c>
      <c r="C615" s="3">
        <v>45017</v>
      </c>
      <c r="D615" t="s">
        <v>19</v>
      </c>
      <c r="E615" t="s">
        <v>664</v>
      </c>
      <c r="F615" t="s">
        <v>21</v>
      </c>
      <c r="G615" t="s">
        <v>22</v>
      </c>
      <c r="H615" t="s">
        <v>574</v>
      </c>
    </row>
    <row r="616" spans="1:8" x14ac:dyDescent="0.3">
      <c r="A616">
        <v>615</v>
      </c>
      <c r="B616" s="3">
        <v>45037</v>
      </c>
      <c r="C616" s="3">
        <v>45017</v>
      </c>
      <c r="D616" t="s">
        <v>19</v>
      </c>
      <c r="E616" t="s">
        <v>665</v>
      </c>
      <c r="F616" t="s">
        <v>21</v>
      </c>
      <c r="G616" t="s">
        <v>22</v>
      </c>
      <c r="H616" t="s">
        <v>574</v>
      </c>
    </row>
    <row r="617" spans="1:8" x14ac:dyDescent="0.3">
      <c r="A617">
        <v>616</v>
      </c>
      <c r="B617" s="3">
        <v>45037</v>
      </c>
      <c r="C617" s="3">
        <v>45017</v>
      </c>
      <c r="D617" t="s">
        <v>19</v>
      </c>
      <c r="E617" t="s">
        <v>666</v>
      </c>
      <c r="F617" t="s">
        <v>25</v>
      </c>
      <c r="G617" t="s">
        <v>29</v>
      </c>
      <c r="H617" t="s">
        <v>574</v>
      </c>
    </row>
    <row r="618" spans="1:8" x14ac:dyDescent="0.3">
      <c r="A618">
        <v>617</v>
      </c>
      <c r="B618" s="3">
        <v>45037</v>
      </c>
      <c r="C618" s="3">
        <v>45017</v>
      </c>
      <c r="D618" t="s">
        <v>19</v>
      </c>
      <c r="E618" t="s">
        <v>667</v>
      </c>
      <c r="F618" t="s">
        <v>25</v>
      </c>
      <c r="G618" t="s">
        <v>26</v>
      </c>
      <c r="H618" t="s">
        <v>574</v>
      </c>
    </row>
    <row r="619" spans="1:8" x14ac:dyDescent="0.3">
      <c r="A619">
        <v>618</v>
      </c>
      <c r="B619" s="3">
        <v>45040</v>
      </c>
      <c r="C619" s="3">
        <v>45017</v>
      </c>
      <c r="D619" t="s">
        <v>19</v>
      </c>
      <c r="E619" t="s">
        <v>668</v>
      </c>
      <c r="F619" t="s">
        <v>21</v>
      </c>
      <c r="G619" t="s">
        <v>29</v>
      </c>
      <c r="H619" t="s">
        <v>27</v>
      </c>
    </row>
    <row r="620" spans="1:8" x14ac:dyDescent="0.3">
      <c r="A620">
        <v>619</v>
      </c>
      <c r="B620" s="3">
        <v>45040</v>
      </c>
      <c r="C620" s="3">
        <v>45017</v>
      </c>
      <c r="D620" t="s">
        <v>19</v>
      </c>
      <c r="E620" t="s">
        <v>669</v>
      </c>
      <c r="F620" t="s">
        <v>21</v>
      </c>
      <c r="G620" t="s">
        <v>22</v>
      </c>
      <c r="H620" t="s">
        <v>574</v>
      </c>
    </row>
    <row r="621" spans="1:8" x14ac:dyDescent="0.3">
      <c r="A621">
        <v>620</v>
      </c>
      <c r="B621" s="3">
        <v>45041</v>
      </c>
      <c r="C621" s="3">
        <v>45017</v>
      </c>
      <c r="D621" t="s">
        <v>19</v>
      </c>
      <c r="E621" t="s">
        <v>670</v>
      </c>
      <c r="F621" t="s">
        <v>21</v>
      </c>
      <c r="G621" t="s">
        <v>29</v>
      </c>
      <c r="H621" t="s">
        <v>574</v>
      </c>
    </row>
    <row r="622" spans="1:8" x14ac:dyDescent="0.3">
      <c r="A622">
        <v>621</v>
      </c>
      <c r="B622" s="3">
        <v>45042</v>
      </c>
      <c r="C622" s="3">
        <v>45017</v>
      </c>
      <c r="D622" t="s">
        <v>19</v>
      </c>
      <c r="E622" t="s">
        <v>671</v>
      </c>
      <c r="F622" t="s">
        <v>40</v>
      </c>
      <c r="G622" t="s">
        <v>48</v>
      </c>
      <c r="H622" t="s">
        <v>234</v>
      </c>
    </row>
    <row r="623" spans="1:8" x14ac:dyDescent="0.3">
      <c r="A623">
        <v>622</v>
      </c>
      <c r="B623" s="3">
        <v>45043</v>
      </c>
      <c r="C623" s="3">
        <v>45017</v>
      </c>
      <c r="D623" t="s">
        <v>19</v>
      </c>
      <c r="E623" t="s">
        <v>672</v>
      </c>
      <c r="F623" t="s">
        <v>32</v>
      </c>
      <c r="G623" t="s">
        <v>33</v>
      </c>
      <c r="H623" t="s">
        <v>27</v>
      </c>
    </row>
    <row r="624" spans="1:8" x14ac:dyDescent="0.3">
      <c r="A624">
        <v>623</v>
      </c>
      <c r="B624" s="3">
        <v>45043</v>
      </c>
      <c r="C624" s="3">
        <v>45017</v>
      </c>
      <c r="D624" t="s">
        <v>19</v>
      </c>
      <c r="E624" t="s">
        <v>673</v>
      </c>
      <c r="F624" t="s">
        <v>25</v>
      </c>
      <c r="G624" t="s">
        <v>26</v>
      </c>
      <c r="H624" t="s">
        <v>574</v>
      </c>
    </row>
    <row r="625" spans="1:8" x14ac:dyDescent="0.3">
      <c r="A625">
        <v>624</v>
      </c>
      <c r="B625" s="3">
        <v>45044</v>
      </c>
      <c r="C625" s="3">
        <v>45017</v>
      </c>
      <c r="D625" t="s">
        <v>19</v>
      </c>
      <c r="E625" t="s">
        <v>674</v>
      </c>
      <c r="F625" t="s">
        <v>25</v>
      </c>
      <c r="G625" t="s">
        <v>26</v>
      </c>
      <c r="H625" t="s">
        <v>574</v>
      </c>
    </row>
    <row r="626" spans="1:8" x14ac:dyDescent="0.3">
      <c r="A626">
        <v>625</v>
      </c>
      <c r="B626" s="3">
        <v>45044</v>
      </c>
      <c r="C626" s="3">
        <v>45017</v>
      </c>
      <c r="D626" t="s">
        <v>19</v>
      </c>
      <c r="E626" t="s">
        <v>675</v>
      </c>
      <c r="F626" t="s">
        <v>40</v>
      </c>
      <c r="G626" t="s">
        <v>48</v>
      </c>
      <c r="H626" t="s">
        <v>574</v>
      </c>
    </row>
    <row r="627" spans="1:8" x14ac:dyDescent="0.3">
      <c r="A627">
        <v>626</v>
      </c>
      <c r="B627" s="3">
        <v>45045</v>
      </c>
      <c r="C627" s="3">
        <v>45017</v>
      </c>
      <c r="D627" t="s">
        <v>19</v>
      </c>
      <c r="E627" t="s">
        <v>676</v>
      </c>
      <c r="F627" t="s">
        <v>25</v>
      </c>
      <c r="G627" t="s">
        <v>26</v>
      </c>
      <c r="H627" t="s">
        <v>574</v>
      </c>
    </row>
    <row r="628" spans="1:8" x14ac:dyDescent="0.3">
      <c r="A628">
        <v>627</v>
      </c>
      <c r="B628" s="3">
        <v>45046</v>
      </c>
      <c r="C628" s="3">
        <v>45017</v>
      </c>
      <c r="D628" t="s">
        <v>19</v>
      </c>
      <c r="E628" t="s">
        <v>677</v>
      </c>
      <c r="F628" t="s">
        <v>40</v>
      </c>
      <c r="G628" t="s">
        <v>58</v>
      </c>
      <c r="H628" t="s">
        <v>27</v>
      </c>
    </row>
    <row r="629" spans="1:8" x14ac:dyDescent="0.3">
      <c r="A629">
        <v>628</v>
      </c>
      <c r="B629" s="3">
        <v>45050</v>
      </c>
      <c r="C629" s="3">
        <v>45047</v>
      </c>
      <c r="D629" t="s">
        <v>19</v>
      </c>
      <c r="E629" t="s">
        <v>678</v>
      </c>
      <c r="F629" t="s">
        <v>32</v>
      </c>
      <c r="G629" t="s">
        <v>33</v>
      </c>
      <c r="H629" t="s">
        <v>574</v>
      </c>
    </row>
    <row r="630" spans="1:8" x14ac:dyDescent="0.3">
      <c r="A630">
        <v>629</v>
      </c>
      <c r="B630" s="3">
        <v>45055</v>
      </c>
      <c r="C630" s="3">
        <v>45047</v>
      </c>
      <c r="D630" t="s">
        <v>19</v>
      </c>
      <c r="E630" t="s">
        <v>679</v>
      </c>
      <c r="F630" t="s">
        <v>32</v>
      </c>
      <c r="G630" t="s">
        <v>33</v>
      </c>
      <c r="H630" t="s">
        <v>234</v>
      </c>
    </row>
    <row r="631" spans="1:8" x14ac:dyDescent="0.3">
      <c r="A631">
        <v>630</v>
      </c>
      <c r="B631" s="3">
        <v>45058</v>
      </c>
      <c r="C631" s="3">
        <v>45047</v>
      </c>
      <c r="D631" t="s">
        <v>19</v>
      </c>
      <c r="E631" t="s">
        <v>680</v>
      </c>
      <c r="F631" t="s">
        <v>32</v>
      </c>
      <c r="G631" t="s">
        <v>33</v>
      </c>
      <c r="H631" t="s">
        <v>574</v>
      </c>
    </row>
    <row r="632" spans="1:8" x14ac:dyDescent="0.3">
      <c r="A632">
        <v>631</v>
      </c>
      <c r="B632" s="3">
        <v>45059</v>
      </c>
      <c r="C632" s="3">
        <v>45047</v>
      </c>
      <c r="D632" t="s">
        <v>19</v>
      </c>
      <c r="E632" t="s">
        <v>681</v>
      </c>
      <c r="F632" t="s">
        <v>21</v>
      </c>
      <c r="G632" t="s">
        <v>22</v>
      </c>
      <c r="H632" t="s">
        <v>30</v>
      </c>
    </row>
    <row r="633" spans="1:8" x14ac:dyDescent="0.3">
      <c r="A633">
        <v>632</v>
      </c>
      <c r="B633" s="3">
        <v>45058</v>
      </c>
      <c r="C633" s="3">
        <v>45047</v>
      </c>
      <c r="D633" t="s">
        <v>19</v>
      </c>
      <c r="E633" t="s">
        <v>682</v>
      </c>
      <c r="F633" t="s">
        <v>32</v>
      </c>
      <c r="G633" t="s">
        <v>33</v>
      </c>
      <c r="H633" t="s">
        <v>574</v>
      </c>
    </row>
    <row r="634" spans="1:8" x14ac:dyDescent="0.3">
      <c r="A634">
        <v>633</v>
      </c>
      <c r="B634" s="3">
        <v>45062</v>
      </c>
      <c r="C634" s="3">
        <v>45047</v>
      </c>
      <c r="D634" t="s">
        <v>19</v>
      </c>
      <c r="E634" t="s">
        <v>683</v>
      </c>
      <c r="F634" t="s">
        <v>25</v>
      </c>
      <c r="G634" t="s">
        <v>26</v>
      </c>
      <c r="H634" t="s">
        <v>30</v>
      </c>
    </row>
    <row r="635" spans="1:8" x14ac:dyDescent="0.3">
      <c r="A635">
        <v>634</v>
      </c>
      <c r="B635" s="3">
        <v>45063</v>
      </c>
      <c r="C635" s="3">
        <v>45047</v>
      </c>
      <c r="D635" t="s">
        <v>19</v>
      </c>
      <c r="E635" t="s">
        <v>684</v>
      </c>
      <c r="F635" t="s">
        <v>21</v>
      </c>
      <c r="G635" t="s">
        <v>22</v>
      </c>
      <c r="H635" t="s">
        <v>574</v>
      </c>
    </row>
    <row r="636" spans="1:8" x14ac:dyDescent="0.3">
      <c r="A636">
        <v>635</v>
      </c>
      <c r="B636" s="3">
        <v>45064</v>
      </c>
      <c r="C636" s="3">
        <v>45047</v>
      </c>
      <c r="D636" t="s">
        <v>19</v>
      </c>
      <c r="E636" t="s">
        <v>685</v>
      </c>
      <c r="F636" t="s">
        <v>21</v>
      </c>
      <c r="G636" t="s">
        <v>29</v>
      </c>
      <c r="H636" t="s">
        <v>30</v>
      </c>
    </row>
    <row r="637" spans="1:8" x14ac:dyDescent="0.3">
      <c r="A637">
        <v>636</v>
      </c>
      <c r="B637" s="3">
        <v>45068</v>
      </c>
      <c r="C637" s="3">
        <v>45047</v>
      </c>
      <c r="D637" t="s">
        <v>19</v>
      </c>
      <c r="E637" t="s">
        <v>686</v>
      </c>
      <c r="F637" t="s">
        <v>21</v>
      </c>
      <c r="G637" t="s">
        <v>29</v>
      </c>
      <c r="H637" t="s">
        <v>27</v>
      </c>
    </row>
    <row r="638" spans="1:8" x14ac:dyDescent="0.3">
      <c r="A638">
        <v>637</v>
      </c>
      <c r="B638" s="3">
        <v>45068</v>
      </c>
      <c r="C638" s="3">
        <v>45047</v>
      </c>
      <c r="D638" t="s">
        <v>19</v>
      </c>
      <c r="E638" t="s">
        <v>687</v>
      </c>
      <c r="F638" t="s">
        <v>40</v>
      </c>
      <c r="G638" t="s">
        <v>48</v>
      </c>
      <c r="H638" t="s">
        <v>574</v>
      </c>
    </row>
    <row r="639" spans="1:8" x14ac:dyDescent="0.3">
      <c r="A639">
        <v>638</v>
      </c>
      <c r="B639" s="3">
        <v>45069</v>
      </c>
      <c r="C639" s="3">
        <v>45047</v>
      </c>
      <c r="D639" t="s">
        <v>19</v>
      </c>
      <c r="E639" t="s">
        <v>688</v>
      </c>
      <c r="F639" t="s">
        <v>25</v>
      </c>
      <c r="G639" t="s">
        <v>26</v>
      </c>
      <c r="H639" t="s">
        <v>574</v>
      </c>
    </row>
    <row r="640" spans="1:8" x14ac:dyDescent="0.3">
      <c r="A640">
        <v>639</v>
      </c>
      <c r="B640" s="3">
        <v>45069</v>
      </c>
      <c r="C640" s="3">
        <v>45047</v>
      </c>
      <c r="D640" t="s">
        <v>19</v>
      </c>
      <c r="E640" t="s">
        <v>689</v>
      </c>
      <c r="F640" t="s">
        <v>21</v>
      </c>
      <c r="G640" t="s">
        <v>22</v>
      </c>
      <c r="H640" t="s">
        <v>27</v>
      </c>
    </row>
    <row r="641" spans="1:8" x14ac:dyDescent="0.3">
      <c r="A641">
        <v>640</v>
      </c>
      <c r="B641" s="3">
        <v>45069</v>
      </c>
      <c r="C641" s="3">
        <v>45047</v>
      </c>
      <c r="D641" t="s">
        <v>19</v>
      </c>
      <c r="E641" t="s">
        <v>690</v>
      </c>
      <c r="F641" t="s">
        <v>25</v>
      </c>
      <c r="G641" t="s">
        <v>29</v>
      </c>
      <c r="H641" t="s">
        <v>574</v>
      </c>
    </row>
    <row r="642" spans="1:8" x14ac:dyDescent="0.3">
      <c r="A642">
        <v>641</v>
      </c>
      <c r="B642" s="3">
        <v>45069</v>
      </c>
      <c r="C642" s="3">
        <v>45047</v>
      </c>
      <c r="D642" t="s">
        <v>19</v>
      </c>
      <c r="E642" t="s">
        <v>691</v>
      </c>
      <c r="F642" t="s">
        <v>25</v>
      </c>
      <c r="G642" t="s">
        <v>593</v>
      </c>
      <c r="H642" t="s">
        <v>234</v>
      </c>
    </row>
    <row r="643" spans="1:8" x14ac:dyDescent="0.3">
      <c r="A643">
        <v>642</v>
      </c>
      <c r="B643" s="3">
        <v>45070</v>
      </c>
      <c r="C643" s="3">
        <v>45047</v>
      </c>
      <c r="D643" t="s">
        <v>19</v>
      </c>
      <c r="E643" t="s">
        <v>692</v>
      </c>
      <c r="F643" t="s">
        <v>21</v>
      </c>
      <c r="G643" t="s">
        <v>22</v>
      </c>
      <c r="H643" t="s">
        <v>574</v>
      </c>
    </row>
    <row r="644" spans="1:8" x14ac:dyDescent="0.3">
      <c r="A644">
        <v>643</v>
      </c>
      <c r="B644" s="3">
        <v>45070</v>
      </c>
      <c r="C644" s="3">
        <v>45047</v>
      </c>
      <c r="D644" t="s">
        <v>19</v>
      </c>
      <c r="E644" t="s">
        <v>693</v>
      </c>
      <c r="F644" t="s">
        <v>21</v>
      </c>
      <c r="G644" t="s">
        <v>22</v>
      </c>
      <c r="H644" t="s">
        <v>574</v>
      </c>
    </row>
    <row r="645" spans="1:8" x14ac:dyDescent="0.3">
      <c r="A645">
        <v>644</v>
      </c>
      <c r="B645" s="3">
        <v>45070</v>
      </c>
      <c r="C645" s="3">
        <v>45047</v>
      </c>
      <c r="D645" t="s">
        <v>19</v>
      </c>
      <c r="E645" t="s">
        <v>694</v>
      </c>
      <c r="F645" t="s">
        <v>21</v>
      </c>
      <c r="G645" t="s">
        <v>29</v>
      </c>
      <c r="H645" t="s">
        <v>30</v>
      </c>
    </row>
    <row r="646" spans="1:8" x14ac:dyDescent="0.3">
      <c r="A646">
        <v>645</v>
      </c>
      <c r="B646" s="3">
        <v>45070</v>
      </c>
      <c r="C646" s="3">
        <v>45047</v>
      </c>
      <c r="D646" t="s">
        <v>19</v>
      </c>
      <c r="E646" t="s">
        <v>695</v>
      </c>
      <c r="F646" t="s">
        <v>21</v>
      </c>
      <c r="G646" t="s">
        <v>22</v>
      </c>
      <c r="H646" t="s">
        <v>30</v>
      </c>
    </row>
    <row r="647" spans="1:8" x14ac:dyDescent="0.3">
      <c r="A647">
        <v>646</v>
      </c>
      <c r="B647" s="3">
        <v>45071</v>
      </c>
      <c r="C647" s="3">
        <v>45047</v>
      </c>
      <c r="D647" t="s">
        <v>19</v>
      </c>
      <c r="E647" t="s">
        <v>696</v>
      </c>
      <c r="F647" t="s">
        <v>21</v>
      </c>
      <c r="G647" t="s">
        <v>22</v>
      </c>
      <c r="H647" t="s">
        <v>27</v>
      </c>
    </row>
    <row r="648" spans="1:8" x14ac:dyDescent="0.3">
      <c r="A648">
        <v>647</v>
      </c>
      <c r="B648" s="3">
        <v>45071</v>
      </c>
      <c r="C648" s="3">
        <v>45047</v>
      </c>
      <c r="D648" t="s">
        <v>19</v>
      </c>
      <c r="E648" t="s">
        <v>697</v>
      </c>
      <c r="F648" t="s">
        <v>32</v>
      </c>
      <c r="G648" t="s">
        <v>33</v>
      </c>
      <c r="H648" t="s">
        <v>27</v>
      </c>
    </row>
    <row r="649" spans="1:8" x14ac:dyDescent="0.3">
      <c r="A649">
        <v>648</v>
      </c>
      <c r="B649" s="3">
        <v>45072</v>
      </c>
      <c r="C649" s="3">
        <v>45047</v>
      </c>
      <c r="D649" t="s">
        <v>19</v>
      </c>
      <c r="E649" t="s">
        <v>698</v>
      </c>
      <c r="F649" t="s">
        <v>25</v>
      </c>
      <c r="G649" t="s">
        <v>317</v>
      </c>
      <c r="H649" t="s">
        <v>30</v>
      </c>
    </row>
    <row r="650" spans="1:8" x14ac:dyDescent="0.3">
      <c r="A650">
        <v>649</v>
      </c>
      <c r="B650" s="3">
        <v>45072</v>
      </c>
      <c r="C650" s="3">
        <v>45047</v>
      </c>
      <c r="D650" t="s">
        <v>19</v>
      </c>
      <c r="E650" t="s">
        <v>699</v>
      </c>
      <c r="F650" t="s">
        <v>32</v>
      </c>
      <c r="G650" t="s">
        <v>33</v>
      </c>
      <c r="H650" t="s">
        <v>27</v>
      </c>
    </row>
    <row r="651" spans="1:8" x14ac:dyDescent="0.3">
      <c r="A651">
        <v>650</v>
      </c>
      <c r="B651" s="3">
        <v>45074</v>
      </c>
      <c r="C651" s="3">
        <v>45047</v>
      </c>
      <c r="D651" t="s">
        <v>19</v>
      </c>
      <c r="E651" t="s">
        <v>700</v>
      </c>
      <c r="F651" t="s">
        <v>40</v>
      </c>
      <c r="G651" t="s">
        <v>41</v>
      </c>
      <c r="H651" t="s">
        <v>30</v>
      </c>
    </row>
    <row r="652" spans="1:8" x14ac:dyDescent="0.3">
      <c r="A652">
        <v>651</v>
      </c>
      <c r="B652" s="3">
        <v>45075</v>
      </c>
      <c r="C652" s="3">
        <v>45047</v>
      </c>
      <c r="D652" t="s">
        <v>19</v>
      </c>
      <c r="E652" t="s">
        <v>701</v>
      </c>
      <c r="F652" t="s">
        <v>25</v>
      </c>
      <c r="G652" t="s">
        <v>317</v>
      </c>
      <c r="H652" t="s">
        <v>27</v>
      </c>
    </row>
    <row r="653" spans="1:8" x14ac:dyDescent="0.3">
      <c r="A653">
        <v>652</v>
      </c>
      <c r="B653" s="3">
        <v>45075</v>
      </c>
      <c r="C653" s="3">
        <v>45047</v>
      </c>
      <c r="D653" t="s">
        <v>19</v>
      </c>
      <c r="E653" t="s">
        <v>702</v>
      </c>
      <c r="F653" t="s">
        <v>32</v>
      </c>
      <c r="G653" t="s">
        <v>33</v>
      </c>
      <c r="H653" t="s">
        <v>30</v>
      </c>
    </row>
    <row r="654" spans="1:8" x14ac:dyDescent="0.3">
      <c r="A654">
        <v>653</v>
      </c>
      <c r="B654" s="3">
        <v>45076</v>
      </c>
      <c r="C654" s="3">
        <v>45047</v>
      </c>
      <c r="D654" t="s">
        <v>19</v>
      </c>
      <c r="E654" t="s">
        <v>703</v>
      </c>
      <c r="F654" t="s">
        <v>32</v>
      </c>
      <c r="G654" t="s">
        <v>33</v>
      </c>
      <c r="H654" t="s">
        <v>574</v>
      </c>
    </row>
    <row r="655" spans="1:8" x14ac:dyDescent="0.3">
      <c r="A655">
        <v>654</v>
      </c>
      <c r="B655" s="3">
        <v>45076</v>
      </c>
      <c r="C655" s="3">
        <v>45047</v>
      </c>
      <c r="D655" t="s">
        <v>19</v>
      </c>
      <c r="E655" t="s">
        <v>704</v>
      </c>
      <c r="F655" t="s">
        <v>40</v>
      </c>
      <c r="G655" t="s">
        <v>75</v>
      </c>
      <c r="H655" t="s">
        <v>30</v>
      </c>
    </row>
    <row r="656" spans="1:8" x14ac:dyDescent="0.3">
      <c r="A656">
        <v>655</v>
      </c>
      <c r="B656" s="3">
        <v>45076</v>
      </c>
      <c r="C656" s="3">
        <v>45047</v>
      </c>
      <c r="D656" t="s">
        <v>19</v>
      </c>
      <c r="E656" t="s">
        <v>705</v>
      </c>
      <c r="F656" t="s">
        <v>40</v>
      </c>
      <c r="G656" t="s">
        <v>41</v>
      </c>
      <c r="H656" t="s">
        <v>574</v>
      </c>
    </row>
    <row r="657" spans="1:8" x14ac:dyDescent="0.3">
      <c r="A657">
        <v>656</v>
      </c>
      <c r="B657" s="3">
        <v>45077</v>
      </c>
      <c r="C657" s="3">
        <v>45047</v>
      </c>
      <c r="D657" t="s">
        <v>19</v>
      </c>
      <c r="E657" t="s">
        <v>706</v>
      </c>
      <c r="F657" t="s">
        <v>40</v>
      </c>
      <c r="G657" t="s">
        <v>58</v>
      </c>
      <c r="H657" t="s">
        <v>27</v>
      </c>
    </row>
    <row r="658" spans="1:8" x14ac:dyDescent="0.3">
      <c r="A658">
        <v>657</v>
      </c>
      <c r="B658" s="3">
        <v>45077</v>
      </c>
      <c r="C658" s="3">
        <v>45047</v>
      </c>
      <c r="D658" t="s">
        <v>19</v>
      </c>
      <c r="E658" t="s">
        <v>707</v>
      </c>
      <c r="F658" t="s">
        <v>25</v>
      </c>
      <c r="G658" t="s">
        <v>26</v>
      </c>
      <c r="H658" t="s">
        <v>30</v>
      </c>
    </row>
    <row r="659" spans="1:8" x14ac:dyDescent="0.3">
      <c r="A659">
        <v>658</v>
      </c>
      <c r="B659" s="3">
        <v>45077</v>
      </c>
      <c r="C659" s="3">
        <v>45047</v>
      </c>
      <c r="D659" t="s">
        <v>19</v>
      </c>
      <c r="E659" t="s">
        <v>708</v>
      </c>
      <c r="F659" t="s">
        <v>32</v>
      </c>
      <c r="G659" t="s">
        <v>33</v>
      </c>
      <c r="H659" t="s">
        <v>574</v>
      </c>
    </row>
    <row r="660" spans="1:8" x14ac:dyDescent="0.3">
      <c r="A660">
        <v>659</v>
      </c>
      <c r="B660" s="3">
        <v>45077</v>
      </c>
      <c r="C660" s="3">
        <v>45047</v>
      </c>
      <c r="D660" t="s">
        <v>19</v>
      </c>
      <c r="E660" t="s">
        <v>709</v>
      </c>
      <c r="F660" t="s">
        <v>40</v>
      </c>
      <c r="G660" t="s">
        <v>48</v>
      </c>
      <c r="H660" t="s">
        <v>574</v>
      </c>
    </row>
    <row r="661" spans="1:8" x14ac:dyDescent="0.3">
      <c r="A661">
        <v>660</v>
      </c>
      <c r="B661" s="3">
        <v>45077</v>
      </c>
      <c r="C661" s="3">
        <v>45047</v>
      </c>
      <c r="D661" t="s">
        <v>19</v>
      </c>
      <c r="E661" t="s">
        <v>710</v>
      </c>
      <c r="F661" t="s">
        <v>21</v>
      </c>
      <c r="G661" t="s">
        <v>22</v>
      </c>
      <c r="H661" t="s">
        <v>30</v>
      </c>
    </row>
    <row r="662" spans="1:8" x14ac:dyDescent="0.3">
      <c r="A662">
        <v>661</v>
      </c>
      <c r="B662" s="3">
        <v>45085</v>
      </c>
      <c r="C662" s="3">
        <v>45078</v>
      </c>
      <c r="D662" t="s">
        <v>19</v>
      </c>
      <c r="E662" t="s">
        <v>711</v>
      </c>
      <c r="F662" t="s">
        <v>21</v>
      </c>
      <c r="G662" t="s">
        <v>29</v>
      </c>
      <c r="H662" t="s">
        <v>27</v>
      </c>
    </row>
    <row r="663" spans="1:8" x14ac:dyDescent="0.3">
      <c r="A663">
        <v>662</v>
      </c>
      <c r="B663" s="3">
        <v>45085</v>
      </c>
      <c r="C663" s="3">
        <v>45078</v>
      </c>
      <c r="D663" t="s">
        <v>19</v>
      </c>
      <c r="E663" t="s">
        <v>712</v>
      </c>
      <c r="F663" t="s">
        <v>40</v>
      </c>
      <c r="G663" t="s">
        <v>48</v>
      </c>
      <c r="H663" t="s">
        <v>27</v>
      </c>
    </row>
    <row r="664" spans="1:8" x14ac:dyDescent="0.3">
      <c r="A664">
        <v>663</v>
      </c>
      <c r="B664" s="3">
        <v>45086</v>
      </c>
      <c r="C664" s="3">
        <v>45078</v>
      </c>
      <c r="D664" t="s">
        <v>19</v>
      </c>
      <c r="E664" t="s">
        <v>713</v>
      </c>
      <c r="F664" t="s">
        <v>32</v>
      </c>
      <c r="G664" t="s">
        <v>33</v>
      </c>
      <c r="H664" t="s">
        <v>30</v>
      </c>
    </row>
    <row r="665" spans="1:8" x14ac:dyDescent="0.3">
      <c r="A665">
        <v>664</v>
      </c>
      <c r="B665" s="3">
        <v>45086</v>
      </c>
      <c r="C665" s="3">
        <v>45078</v>
      </c>
      <c r="D665" t="s">
        <v>19</v>
      </c>
      <c r="E665" t="s">
        <v>714</v>
      </c>
      <c r="F665" t="s">
        <v>25</v>
      </c>
      <c r="G665" t="s">
        <v>317</v>
      </c>
      <c r="H665" t="s">
        <v>27</v>
      </c>
    </row>
    <row r="666" spans="1:8" x14ac:dyDescent="0.3">
      <c r="A666">
        <v>665</v>
      </c>
      <c r="B666" s="3">
        <v>45090</v>
      </c>
      <c r="C666" s="3">
        <v>45078</v>
      </c>
      <c r="D666" t="s">
        <v>19</v>
      </c>
      <c r="E666" t="s">
        <v>715</v>
      </c>
      <c r="F666" t="s">
        <v>21</v>
      </c>
      <c r="G666" t="s">
        <v>29</v>
      </c>
      <c r="H666" t="s">
        <v>30</v>
      </c>
    </row>
    <row r="667" spans="1:8" x14ac:dyDescent="0.3">
      <c r="A667">
        <v>666</v>
      </c>
      <c r="B667" s="3">
        <v>45091</v>
      </c>
      <c r="C667" s="3">
        <v>45078</v>
      </c>
      <c r="D667" t="s">
        <v>19</v>
      </c>
      <c r="E667" t="s">
        <v>716</v>
      </c>
      <c r="F667" t="s">
        <v>21</v>
      </c>
      <c r="G667" t="s">
        <v>22</v>
      </c>
      <c r="H667" t="s">
        <v>27</v>
      </c>
    </row>
    <row r="668" spans="1:8" x14ac:dyDescent="0.3">
      <c r="A668">
        <v>667</v>
      </c>
      <c r="B668" s="3">
        <v>45093</v>
      </c>
      <c r="C668" s="3">
        <v>45078</v>
      </c>
      <c r="D668" t="s">
        <v>19</v>
      </c>
      <c r="E668" t="s">
        <v>717</v>
      </c>
      <c r="F668" t="s">
        <v>25</v>
      </c>
      <c r="G668" t="s">
        <v>317</v>
      </c>
      <c r="H668" t="s">
        <v>574</v>
      </c>
    </row>
    <row r="669" spans="1:8" x14ac:dyDescent="0.3">
      <c r="A669">
        <v>668</v>
      </c>
      <c r="B669" s="3">
        <v>45098</v>
      </c>
      <c r="C669" s="3">
        <v>45078</v>
      </c>
      <c r="D669" t="s">
        <v>19</v>
      </c>
      <c r="E669" t="s">
        <v>718</v>
      </c>
      <c r="F669" t="s">
        <v>25</v>
      </c>
      <c r="G669" t="s">
        <v>26</v>
      </c>
      <c r="H669" t="s">
        <v>574</v>
      </c>
    </row>
    <row r="670" spans="1:8" x14ac:dyDescent="0.3">
      <c r="A670">
        <v>669</v>
      </c>
      <c r="B670" s="3">
        <v>45100</v>
      </c>
      <c r="C670" s="3">
        <v>45078</v>
      </c>
      <c r="D670" t="s">
        <v>19</v>
      </c>
      <c r="E670" t="s">
        <v>719</v>
      </c>
      <c r="F670" t="s">
        <v>21</v>
      </c>
      <c r="G670" t="s">
        <v>22</v>
      </c>
      <c r="H670" t="s">
        <v>30</v>
      </c>
    </row>
    <row r="671" spans="1:8" x14ac:dyDescent="0.3">
      <c r="A671">
        <v>670</v>
      </c>
      <c r="B671" s="3">
        <v>45101</v>
      </c>
      <c r="C671" s="3">
        <v>45078</v>
      </c>
      <c r="D671" t="s">
        <v>19</v>
      </c>
      <c r="E671" t="s">
        <v>720</v>
      </c>
      <c r="F671" t="s">
        <v>25</v>
      </c>
      <c r="G671" t="s">
        <v>26</v>
      </c>
      <c r="H671" t="s">
        <v>30</v>
      </c>
    </row>
    <row r="672" spans="1:8" x14ac:dyDescent="0.3">
      <c r="A672">
        <v>671</v>
      </c>
      <c r="B672" s="3">
        <v>45101</v>
      </c>
      <c r="C672" s="3">
        <v>45078</v>
      </c>
      <c r="D672" t="s">
        <v>19</v>
      </c>
      <c r="E672" t="s">
        <v>721</v>
      </c>
      <c r="F672" t="s">
        <v>25</v>
      </c>
      <c r="G672" t="s">
        <v>26</v>
      </c>
      <c r="H672" t="s">
        <v>27</v>
      </c>
    </row>
    <row r="673" spans="1:8" x14ac:dyDescent="0.3">
      <c r="A673">
        <v>672</v>
      </c>
      <c r="B673" s="3">
        <v>45103</v>
      </c>
      <c r="C673" s="3">
        <v>45078</v>
      </c>
      <c r="D673" t="s">
        <v>19</v>
      </c>
      <c r="E673" t="s">
        <v>722</v>
      </c>
      <c r="F673" t="s">
        <v>25</v>
      </c>
      <c r="G673" t="s">
        <v>26</v>
      </c>
      <c r="H673" t="s">
        <v>30</v>
      </c>
    </row>
    <row r="674" spans="1:8" x14ac:dyDescent="0.3">
      <c r="A674">
        <v>673</v>
      </c>
      <c r="B674" s="3">
        <v>45104</v>
      </c>
      <c r="C674" s="3">
        <v>45078</v>
      </c>
      <c r="D674" t="s">
        <v>19</v>
      </c>
      <c r="E674" t="s">
        <v>723</v>
      </c>
      <c r="F674" t="s">
        <v>25</v>
      </c>
      <c r="G674" t="s">
        <v>345</v>
      </c>
      <c r="H674" t="s">
        <v>27</v>
      </c>
    </row>
    <row r="675" spans="1:8" x14ac:dyDescent="0.3">
      <c r="A675">
        <v>674</v>
      </c>
      <c r="B675" s="3">
        <v>45104</v>
      </c>
      <c r="C675" s="3">
        <v>45078</v>
      </c>
      <c r="D675" t="s">
        <v>19</v>
      </c>
      <c r="E675" t="s">
        <v>724</v>
      </c>
      <c r="F675" t="s">
        <v>32</v>
      </c>
      <c r="G675" t="s">
        <v>33</v>
      </c>
      <c r="H675" t="s">
        <v>30</v>
      </c>
    </row>
    <row r="676" spans="1:8" x14ac:dyDescent="0.3">
      <c r="A676">
        <v>675</v>
      </c>
      <c r="B676" s="3">
        <v>45105</v>
      </c>
      <c r="C676" s="3">
        <v>45078</v>
      </c>
      <c r="D676" t="s">
        <v>19</v>
      </c>
      <c r="E676" t="s">
        <v>725</v>
      </c>
      <c r="F676" t="s">
        <v>25</v>
      </c>
      <c r="G676" t="s">
        <v>317</v>
      </c>
      <c r="H676" t="s">
        <v>234</v>
      </c>
    </row>
    <row r="677" spans="1:8" x14ac:dyDescent="0.3">
      <c r="A677">
        <v>676</v>
      </c>
      <c r="B677" s="3">
        <v>45105</v>
      </c>
      <c r="C677" s="3">
        <v>45078</v>
      </c>
      <c r="D677" t="s">
        <v>19</v>
      </c>
      <c r="E677" t="s">
        <v>726</v>
      </c>
      <c r="F677" t="s">
        <v>32</v>
      </c>
      <c r="G677" t="s">
        <v>33</v>
      </c>
      <c r="H677" t="s">
        <v>574</v>
      </c>
    </row>
    <row r="678" spans="1:8" x14ac:dyDescent="0.3">
      <c r="A678">
        <v>677</v>
      </c>
      <c r="B678" s="3">
        <v>45106</v>
      </c>
      <c r="C678" s="3">
        <v>45078</v>
      </c>
      <c r="D678" t="s">
        <v>19</v>
      </c>
      <c r="E678" t="s">
        <v>727</v>
      </c>
      <c r="F678" t="s">
        <v>32</v>
      </c>
      <c r="G678" t="s">
        <v>33</v>
      </c>
      <c r="H678" t="s">
        <v>30</v>
      </c>
    </row>
    <row r="679" spans="1:8" x14ac:dyDescent="0.3">
      <c r="A679">
        <v>678</v>
      </c>
      <c r="B679" s="3">
        <v>45107</v>
      </c>
      <c r="C679" s="3">
        <v>45078</v>
      </c>
      <c r="D679" t="s">
        <v>19</v>
      </c>
      <c r="E679" t="s">
        <v>728</v>
      </c>
      <c r="F679" t="s">
        <v>25</v>
      </c>
      <c r="G679" t="s">
        <v>26</v>
      </c>
      <c r="H679" t="s">
        <v>27</v>
      </c>
    </row>
    <row r="680" spans="1:8" x14ac:dyDescent="0.3">
      <c r="A680">
        <v>679</v>
      </c>
      <c r="B680" s="3">
        <v>45107</v>
      </c>
      <c r="C680" s="3">
        <v>45078</v>
      </c>
      <c r="D680" t="s">
        <v>19</v>
      </c>
      <c r="E680" t="s">
        <v>729</v>
      </c>
      <c r="F680" t="s">
        <v>32</v>
      </c>
      <c r="G680" t="s">
        <v>33</v>
      </c>
      <c r="H680" t="s">
        <v>30</v>
      </c>
    </row>
    <row r="681" spans="1:8" x14ac:dyDescent="0.3">
      <c r="A681">
        <v>680</v>
      </c>
      <c r="B681" s="3">
        <v>45107</v>
      </c>
      <c r="C681" s="3">
        <v>45078</v>
      </c>
      <c r="D681" t="s">
        <v>19</v>
      </c>
      <c r="E681" t="s">
        <v>730</v>
      </c>
      <c r="F681" t="s">
        <v>40</v>
      </c>
      <c r="G681" t="s">
        <v>75</v>
      </c>
      <c r="H681" t="s">
        <v>30</v>
      </c>
    </row>
    <row r="682" spans="1:8" x14ac:dyDescent="0.3">
      <c r="A682">
        <v>681</v>
      </c>
      <c r="B682" s="3">
        <v>45107</v>
      </c>
      <c r="C682" s="3">
        <v>45078</v>
      </c>
      <c r="D682" t="s">
        <v>19</v>
      </c>
      <c r="E682" t="s">
        <v>731</v>
      </c>
      <c r="F682" t="s">
        <v>40</v>
      </c>
      <c r="G682" t="s">
        <v>75</v>
      </c>
      <c r="H682" t="s">
        <v>27</v>
      </c>
    </row>
    <row r="683" spans="1:8" x14ac:dyDescent="0.3">
      <c r="A683">
        <v>682</v>
      </c>
      <c r="B683" s="3">
        <v>45107</v>
      </c>
      <c r="C683" s="3">
        <v>45078</v>
      </c>
      <c r="D683" t="s">
        <v>19</v>
      </c>
      <c r="E683" t="s">
        <v>732</v>
      </c>
      <c r="F683" t="s">
        <v>21</v>
      </c>
      <c r="G683" t="s">
        <v>22</v>
      </c>
      <c r="H683" t="s">
        <v>27</v>
      </c>
    </row>
    <row r="684" spans="1:8" x14ac:dyDescent="0.3">
      <c r="A684">
        <v>683</v>
      </c>
      <c r="B684" s="3">
        <v>45107</v>
      </c>
      <c r="C684" s="3">
        <v>45078</v>
      </c>
      <c r="D684" t="s">
        <v>19</v>
      </c>
      <c r="E684" t="s">
        <v>733</v>
      </c>
      <c r="F684" t="s">
        <v>25</v>
      </c>
      <c r="G684" t="s">
        <v>593</v>
      </c>
      <c r="H684" t="s">
        <v>27</v>
      </c>
    </row>
    <row r="685" spans="1:8" x14ac:dyDescent="0.3">
      <c r="A685">
        <v>684</v>
      </c>
      <c r="B685" s="3">
        <v>45107</v>
      </c>
      <c r="C685" s="3">
        <v>45078</v>
      </c>
      <c r="D685" t="s">
        <v>19</v>
      </c>
      <c r="E685" t="s">
        <v>734</v>
      </c>
      <c r="F685" t="s">
        <v>32</v>
      </c>
      <c r="G685" t="s">
        <v>33</v>
      </c>
      <c r="H685" t="s">
        <v>27</v>
      </c>
    </row>
    <row r="686" spans="1:8" x14ac:dyDescent="0.3">
      <c r="A686">
        <v>685</v>
      </c>
      <c r="B686" s="3">
        <v>45107</v>
      </c>
      <c r="C686" s="3">
        <v>45078</v>
      </c>
      <c r="D686" t="s">
        <v>19</v>
      </c>
      <c r="E686" t="s">
        <v>735</v>
      </c>
      <c r="F686" t="s">
        <v>21</v>
      </c>
      <c r="G686" t="s">
        <v>22</v>
      </c>
      <c r="H686" t="s">
        <v>574</v>
      </c>
    </row>
    <row r="687" spans="1:8" x14ac:dyDescent="0.3">
      <c r="A687">
        <v>686</v>
      </c>
      <c r="B687" s="3">
        <v>45107</v>
      </c>
      <c r="C687" s="3">
        <v>45078</v>
      </c>
      <c r="D687" t="s">
        <v>19</v>
      </c>
      <c r="E687" t="s">
        <v>736</v>
      </c>
      <c r="F687" t="s">
        <v>25</v>
      </c>
      <c r="G687" t="s">
        <v>26</v>
      </c>
      <c r="H687" t="s">
        <v>27</v>
      </c>
    </row>
    <row r="688" spans="1:8" x14ac:dyDescent="0.3">
      <c r="A688">
        <v>687</v>
      </c>
      <c r="B688" s="3">
        <v>45111</v>
      </c>
      <c r="C688" s="3">
        <v>45108</v>
      </c>
      <c r="D688" t="s">
        <v>19</v>
      </c>
      <c r="E688" t="s">
        <v>737</v>
      </c>
      <c r="F688" t="s">
        <v>25</v>
      </c>
      <c r="G688" t="s">
        <v>26</v>
      </c>
      <c r="H688" t="s">
        <v>30</v>
      </c>
    </row>
    <row r="689" spans="1:8" x14ac:dyDescent="0.3">
      <c r="A689">
        <v>688</v>
      </c>
      <c r="B689" s="3">
        <v>45114</v>
      </c>
      <c r="C689" s="3">
        <v>45108</v>
      </c>
      <c r="D689" t="s">
        <v>19</v>
      </c>
      <c r="E689" t="s">
        <v>738</v>
      </c>
      <c r="F689" t="s">
        <v>25</v>
      </c>
      <c r="G689" t="s">
        <v>26</v>
      </c>
      <c r="H689" t="s">
        <v>27</v>
      </c>
    </row>
    <row r="690" spans="1:8" x14ac:dyDescent="0.3">
      <c r="A690">
        <v>689</v>
      </c>
      <c r="B690" s="3">
        <v>45118</v>
      </c>
      <c r="C690" s="3">
        <v>45108</v>
      </c>
      <c r="D690" t="s">
        <v>19</v>
      </c>
      <c r="E690" t="s">
        <v>739</v>
      </c>
      <c r="F690" t="s">
        <v>25</v>
      </c>
      <c r="G690" t="s">
        <v>29</v>
      </c>
      <c r="H690" t="s">
        <v>27</v>
      </c>
    </row>
    <row r="691" spans="1:8" x14ac:dyDescent="0.3">
      <c r="A691">
        <v>690</v>
      </c>
      <c r="B691" s="3">
        <v>45118</v>
      </c>
      <c r="C691" s="3">
        <v>45108</v>
      </c>
      <c r="D691" t="s">
        <v>19</v>
      </c>
      <c r="E691" t="s">
        <v>740</v>
      </c>
      <c r="F691" t="s">
        <v>25</v>
      </c>
      <c r="G691" t="s">
        <v>26</v>
      </c>
      <c r="H691" t="s">
        <v>27</v>
      </c>
    </row>
    <row r="692" spans="1:8" x14ac:dyDescent="0.3">
      <c r="A692">
        <v>691</v>
      </c>
      <c r="B692" s="3">
        <v>45120</v>
      </c>
      <c r="C692" s="3">
        <v>45108</v>
      </c>
      <c r="D692" t="s">
        <v>19</v>
      </c>
      <c r="E692" t="s">
        <v>741</v>
      </c>
      <c r="F692" t="s">
        <v>40</v>
      </c>
      <c r="G692" t="s">
        <v>48</v>
      </c>
      <c r="H692" t="s">
        <v>30</v>
      </c>
    </row>
    <row r="693" spans="1:8" x14ac:dyDescent="0.3">
      <c r="A693">
        <v>692</v>
      </c>
      <c r="B693" s="3">
        <v>45122</v>
      </c>
      <c r="C693" s="3">
        <v>45108</v>
      </c>
      <c r="D693" t="s">
        <v>19</v>
      </c>
      <c r="E693" t="s">
        <v>742</v>
      </c>
      <c r="F693" t="s">
        <v>40</v>
      </c>
      <c r="G693" t="s">
        <v>41</v>
      </c>
      <c r="H693" t="s">
        <v>30</v>
      </c>
    </row>
    <row r="694" spans="1:8" x14ac:dyDescent="0.3">
      <c r="A694">
        <v>693</v>
      </c>
      <c r="B694" s="3">
        <v>45122</v>
      </c>
      <c r="C694" s="3">
        <v>45108</v>
      </c>
      <c r="D694" t="s">
        <v>19</v>
      </c>
      <c r="E694" t="s">
        <v>743</v>
      </c>
      <c r="F694" t="s">
        <v>32</v>
      </c>
      <c r="G694" t="s">
        <v>33</v>
      </c>
      <c r="H694" t="s">
        <v>30</v>
      </c>
    </row>
    <row r="695" spans="1:8" x14ac:dyDescent="0.3">
      <c r="A695">
        <v>694</v>
      </c>
      <c r="B695" s="3">
        <v>45124</v>
      </c>
      <c r="C695" s="3">
        <v>45108</v>
      </c>
      <c r="D695" t="s">
        <v>19</v>
      </c>
      <c r="E695" t="s">
        <v>744</v>
      </c>
      <c r="F695" t="s">
        <v>21</v>
      </c>
      <c r="G695" t="s">
        <v>29</v>
      </c>
      <c r="H695" t="s">
        <v>27</v>
      </c>
    </row>
    <row r="696" spans="1:8" x14ac:dyDescent="0.3">
      <c r="A696">
        <v>695</v>
      </c>
      <c r="B696" s="3">
        <v>45126</v>
      </c>
      <c r="C696" s="3">
        <v>45108</v>
      </c>
      <c r="D696" t="s">
        <v>19</v>
      </c>
      <c r="E696" t="s">
        <v>745</v>
      </c>
      <c r="F696" t="s">
        <v>21</v>
      </c>
      <c r="G696" t="s">
        <v>22</v>
      </c>
      <c r="H696" t="s">
        <v>27</v>
      </c>
    </row>
    <row r="697" spans="1:8" x14ac:dyDescent="0.3">
      <c r="A697">
        <v>696</v>
      </c>
      <c r="B697" s="3">
        <v>45127</v>
      </c>
      <c r="C697" s="3">
        <v>45108</v>
      </c>
      <c r="D697" t="s">
        <v>19</v>
      </c>
      <c r="E697" t="s">
        <v>746</v>
      </c>
      <c r="F697" t="s">
        <v>21</v>
      </c>
      <c r="G697" t="s">
        <v>29</v>
      </c>
      <c r="H697" t="s">
        <v>27</v>
      </c>
    </row>
    <row r="698" spans="1:8" x14ac:dyDescent="0.3">
      <c r="A698">
        <v>697</v>
      </c>
      <c r="B698" s="3">
        <v>45128</v>
      </c>
      <c r="C698" s="3">
        <v>45108</v>
      </c>
      <c r="D698" t="s">
        <v>19</v>
      </c>
      <c r="E698" t="s">
        <v>747</v>
      </c>
      <c r="F698" t="s">
        <v>32</v>
      </c>
      <c r="G698" t="s">
        <v>33</v>
      </c>
      <c r="H698" t="s">
        <v>30</v>
      </c>
    </row>
    <row r="699" spans="1:8" x14ac:dyDescent="0.3">
      <c r="A699">
        <v>698</v>
      </c>
      <c r="B699" s="3">
        <v>45128</v>
      </c>
      <c r="C699" s="3">
        <v>45108</v>
      </c>
      <c r="D699" t="s">
        <v>19</v>
      </c>
      <c r="E699" t="s">
        <v>748</v>
      </c>
      <c r="F699" t="s">
        <v>40</v>
      </c>
      <c r="G699" t="s">
        <v>48</v>
      </c>
      <c r="H699" t="s">
        <v>30</v>
      </c>
    </row>
    <row r="700" spans="1:8" x14ac:dyDescent="0.3">
      <c r="A700">
        <v>699</v>
      </c>
      <c r="B700" s="3">
        <v>45128</v>
      </c>
      <c r="C700" s="3">
        <v>45108</v>
      </c>
      <c r="D700" t="s">
        <v>19</v>
      </c>
      <c r="E700" t="s">
        <v>749</v>
      </c>
      <c r="F700" t="s">
        <v>32</v>
      </c>
      <c r="G700" t="s">
        <v>33</v>
      </c>
      <c r="H700" t="s">
        <v>30</v>
      </c>
    </row>
    <row r="701" spans="1:8" x14ac:dyDescent="0.3">
      <c r="A701">
        <v>700</v>
      </c>
      <c r="B701" s="3">
        <v>45129</v>
      </c>
      <c r="C701" s="3">
        <v>45108</v>
      </c>
      <c r="D701" t="s">
        <v>19</v>
      </c>
      <c r="E701" t="s">
        <v>750</v>
      </c>
      <c r="F701" t="s">
        <v>25</v>
      </c>
      <c r="G701" t="s">
        <v>345</v>
      </c>
      <c r="H701" t="s">
        <v>30</v>
      </c>
    </row>
    <row r="702" spans="1:8" x14ac:dyDescent="0.3">
      <c r="A702">
        <v>701</v>
      </c>
      <c r="B702" s="3">
        <v>45131</v>
      </c>
      <c r="C702" s="3">
        <v>45108</v>
      </c>
      <c r="D702" t="s">
        <v>19</v>
      </c>
      <c r="E702" t="s">
        <v>751</v>
      </c>
      <c r="F702" t="s">
        <v>32</v>
      </c>
      <c r="G702" t="s">
        <v>33</v>
      </c>
      <c r="H702" t="s">
        <v>27</v>
      </c>
    </row>
    <row r="703" spans="1:8" x14ac:dyDescent="0.3">
      <c r="A703">
        <v>702</v>
      </c>
      <c r="B703" s="3">
        <v>45131</v>
      </c>
      <c r="C703" s="3">
        <v>45108</v>
      </c>
      <c r="D703" t="s">
        <v>19</v>
      </c>
      <c r="E703" t="s">
        <v>752</v>
      </c>
      <c r="F703" t="s">
        <v>25</v>
      </c>
      <c r="G703" t="s">
        <v>345</v>
      </c>
      <c r="H703" t="s">
        <v>27</v>
      </c>
    </row>
    <row r="704" spans="1:8" x14ac:dyDescent="0.3">
      <c r="A704">
        <v>703</v>
      </c>
      <c r="B704" s="3">
        <v>45132</v>
      </c>
      <c r="C704" s="3">
        <v>45108</v>
      </c>
      <c r="D704" t="s">
        <v>19</v>
      </c>
      <c r="E704" t="s">
        <v>753</v>
      </c>
      <c r="F704" t="s">
        <v>21</v>
      </c>
      <c r="G704" t="s">
        <v>22</v>
      </c>
      <c r="H704" t="s">
        <v>30</v>
      </c>
    </row>
    <row r="705" spans="1:8" x14ac:dyDescent="0.3">
      <c r="A705">
        <v>704</v>
      </c>
      <c r="B705" s="3">
        <v>45132</v>
      </c>
      <c r="C705" s="3">
        <v>45108</v>
      </c>
      <c r="D705" t="s">
        <v>19</v>
      </c>
      <c r="E705" t="s">
        <v>754</v>
      </c>
      <c r="F705" t="s">
        <v>21</v>
      </c>
      <c r="G705" t="s">
        <v>22</v>
      </c>
      <c r="H705" t="s">
        <v>30</v>
      </c>
    </row>
    <row r="706" spans="1:8" x14ac:dyDescent="0.3">
      <c r="A706">
        <v>705</v>
      </c>
      <c r="B706" s="3">
        <v>45133</v>
      </c>
      <c r="C706" s="3">
        <v>45108</v>
      </c>
      <c r="D706" t="s">
        <v>19</v>
      </c>
      <c r="E706" t="s">
        <v>755</v>
      </c>
      <c r="F706" t="s">
        <v>25</v>
      </c>
      <c r="G706" t="s">
        <v>26</v>
      </c>
      <c r="H706" t="s">
        <v>27</v>
      </c>
    </row>
    <row r="707" spans="1:8" x14ac:dyDescent="0.3">
      <c r="A707">
        <v>706</v>
      </c>
      <c r="B707" s="3">
        <v>45133</v>
      </c>
      <c r="C707" s="3">
        <v>45108</v>
      </c>
      <c r="D707" t="s">
        <v>19</v>
      </c>
      <c r="E707" t="s">
        <v>756</v>
      </c>
      <c r="F707" t="s">
        <v>21</v>
      </c>
      <c r="G707" t="s">
        <v>22</v>
      </c>
      <c r="H707" t="s">
        <v>30</v>
      </c>
    </row>
    <row r="708" spans="1:8" x14ac:dyDescent="0.3">
      <c r="A708">
        <v>707</v>
      </c>
      <c r="B708" s="3">
        <v>45134</v>
      </c>
      <c r="C708" s="3">
        <v>45108</v>
      </c>
      <c r="D708" t="s">
        <v>19</v>
      </c>
      <c r="E708" t="s">
        <v>757</v>
      </c>
      <c r="F708" t="s">
        <v>25</v>
      </c>
      <c r="G708" t="s">
        <v>345</v>
      </c>
      <c r="H708" t="s">
        <v>30</v>
      </c>
    </row>
    <row r="709" spans="1:8" x14ac:dyDescent="0.3">
      <c r="A709">
        <v>708</v>
      </c>
      <c r="B709" s="3">
        <v>45134</v>
      </c>
      <c r="C709" s="3">
        <v>45108</v>
      </c>
      <c r="D709" t="s">
        <v>19</v>
      </c>
      <c r="E709" t="s">
        <v>758</v>
      </c>
      <c r="F709" t="s">
        <v>32</v>
      </c>
      <c r="G709" t="s">
        <v>33</v>
      </c>
      <c r="H709" t="s">
        <v>30</v>
      </c>
    </row>
    <row r="710" spans="1:8" x14ac:dyDescent="0.3">
      <c r="A710">
        <v>709</v>
      </c>
      <c r="B710" s="3">
        <v>45135</v>
      </c>
      <c r="C710" s="3">
        <v>45108</v>
      </c>
      <c r="D710" t="s">
        <v>19</v>
      </c>
      <c r="E710" t="s">
        <v>759</v>
      </c>
      <c r="F710" t="s">
        <v>25</v>
      </c>
      <c r="G710" t="s">
        <v>26</v>
      </c>
      <c r="H710" t="s">
        <v>27</v>
      </c>
    </row>
    <row r="711" spans="1:8" x14ac:dyDescent="0.3">
      <c r="A711">
        <v>710</v>
      </c>
      <c r="B711" s="3">
        <v>45135</v>
      </c>
      <c r="C711" s="3">
        <v>45108</v>
      </c>
      <c r="D711" t="s">
        <v>19</v>
      </c>
      <c r="E711" t="s">
        <v>760</v>
      </c>
      <c r="F711" t="s">
        <v>32</v>
      </c>
      <c r="G711" t="s">
        <v>33</v>
      </c>
      <c r="H711" t="s">
        <v>30</v>
      </c>
    </row>
    <row r="712" spans="1:8" x14ac:dyDescent="0.3">
      <c r="A712">
        <v>711</v>
      </c>
      <c r="B712" s="3">
        <v>45135</v>
      </c>
      <c r="C712" s="3">
        <v>45108</v>
      </c>
      <c r="D712" t="s">
        <v>19</v>
      </c>
      <c r="E712" t="s">
        <v>761</v>
      </c>
      <c r="F712" t="s">
        <v>21</v>
      </c>
      <c r="G712" t="s">
        <v>22</v>
      </c>
      <c r="H712" t="s">
        <v>30</v>
      </c>
    </row>
    <row r="713" spans="1:8" x14ac:dyDescent="0.3">
      <c r="A713">
        <v>712</v>
      </c>
      <c r="B713" s="3">
        <v>45136</v>
      </c>
      <c r="C713" s="3">
        <v>45108</v>
      </c>
      <c r="D713" t="s">
        <v>19</v>
      </c>
      <c r="E713" t="s">
        <v>762</v>
      </c>
      <c r="F713" t="s">
        <v>21</v>
      </c>
      <c r="G713" t="s">
        <v>345</v>
      </c>
      <c r="H713" t="s">
        <v>27</v>
      </c>
    </row>
    <row r="714" spans="1:8" x14ac:dyDescent="0.3">
      <c r="A714">
        <v>713</v>
      </c>
      <c r="B714" s="3">
        <v>45136</v>
      </c>
      <c r="C714" s="3">
        <v>45108</v>
      </c>
      <c r="D714" t="s">
        <v>19</v>
      </c>
      <c r="E714" t="s">
        <v>763</v>
      </c>
      <c r="F714" t="s">
        <v>32</v>
      </c>
      <c r="G714" t="s">
        <v>33</v>
      </c>
      <c r="H714" t="s">
        <v>30</v>
      </c>
    </row>
    <row r="715" spans="1:8" x14ac:dyDescent="0.3">
      <c r="A715">
        <v>714</v>
      </c>
      <c r="B715" s="3">
        <v>45138</v>
      </c>
      <c r="C715" s="3">
        <v>45108</v>
      </c>
      <c r="D715" t="s">
        <v>19</v>
      </c>
      <c r="E715" t="s">
        <v>764</v>
      </c>
      <c r="F715" t="s">
        <v>21</v>
      </c>
      <c r="G715" t="s">
        <v>22</v>
      </c>
      <c r="H715" t="s">
        <v>27</v>
      </c>
    </row>
    <row r="716" spans="1:8" x14ac:dyDescent="0.3">
      <c r="A716">
        <v>715</v>
      </c>
      <c r="B716" s="3">
        <v>45138</v>
      </c>
      <c r="C716" s="3">
        <v>45108</v>
      </c>
      <c r="D716" t="s">
        <v>19</v>
      </c>
      <c r="E716" t="s">
        <v>765</v>
      </c>
      <c r="F716" t="s">
        <v>25</v>
      </c>
      <c r="G716" t="s">
        <v>26</v>
      </c>
      <c r="H716" t="s">
        <v>30</v>
      </c>
    </row>
    <row r="717" spans="1:8" x14ac:dyDescent="0.3">
      <c r="A717">
        <v>716</v>
      </c>
      <c r="B717" s="3">
        <v>45138</v>
      </c>
      <c r="C717" s="3">
        <v>45108</v>
      </c>
      <c r="D717" t="s">
        <v>19</v>
      </c>
      <c r="E717" t="s">
        <v>766</v>
      </c>
      <c r="F717" t="s">
        <v>21</v>
      </c>
      <c r="G717" t="s">
        <v>29</v>
      </c>
      <c r="H717" t="s">
        <v>30</v>
      </c>
    </row>
    <row r="718" spans="1:8" x14ac:dyDescent="0.3">
      <c r="A718">
        <v>717</v>
      </c>
      <c r="B718" s="3">
        <v>45138</v>
      </c>
      <c r="C718" s="3">
        <v>45108</v>
      </c>
      <c r="D718" t="s">
        <v>19</v>
      </c>
      <c r="E718" t="s">
        <v>767</v>
      </c>
      <c r="F718" t="s">
        <v>25</v>
      </c>
      <c r="G718" t="s">
        <v>26</v>
      </c>
      <c r="H718" t="s">
        <v>30</v>
      </c>
    </row>
    <row r="719" spans="1:8" x14ac:dyDescent="0.3">
      <c r="A719">
        <v>718</v>
      </c>
      <c r="B719" s="3">
        <v>45138</v>
      </c>
      <c r="C719" s="3">
        <v>45108</v>
      </c>
      <c r="D719" t="s">
        <v>19</v>
      </c>
      <c r="E719" t="s">
        <v>768</v>
      </c>
      <c r="F719" t="s">
        <v>21</v>
      </c>
      <c r="G719" t="s">
        <v>22</v>
      </c>
      <c r="H719" t="s">
        <v>30</v>
      </c>
    </row>
    <row r="720" spans="1:8" x14ac:dyDescent="0.3">
      <c r="A720">
        <v>719</v>
      </c>
      <c r="B720" s="3">
        <v>45142</v>
      </c>
      <c r="C720" s="3">
        <v>45139</v>
      </c>
      <c r="D720" t="s">
        <v>19</v>
      </c>
      <c r="E720" t="s">
        <v>769</v>
      </c>
      <c r="F720" t="s">
        <v>32</v>
      </c>
      <c r="G720" t="s">
        <v>33</v>
      </c>
      <c r="H720" t="s">
        <v>27</v>
      </c>
    </row>
    <row r="721" spans="1:8" x14ac:dyDescent="0.3">
      <c r="A721">
        <v>720</v>
      </c>
      <c r="B721" s="3">
        <v>45145</v>
      </c>
      <c r="C721" s="3">
        <v>45139</v>
      </c>
      <c r="D721" t="s">
        <v>19</v>
      </c>
      <c r="E721" t="s">
        <v>770</v>
      </c>
      <c r="F721" t="s">
        <v>25</v>
      </c>
      <c r="G721" t="s">
        <v>26</v>
      </c>
      <c r="H721" t="s">
        <v>30</v>
      </c>
    </row>
    <row r="722" spans="1:8" x14ac:dyDescent="0.3">
      <c r="A722">
        <v>721</v>
      </c>
      <c r="B722" s="3">
        <v>45145</v>
      </c>
      <c r="C722" s="3">
        <v>45139</v>
      </c>
      <c r="D722" t="s">
        <v>19</v>
      </c>
      <c r="E722" t="s">
        <v>771</v>
      </c>
      <c r="F722" t="s">
        <v>21</v>
      </c>
      <c r="G722" t="s">
        <v>29</v>
      </c>
      <c r="H722" t="s">
        <v>234</v>
      </c>
    </row>
    <row r="723" spans="1:8" x14ac:dyDescent="0.3">
      <c r="A723">
        <v>722</v>
      </c>
      <c r="B723" s="3">
        <v>45147</v>
      </c>
      <c r="C723" s="3">
        <v>45139</v>
      </c>
      <c r="D723" t="s">
        <v>19</v>
      </c>
      <c r="E723" t="s">
        <v>772</v>
      </c>
      <c r="F723" t="s">
        <v>32</v>
      </c>
      <c r="G723" t="s">
        <v>33</v>
      </c>
      <c r="H723" t="s">
        <v>30</v>
      </c>
    </row>
    <row r="724" spans="1:8" x14ac:dyDescent="0.3">
      <c r="A724">
        <v>723</v>
      </c>
      <c r="B724" s="3">
        <v>45147</v>
      </c>
      <c r="C724" s="3">
        <v>45139</v>
      </c>
      <c r="D724" t="s">
        <v>19</v>
      </c>
      <c r="E724" t="s">
        <v>773</v>
      </c>
      <c r="F724" t="s">
        <v>40</v>
      </c>
      <c r="G724" t="s">
        <v>48</v>
      </c>
      <c r="H724" t="s">
        <v>27</v>
      </c>
    </row>
    <row r="725" spans="1:8" x14ac:dyDescent="0.3">
      <c r="A725">
        <v>724</v>
      </c>
      <c r="B725" s="3">
        <v>45147</v>
      </c>
      <c r="C725" s="3">
        <v>45139</v>
      </c>
      <c r="D725" t="s">
        <v>19</v>
      </c>
      <c r="E725" t="s">
        <v>774</v>
      </c>
      <c r="F725" t="s">
        <v>21</v>
      </c>
      <c r="G725" t="s">
        <v>29</v>
      </c>
      <c r="H725" t="s">
        <v>27</v>
      </c>
    </row>
    <row r="726" spans="1:8" x14ac:dyDescent="0.3">
      <c r="A726">
        <v>725</v>
      </c>
      <c r="B726" s="3">
        <v>45148</v>
      </c>
      <c r="C726" s="3">
        <v>45139</v>
      </c>
      <c r="D726" t="s">
        <v>19</v>
      </c>
      <c r="E726" t="s">
        <v>775</v>
      </c>
      <c r="F726" t="s">
        <v>21</v>
      </c>
      <c r="G726" t="s">
        <v>22</v>
      </c>
      <c r="H726" t="s">
        <v>27</v>
      </c>
    </row>
    <row r="727" spans="1:8" x14ac:dyDescent="0.3">
      <c r="A727">
        <v>726</v>
      </c>
      <c r="B727" s="3">
        <v>45149</v>
      </c>
      <c r="C727" s="3">
        <v>45139</v>
      </c>
      <c r="D727" t="s">
        <v>19</v>
      </c>
      <c r="E727" t="s">
        <v>776</v>
      </c>
      <c r="F727" t="s">
        <v>25</v>
      </c>
      <c r="G727" t="s">
        <v>26</v>
      </c>
      <c r="H727" t="s">
        <v>30</v>
      </c>
    </row>
    <row r="728" spans="1:8" x14ac:dyDescent="0.3">
      <c r="A728">
        <v>727</v>
      </c>
      <c r="B728" s="3">
        <v>45152</v>
      </c>
      <c r="C728" s="3">
        <v>45139</v>
      </c>
      <c r="D728" t="s">
        <v>19</v>
      </c>
      <c r="E728" t="s">
        <v>777</v>
      </c>
      <c r="F728" t="s">
        <v>40</v>
      </c>
      <c r="G728" t="s">
        <v>48</v>
      </c>
      <c r="H728" t="s">
        <v>27</v>
      </c>
    </row>
    <row r="729" spans="1:8" x14ac:dyDescent="0.3">
      <c r="A729">
        <v>728</v>
      </c>
      <c r="B729" s="3">
        <v>45154</v>
      </c>
      <c r="C729" s="3">
        <v>45139</v>
      </c>
      <c r="D729" t="s">
        <v>19</v>
      </c>
      <c r="E729" t="s">
        <v>778</v>
      </c>
      <c r="F729" t="s">
        <v>21</v>
      </c>
      <c r="G729" t="s">
        <v>22</v>
      </c>
      <c r="H729" t="s">
        <v>30</v>
      </c>
    </row>
    <row r="730" spans="1:8" x14ac:dyDescent="0.3">
      <c r="A730">
        <v>729</v>
      </c>
      <c r="B730" s="3">
        <v>45154</v>
      </c>
      <c r="C730" s="3">
        <v>45139</v>
      </c>
      <c r="D730" t="s">
        <v>19</v>
      </c>
      <c r="E730" t="s">
        <v>779</v>
      </c>
      <c r="F730" t="s">
        <v>32</v>
      </c>
      <c r="G730" t="s">
        <v>33</v>
      </c>
      <c r="H730" t="s">
        <v>27</v>
      </c>
    </row>
    <row r="731" spans="1:8" x14ac:dyDescent="0.3">
      <c r="A731">
        <v>730</v>
      </c>
      <c r="B731" s="3">
        <v>45154</v>
      </c>
      <c r="C731" s="3">
        <v>45139</v>
      </c>
      <c r="D731" t="s">
        <v>19</v>
      </c>
      <c r="E731" t="s">
        <v>780</v>
      </c>
      <c r="F731" t="s">
        <v>21</v>
      </c>
      <c r="G731" t="s">
        <v>29</v>
      </c>
      <c r="H731" t="s">
        <v>30</v>
      </c>
    </row>
    <row r="732" spans="1:8" x14ac:dyDescent="0.3">
      <c r="A732">
        <v>731</v>
      </c>
      <c r="B732" s="3">
        <v>45155</v>
      </c>
      <c r="C732" s="3">
        <v>45139</v>
      </c>
      <c r="D732" t="s">
        <v>19</v>
      </c>
      <c r="E732" t="s">
        <v>781</v>
      </c>
      <c r="F732" t="s">
        <v>32</v>
      </c>
      <c r="G732" t="s">
        <v>33</v>
      </c>
      <c r="H732" t="s">
        <v>30</v>
      </c>
    </row>
    <row r="733" spans="1:8" x14ac:dyDescent="0.3">
      <c r="A733">
        <v>732</v>
      </c>
      <c r="B733" s="3">
        <v>45156</v>
      </c>
      <c r="C733" s="3">
        <v>45139</v>
      </c>
      <c r="D733" t="s">
        <v>19</v>
      </c>
      <c r="E733" t="s">
        <v>782</v>
      </c>
      <c r="F733" t="s">
        <v>32</v>
      </c>
      <c r="G733" t="s">
        <v>33</v>
      </c>
      <c r="H733" t="s">
        <v>30</v>
      </c>
    </row>
    <row r="734" spans="1:8" x14ac:dyDescent="0.3">
      <c r="A734">
        <v>733</v>
      </c>
      <c r="B734" s="3">
        <v>45157</v>
      </c>
      <c r="C734" s="3">
        <v>45139</v>
      </c>
      <c r="D734" t="s">
        <v>19</v>
      </c>
      <c r="E734" t="s">
        <v>783</v>
      </c>
      <c r="F734" t="s">
        <v>40</v>
      </c>
      <c r="G734" t="s">
        <v>41</v>
      </c>
      <c r="H734" t="s">
        <v>30</v>
      </c>
    </row>
    <row r="735" spans="1:8" x14ac:dyDescent="0.3">
      <c r="A735">
        <v>734</v>
      </c>
      <c r="B735" s="3">
        <v>45157</v>
      </c>
      <c r="C735" s="3">
        <v>45139</v>
      </c>
      <c r="D735" t="s">
        <v>19</v>
      </c>
      <c r="E735" t="s">
        <v>784</v>
      </c>
      <c r="F735" t="s">
        <v>40</v>
      </c>
      <c r="G735" t="s">
        <v>48</v>
      </c>
      <c r="H735" t="s">
        <v>27</v>
      </c>
    </row>
    <row r="736" spans="1:8" x14ac:dyDescent="0.3">
      <c r="A736">
        <v>735</v>
      </c>
      <c r="B736" s="3">
        <v>45159</v>
      </c>
      <c r="C736" s="3">
        <v>45139</v>
      </c>
      <c r="D736" t="s">
        <v>19</v>
      </c>
      <c r="E736" t="s">
        <v>785</v>
      </c>
      <c r="F736" t="s">
        <v>32</v>
      </c>
      <c r="G736" t="s">
        <v>33</v>
      </c>
      <c r="H736" t="s">
        <v>30</v>
      </c>
    </row>
    <row r="737" spans="1:8" x14ac:dyDescent="0.3">
      <c r="A737">
        <v>736</v>
      </c>
      <c r="B737" s="3">
        <v>45159</v>
      </c>
      <c r="C737" s="3">
        <v>45139</v>
      </c>
      <c r="D737" t="s">
        <v>19</v>
      </c>
      <c r="E737" t="s">
        <v>786</v>
      </c>
      <c r="F737" t="s">
        <v>40</v>
      </c>
      <c r="G737" t="s">
        <v>41</v>
      </c>
      <c r="H737" t="s">
        <v>30</v>
      </c>
    </row>
    <row r="738" spans="1:8" x14ac:dyDescent="0.3">
      <c r="A738">
        <v>737</v>
      </c>
      <c r="B738" s="3">
        <v>45159</v>
      </c>
      <c r="C738" s="3">
        <v>45139</v>
      </c>
      <c r="D738" t="s">
        <v>19</v>
      </c>
      <c r="E738" t="s">
        <v>787</v>
      </c>
      <c r="F738" t="s">
        <v>32</v>
      </c>
      <c r="G738" t="s">
        <v>33</v>
      </c>
      <c r="H738" t="s">
        <v>27</v>
      </c>
    </row>
    <row r="739" spans="1:8" x14ac:dyDescent="0.3">
      <c r="A739">
        <v>738</v>
      </c>
      <c r="B739" s="3">
        <v>45159</v>
      </c>
      <c r="C739" s="3">
        <v>45139</v>
      </c>
      <c r="D739" t="s">
        <v>19</v>
      </c>
      <c r="E739" t="s">
        <v>788</v>
      </c>
      <c r="F739" t="s">
        <v>25</v>
      </c>
      <c r="G739" t="s">
        <v>26</v>
      </c>
      <c r="H739" t="s">
        <v>27</v>
      </c>
    </row>
    <row r="740" spans="1:8" x14ac:dyDescent="0.3">
      <c r="A740">
        <v>739</v>
      </c>
      <c r="B740" s="3">
        <v>45160</v>
      </c>
      <c r="C740" s="3">
        <v>45139</v>
      </c>
      <c r="D740" t="s">
        <v>19</v>
      </c>
      <c r="E740" t="s">
        <v>789</v>
      </c>
      <c r="F740" t="s">
        <v>25</v>
      </c>
      <c r="G740" t="s">
        <v>26</v>
      </c>
      <c r="H740" t="s">
        <v>30</v>
      </c>
    </row>
    <row r="741" spans="1:8" x14ac:dyDescent="0.3">
      <c r="A741">
        <v>740</v>
      </c>
      <c r="B741" s="3">
        <v>45160</v>
      </c>
      <c r="C741" s="3">
        <v>45139</v>
      </c>
      <c r="D741" t="s">
        <v>19</v>
      </c>
      <c r="E741" t="s">
        <v>790</v>
      </c>
      <c r="F741" t="s">
        <v>40</v>
      </c>
      <c r="G741" t="s">
        <v>41</v>
      </c>
      <c r="H741" t="s">
        <v>30</v>
      </c>
    </row>
    <row r="742" spans="1:8" x14ac:dyDescent="0.3">
      <c r="A742">
        <v>741</v>
      </c>
      <c r="B742" s="3">
        <v>45160</v>
      </c>
      <c r="C742" s="3">
        <v>45139</v>
      </c>
      <c r="D742" t="s">
        <v>19</v>
      </c>
      <c r="E742" t="s">
        <v>791</v>
      </c>
      <c r="F742" t="s">
        <v>40</v>
      </c>
      <c r="G742" t="s">
        <v>75</v>
      </c>
      <c r="H742" t="s">
        <v>30</v>
      </c>
    </row>
    <row r="743" spans="1:8" x14ac:dyDescent="0.3">
      <c r="A743">
        <v>742</v>
      </c>
      <c r="B743" s="3">
        <v>45160</v>
      </c>
      <c r="C743" s="3">
        <v>45139</v>
      </c>
      <c r="D743" t="s">
        <v>19</v>
      </c>
      <c r="E743" t="s">
        <v>792</v>
      </c>
      <c r="F743" t="s">
        <v>25</v>
      </c>
      <c r="G743" t="s">
        <v>26</v>
      </c>
      <c r="H743" t="s">
        <v>27</v>
      </c>
    </row>
    <row r="744" spans="1:8" x14ac:dyDescent="0.3">
      <c r="A744">
        <v>743</v>
      </c>
      <c r="B744" s="3">
        <v>45160</v>
      </c>
      <c r="C744" s="3">
        <v>45139</v>
      </c>
      <c r="D744" t="s">
        <v>19</v>
      </c>
      <c r="E744" t="s">
        <v>793</v>
      </c>
      <c r="F744" t="s">
        <v>21</v>
      </c>
      <c r="G744" t="s">
        <v>29</v>
      </c>
      <c r="H744" t="s">
        <v>30</v>
      </c>
    </row>
    <row r="745" spans="1:8" x14ac:dyDescent="0.3">
      <c r="A745">
        <v>744</v>
      </c>
      <c r="B745" s="3">
        <v>45161</v>
      </c>
      <c r="C745" s="3">
        <v>45139</v>
      </c>
      <c r="D745" t="s">
        <v>19</v>
      </c>
      <c r="E745" t="s">
        <v>794</v>
      </c>
      <c r="F745" t="s">
        <v>21</v>
      </c>
      <c r="G745" t="s">
        <v>22</v>
      </c>
      <c r="H745" t="s">
        <v>30</v>
      </c>
    </row>
    <row r="746" spans="1:8" x14ac:dyDescent="0.3">
      <c r="A746">
        <v>745</v>
      </c>
      <c r="B746" s="3">
        <v>45161</v>
      </c>
      <c r="C746" s="3">
        <v>45139</v>
      </c>
      <c r="D746" t="s">
        <v>19</v>
      </c>
      <c r="E746" t="s">
        <v>795</v>
      </c>
      <c r="F746" t="s">
        <v>40</v>
      </c>
      <c r="G746" t="s">
        <v>75</v>
      </c>
      <c r="H746" t="s">
        <v>30</v>
      </c>
    </row>
    <row r="747" spans="1:8" x14ac:dyDescent="0.3">
      <c r="A747">
        <v>746</v>
      </c>
      <c r="B747" s="3">
        <v>45162</v>
      </c>
      <c r="C747" s="3">
        <v>45139</v>
      </c>
      <c r="D747" t="s">
        <v>19</v>
      </c>
      <c r="E747" t="s">
        <v>796</v>
      </c>
      <c r="F747" t="s">
        <v>21</v>
      </c>
      <c r="G747" t="s">
        <v>29</v>
      </c>
      <c r="H747" t="s">
        <v>30</v>
      </c>
    </row>
    <row r="748" spans="1:8" x14ac:dyDescent="0.3">
      <c r="A748">
        <v>747</v>
      </c>
      <c r="B748" s="3">
        <v>45163</v>
      </c>
      <c r="C748" s="3">
        <v>45139</v>
      </c>
      <c r="D748" t="s">
        <v>19</v>
      </c>
      <c r="E748" t="s">
        <v>797</v>
      </c>
      <c r="F748" t="s">
        <v>21</v>
      </c>
      <c r="G748" t="s">
        <v>29</v>
      </c>
      <c r="H748" t="s">
        <v>30</v>
      </c>
    </row>
    <row r="749" spans="1:8" x14ac:dyDescent="0.3">
      <c r="A749">
        <v>748</v>
      </c>
      <c r="B749" s="3">
        <v>45163</v>
      </c>
      <c r="C749" s="3">
        <v>45139</v>
      </c>
      <c r="D749" t="s">
        <v>19</v>
      </c>
      <c r="E749" t="s">
        <v>798</v>
      </c>
      <c r="F749" t="s">
        <v>25</v>
      </c>
      <c r="G749" t="s">
        <v>345</v>
      </c>
      <c r="H749" t="s">
        <v>30</v>
      </c>
    </row>
    <row r="750" spans="1:8" x14ac:dyDescent="0.3">
      <c r="A750">
        <v>749</v>
      </c>
      <c r="B750" s="3">
        <v>45163</v>
      </c>
      <c r="C750" s="3">
        <v>45139</v>
      </c>
      <c r="D750" t="s">
        <v>19</v>
      </c>
      <c r="E750" t="s">
        <v>799</v>
      </c>
      <c r="F750" t="s">
        <v>40</v>
      </c>
      <c r="G750" t="s">
        <v>48</v>
      </c>
      <c r="H750" t="s">
        <v>27</v>
      </c>
    </row>
    <row r="751" spans="1:8" x14ac:dyDescent="0.3">
      <c r="A751">
        <v>750</v>
      </c>
      <c r="B751" s="3">
        <v>45164</v>
      </c>
      <c r="C751" s="3">
        <v>45139</v>
      </c>
      <c r="D751" t="s">
        <v>19</v>
      </c>
      <c r="E751" t="s">
        <v>800</v>
      </c>
      <c r="F751" t="s">
        <v>21</v>
      </c>
      <c r="G751" t="s">
        <v>22</v>
      </c>
      <c r="H751" t="s">
        <v>30</v>
      </c>
    </row>
    <row r="752" spans="1:8" x14ac:dyDescent="0.3">
      <c r="A752">
        <v>751</v>
      </c>
      <c r="B752" s="3">
        <v>45168</v>
      </c>
      <c r="C752" s="3">
        <v>45139</v>
      </c>
      <c r="D752" t="s">
        <v>19</v>
      </c>
      <c r="E752" t="s">
        <v>801</v>
      </c>
      <c r="F752" t="s">
        <v>25</v>
      </c>
      <c r="G752" t="s">
        <v>26</v>
      </c>
      <c r="H752" t="s">
        <v>30</v>
      </c>
    </row>
    <row r="753" spans="1:8" x14ac:dyDescent="0.3">
      <c r="A753">
        <v>752</v>
      </c>
      <c r="B753" s="3">
        <v>45168</v>
      </c>
      <c r="C753" s="3">
        <v>45139</v>
      </c>
      <c r="D753" t="s">
        <v>19</v>
      </c>
      <c r="E753" t="s">
        <v>802</v>
      </c>
      <c r="F753" t="s">
        <v>21</v>
      </c>
      <c r="G753" t="s">
        <v>29</v>
      </c>
      <c r="H753" t="s">
        <v>27</v>
      </c>
    </row>
    <row r="754" spans="1:8" x14ac:dyDescent="0.3">
      <c r="A754">
        <v>753</v>
      </c>
      <c r="B754" s="3">
        <v>45168</v>
      </c>
      <c r="C754" s="3">
        <v>45139</v>
      </c>
      <c r="D754" t="s">
        <v>19</v>
      </c>
      <c r="E754" t="s">
        <v>803</v>
      </c>
      <c r="F754" t="s">
        <v>32</v>
      </c>
      <c r="G754" t="s">
        <v>33</v>
      </c>
      <c r="H754" t="s">
        <v>27</v>
      </c>
    </row>
    <row r="755" spans="1:8" x14ac:dyDescent="0.3">
      <c r="A755">
        <v>754</v>
      </c>
      <c r="B755" s="3">
        <v>45168</v>
      </c>
      <c r="C755" s="3">
        <v>45139</v>
      </c>
      <c r="D755" t="s">
        <v>19</v>
      </c>
      <c r="E755" t="s">
        <v>804</v>
      </c>
      <c r="F755" t="s">
        <v>21</v>
      </c>
      <c r="G755" t="s">
        <v>29</v>
      </c>
      <c r="H755" t="s">
        <v>30</v>
      </c>
    </row>
    <row r="756" spans="1:8" x14ac:dyDescent="0.3">
      <c r="A756">
        <v>755</v>
      </c>
      <c r="B756" s="3">
        <v>45168</v>
      </c>
      <c r="C756" s="3">
        <v>45139</v>
      </c>
      <c r="D756" t="s">
        <v>19</v>
      </c>
      <c r="E756" t="s">
        <v>805</v>
      </c>
      <c r="F756" t="s">
        <v>32</v>
      </c>
      <c r="G756" t="s">
        <v>33</v>
      </c>
      <c r="H756" t="s">
        <v>30</v>
      </c>
    </row>
    <row r="757" spans="1:8" x14ac:dyDescent="0.3">
      <c r="A757">
        <v>756</v>
      </c>
      <c r="B757" s="3">
        <v>45168</v>
      </c>
      <c r="C757" s="3">
        <v>45139</v>
      </c>
      <c r="D757" t="s">
        <v>19</v>
      </c>
      <c r="E757" t="s">
        <v>806</v>
      </c>
      <c r="F757" t="s">
        <v>25</v>
      </c>
      <c r="G757" t="s">
        <v>26</v>
      </c>
      <c r="H757" t="s">
        <v>27</v>
      </c>
    </row>
    <row r="758" spans="1:8" x14ac:dyDescent="0.3">
      <c r="A758">
        <v>757</v>
      </c>
      <c r="B758" s="3">
        <v>45168</v>
      </c>
      <c r="C758" s="3">
        <v>45139</v>
      </c>
      <c r="D758" t="s">
        <v>19</v>
      </c>
      <c r="E758" t="s">
        <v>807</v>
      </c>
      <c r="F758" t="s">
        <v>25</v>
      </c>
      <c r="G758" t="s">
        <v>26</v>
      </c>
      <c r="H758" t="s">
        <v>30</v>
      </c>
    </row>
    <row r="759" spans="1:8" x14ac:dyDescent="0.3">
      <c r="A759">
        <v>758</v>
      </c>
      <c r="B759" s="3">
        <v>45169</v>
      </c>
      <c r="C759" s="3">
        <v>45139</v>
      </c>
      <c r="D759" t="s">
        <v>19</v>
      </c>
      <c r="E759" t="s">
        <v>808</v>
      </c>
      <c r="F759" t="s">
        <v>21</v>
      </c>
      <c r="G759" t="s">
        <v>22</v>
      </c>
      <c r="H759" t="s">
        <v>30</v>
      </c>
    </row>
    <row r="760" spans="1:8" x14ac:dyDescent="0.3">
      <c r="A760">
        <v>759</v>
      </c>
      <c r="B760" s="3">
        <v>45174</v>
      </c>
      <c r="C760" s="3">
        <v>45170</v>
      </c>
      <c r="D760" t="s">
        <v>19</v>
      </c>
      <c r="E760" t="s">
        <v>809</v>
      </c>
      <c r="F760" t="s">
        <v>32</v>
      </c>
      <c r="G760" t="s">
        <v>593</v>
      </c>
      <c r="H760" t="s">
        <v>810</v>
      </c>
    </row>
    <row r="761" spans="1:8" x14ac:dyDescent="0.3">
      <c r="A761">
        <v>760</v>
      </c>
      <c r="B761" s="3">
        <v>45174</v>
      </c>
      <c r="C761" s="3">
        <v>45170</v>
      </c>
      <c r="D761" t="s">
        <v>19</v>
      </c>
      <c r="E761" t="s">
        <v>811</v>
      </c>
      <c r="F761" t="s">
        <v>32</v>
      </c>
      <c r="G761" t="s">
        <v>33</v>
      </c>
      <c r="H761" t="s">
        <v>30</v>
      </c>
    </row>
    <row r="762" spans="1:8" x14ac:dyDescent="0.3">
      <c r="A762">
        <v>761</v>
      </c>
      <c r="B762" s="3">
        <v>45176</v>
      </c>
      <c r="C762" s="3">
        <v>45170</v>
      </c>
      <c r="D762" t="s">
        <v>19</v>
      </c>
      <c r="E762" t="s">
        <v>812</v>
      </c>
      <c r="F762" t="s">
        <v>40</v>
      </c>
      <c r="G762" t="s">
        <v>264</v>
      </c>
      <c r="H762" t="s">
        <v>810</v>
      </c>
    </row>
    <row r="763" spans="1:8" x14ac:dyDescent="0.3">
      <c r="A763">
        <v>762</v>
      </c>
      <c r="B763" s="3">
        <v>45177</v>
      </c>
      <c r="C763" s="3">
        <v>45170</v>
      </c>
      <c r="D763" t="s">
        <v>19</v>
      </c>
      <c r="E763" t="s">
        <v>813</v>
      </c>
      <c r="F763" t="s">
        <v>32</v>
      </c>
      <c r="G763" t="s">
        <v>33</v>
      </c>
      <c r="H763" t="s">
        <v>810</v>
      </c>
    </row>
    <row r="764" spans="1:8" x14ac:dyDescent="0.3">
      <c r="A764">
        <v>763</v>
      </c>
      <c r="B764" s="3">
        <v>45178</v>
      </c>
      <c r="C764" s="3">
        <v>45170</v>
      </c>
      <c r="D764" t="s">
        <v>19</v>
      </c>
      <c r="E764" t="s">
        <v>814</v>
      </c>
      <c r="F764" t="s">
        <v>40</v>
      </c>
      <c r="G764" t="s">
        <v>48</v>
      </c>
      <c r="H764" t="s">
        <v>810</v>
      </c>
    </row>
    <row r="765" spans="1:8" x14ac:dyDescent="0.3">
      <c r="A765">
        <v>764</v>
      </c>
      <c r="B765" s="3">
        <v>45181</v>
      </c>
      <c r="C765" s="3">
        <v>45170</v>
      </c>
      <c r="D765" t="s">
        <v>19</v>
      </c>
      <c r="E765" t="s">
        <v>815</v>
      </c>
      <c r="F765" t="s">
        <v>21</v>
      </c>
      <c r="G765" t="s">
        <v>22</v>
      </c>
      <c r="H765" t="s">
        <v>30</v>
      </c>
    </row>
    <row r="766" spans="1:8" x14ac:dyDescent="0.3">
      <c r="A766">
        <v>765</v>
      </c>
      <c r="B766" s="3">
        <v>45182</v>
      </c>
      <c r="C766" s="3">
        <v>45170</v>
      </c>
      <c r="D766" t="s">
        <v>19</v>
      </c>
      <c r="E766" t="s">
        <v>816</v>
      </c>
      <c r="F766" t="s">
        <v>21</v>
      </c>
      <c r="G766" t="s">
        <v>22</v>
      </c>
      <c r="H766" t="s">
        <v>810</v>
      </c>
    </row>
    <row r="767" spans="1:8" x14ac:dyDescent="0.3">
      <c r="A767">
        <v>766</v>
      </c>
      <c r="B767" s="3">
        <v>45183</v>
      </c>
      <c r="C767" s="3">
        <v>45170</v>
      </c>
      <c r="D767" t="s">
        <v>19</v>
      </c>
      <c r="E767" t="s">
        <v>817</v>
      </c>
      <c r="F767" t="s">
        <v>818</v>
      </c>
      <c r="G767" t="s">
        <v>33</v>
      </c>
      <c r="H767" t="s">
        <v>30</v>
      </c>
    </row>
    <row r="768" spans="1:8" x14ac:dyDescent="0.3">
      <c r="A768">
        <v>767</v>
      </c>
      <c r="B768" s="3">
        <v>45183</v>
      </c>
      <c r="C768" s="3">
        <v>45170</v>
      </c>
      <c r="D768" t="s">
        <v>19</v>
      </c>
      <c r="E768" t="s">
        <v>819</v>
      </c>
      <c r="F768" t="s">
        <v>32</v>
      </c>
      <c r="G768" t="s">
        <v>33</v>
      </c>
      <c r="H768" t="s">
        <v>27</v>
      </c>
    </row>
    <row r="769" spans="1:8" x14ac:dyDescent="0.3">
      <c r="A769">
        <v>768</v>
      </c>
      <c r="B769" s="3">
        <v>45183</v>
      </c>
      <c r="C769" s="3">
        <v>45170</v>
      </c>
      <c r="D769" t="s">
        <v>19</v>
      </c>
      <c r="E769" t="s">
        <v>820</v>
      </c>
      <c r="F769" t="s">
        <v>21</v>
      </c>
      <c r="G769" t="s">
        <v>22</v>
      </c>
      <c r="H769" t="s">
        <v>27</v>
      </c>
    </row>
    <row r="770" spans="1:8" x14ac:dyDescent="0.3">
      <c r="A770">
        <v>769</v>
      </c>
      <c r="B770" s="3">
        <v>45183</v>
      </c>
      <c r="C770" s="3">
        <v>45170</v>
      </c>
      <c r="D770" t="s">
        <v>19</v>
      </c>
      <c r="E770" t="s">
        <v>821</v>
      </c>
      <c r="F770" t="s">
        <v>32</v>
      </c>
      <c r="G770" t="s">
        <v>33</v>
      </c>
      <c r="H770" t="s">
        <v>30</v>
      </c>
    </row>
    <row r="771" spans="1:8" x14ac:dyDescent="0.3">
      <c r="A771">
        <v>770</v>
      </c>
      <c r="B771" s="3">
        <v>45184</v>
      </c>
      <c r="C771" s="3">
        <v>45170</v>
      </c>
      <c r="D771" t="s">
        <v>19</v>
      </c>
      <c r="E771" t="s">
        <v>822</v>
      </c>
      <c r="F771" t="s">
        <v>25</v>
      </c>
      <c r="G771" t="s">
        <v>345</v>
      </c>
      <c r="H771" t="s">
        <v>30</v>
      </c>
    </row>
    <row r="772" spans="1:8" x14ac:dyDescent="0.3">
      <c r="A772">
        <v>771</v>
      </c>
      <c r="B772" s="3">
        <v>45184</v>
      </c>
      <c r="C772" s="3">
        <v>45170</v>
      </c>
      <c r="D772" t="s">
        <v>19</v>
      </c>
      <c r="E772" t="s">
        <v>823</v>
      </c>
      <c r="F772" t="s">
        <v>25</v>
      </c>
      <c r="G772" t="s">
        <v>29</v>
      </c>
      <c r="H772" t="s">
        <v>30</v>
      </c>
    </row>
    <row r="773" spans="1:8" x14ac:dyDescent="0.3">
      <c r="A773">
        <v>772</v>
      </c>
      <c r="B773" s="3">
        <v>45185</v>
      </c>
      <c r="C773" s="3">
        <v>45170</v>
      </c>
      <c r="D773" t="s">
        <v>19</v>
      </c>
      <c r="E773" t="s">
        <v>824</v>
      </c>
      <c r="F773" t="s">
        <v>25</v>
      </c>
      <c r="G773" t="s">
        <v>345</v>
      </c>
      <c r="H773" t="s">
        <v>30</v>
      </c>
    </row>
    <row r="774" spans="1:8" x14ac:dyDescent="0.3">
      <c r="A774">
        <v>773</v>
      </c>
      <c r="B774" s="3">
        <v>45185</v>
      </c>
      <c r="C774" s="3">
        <v>45170</v>
      </c>
      <c r="D774" t="s">
        <v>19</v>
      </c>
      <c r="E774" t="s">
        <v>825</v>
      </c>
      <c r="F774" t="s">
        <v>32</v>
      </c>
      <c r="G774" t="s">
        <v>33</v>
      </c>
      <c r="H774" t="s">
        <v>27</v>
      </c>
    </row>
    <row r="775" spans="1:8" x14ac:dyDescent="0.3">
      <c r="A775">
        <v>774</v>
      </c>
      <c r="B775" s="3">
        <v>45185</v>
      </c>
      <c r="C775" s="3">
        <v>45170</v>
      </c>
      <c r="D775" t="s">
        <v>19</v>
      </c>
      <c r="E775" t="s">
        <v>826</v>
      </c>
      <c r="F775" t="s">
        <v>25</v>
      </c>
      <c r="G775" t="s">
        <v>345</v>
      </c>
      <c r="H775" t="s">
        <v>30</v>
      </c>
    </row>
    <row r="776" spans="1:8" x14ac:dyDescent="0.3">
      <c r="A776">
        <v>775</v>
      </c>
      <c r="B776" s="3">
        <v>45185</v>
      </c>
      <c r="C776" s="3">
        <v>45170</v>
      </c>
      <c r="D776" t="s">
        <v>19</v>
      </c>
      <c r="E776" t="s">
        <v>827</v>
      </c>
      <c r="F776" t="s">
        <v>25</v>
      </c>
      <c r="G776" t="s">
        <v>26</v>
      </c>
      <c r="H776" t="s">
        <v>30</v>
      </c>
    </row>
    <row r="777" spans="1:8" x14ac:dyDescent="0.3">
      <c r="A777">
        <v>776</v>
      </c>
      <c r="B777" s="3">
        <v>45187</v>
      </c>
      <c r="C777" s="3">
        <v>45170</v>
      </c>
      <c r="D777" t="s">
        <v>19</v>
      </c>
      <c r="E777" t="s">
        <v>828</v>
      </c>
      <c r="F777" t="s">
        <v>25</v>
      </c>
      <c r="G777" t="s">
        <v>26</v>
      </c>
      <c r="H777" t="s">
        <v>810</v>
      </c>
    </row>
    <row r="778" spans="1:8" x14ac:dyDescent="0.3">
      <c r="A778">
        <v>777</v>
      </c>
      <c r="B778" s="3">
        <v>45187</v>
      </c>
      <c r="C778" s="3">
        <v>45170</v>
      </c>
      <c r="D778" t="s">
        <v>19</v>
      </c>
      <c r="E778" t="s">
        <v>829</v>
      </c>
      <c r="F778" t="s">
        <v>40</v>
      </c>
      <c r="G778" t="s">
        <v>48</v>
      </c>
      <c r="H778" t="s">
        <v>810</v>
      </c>
    </row>
    <row r="779" spans="1:8" x14ac:dyDescent="0.3">
      <c r="A779">
        <v>778</v>
      </c>
      <c r="B779" s="3">
        <v>45187</v>
      </c>
      <c r="C779" s="3">
        <v>45170</v>
      </c>
      <c r="D779" t="s">
        <v>19</v>
      </c>
      <c r="E779" t="s">
        <v>830</v>
      </c>
      <c r="F779" t="s">
        <v>25</v>
      </c>
      <c r="G779" t="s">
        <v>26</v>
      </c>
      <c r="H779" t="s">
        <v>810</v>
      </c>
    </row>
    <row r="780" spans="1:8" x14ac:dyDescent="0.3">
      <c r="A780">
        <v>779</v>
      </c>
      <c r="B780" s="3">
        <v>45187</v>
      </c>
      <c r="C780" s="3">
        <v>45170</v>
      </c>
      <c r="D780" t="s">
        <v>19</v>
      </c>
      <c r="E780" t="s">
        <v>831</v>
      </c>
      <c r="F780" t="s">
        <v>32</v>
      </c>
      <c r="G780" t="s">
        <v>33</v>
      </c>
      <c r="H780" t="s">
        <v>810</v>
      </c>
    </row>
    <row r="781" spans="1:8" x14ac:dyDescent="0.3">
      <c r="A781">
        <v>780</v>
      </c>
      <c r="B781" s="3">
        <v>45187</v>
      </c>
      <c r="C781" s="3">
        <v>45170</v>
      </c>
      <c r="D781" t="s">
        <v>19</v>
      </c>
      <c r="E781" t="s">
        <v>832</v>
      </c>
      <c r="F781" t="s">
        <v>25</v>
      </c>
      <c r="G781" t="s">
        <v>26</v>
      </c>
      <c r="H781" t="s">
        <v>810</v>
      </c>
    </row>
    <row r="782" spans="1:8" x14ac:dyDescent="0.3">
      <c r="A782">
        <v>781</v>
      </c>
      <c r="B782" s="3">
        <v>45187</v>
      </c>
      <c r="C782" s="3">
        <v>45170</v>
      </c>
      <c r="D782" t="s">
        <v>19</v>
      </c>
      <c r="E782" t="s">
        <v>833</v>
      </c>
      <c r="F782" t="s">
        <v>21</v>
      </c>
      <c r="G782" t="s">
        <v>22</v>
      </c>
      <c r="H782" t="s">
        <v>810</v>
      </c>
    </row>
    <row r="783" spans="1:8" x14ac:dyDescent="0.3">
      <c r="A783">
        <v>782</v>
      </c>
      <c r="B783" s="3">
        <v>45187</v>
      </c>
      <c r="C783" s="3">
        <v>45170</v>
      </c>
      <c r="D783" t="s">
        <v>19</v>
      </c>
      <c r="E783" t="s">
        <v>834</v>
      </c>
      <c r="F783" t="s">
        <v>32</v>
      </c>
      <c r="G783" t="s">
        <v>33</v>
      </c>
      <c r="H783" t="s">
        <v>30</v>
      </c>
    </row>
    <row r="784" spans="1:8" x14ac:dyDescent="0.3">
      <c r="A784">
        <v>783</v>
      </c>
      <c r="B784" s="3">
        <v>45188</v>
      </c>
      <c r="C784" s="3">
        <v>45170</v>
      </c>
      <c r="D784" t="s">
        <v>19</v>
      </c>
      <c r="E784" t="s">
        <v>835</v>
      </c>
      <c r="F784" t="s">
        <v>21</v>
      </c>
      <c r="G784" t="s">
        <v>22</v>
      </c>
      <c r="H784" t="s">
        <v>30</v>
      </c>
    </row>
    <row r="785" spans="1:8" x14ac:dyDescent="0.3">
      <c r="A785">
        <v>784</v>
      </c>
      <c r="B785" s="3">
        <v>45188</v>
      </c>
      <c r="C785" s="3">
        <v>45170</v>
      </c>
      <c r="D785" t="s">
        <v>19</v>
      </c>
      <c r="E785" t="s">
        <v>836</v>
      </c>
      <c r="F785" t="s">
        <v>25</v>
      </c>
      <c r="G785" t="s">
        <v>26</v>
      </c>
      <c r="H785" t="s">
        <v>810</v>
      </c>
    </row>
    <row r="786" spans="1:8" x14ac:dyDescent="0.3">
      <c r="A786">
        <v>785</v>
      </c>
      <c r="B786" s="3">
        <v>45189</v>
      </c>
      <c r="C786" s="3">
        <v>45170</v>
      </c>
      <c r="D786" t="s">
        <v>19</v>
      </c>
      <c r="E786" t="s">
        <v>837</v>
      </c>
      <c r="F786" t="s">
        <v>21</v>
      </c>
      <c r="G786" t="s">
        <v>22</v>
      </c>
      <c r="H786" t="s">
        <v>810</v>
      </c>
    </row>
    <row r="787" spans="1:8" x14ac:dyDescent="0.3">
      <c r="A787">
        <v>786</v>
      </c>
      <c r="B787" s="3">
        <v>45189</v>
      </c>
      <c r="C787" s="3">
        <v>45170</v>
      </c>
      <c r="D787" t="s">
        <v>19</v>
      </c>
      <c r="E787" t="s">
        <v>838</v>
      </c>
      <c r="F787" t="s">
        <v>25</v>
      </c>
      <c r="G787" t="s">
        <v>26</v>
      </c>
      <c r="H787" t="s">
        <v>810</v>
      </c>
    </row>
    <row r="788" spans="1:8" x14ac:dyDescent="0.3">
      <c r="A788">
        <v>787</v>
      </c>
      <c r="B788" s="3">
        <v>45189</v>
      </c>
      <c r="C788" s="3">
        <v>45170</v>
      </c>
      <c r="D788" t="s">
        <v>19</v>
      </c>
      <c r="E788" t="s">
        <v>839</v>
      </c>
      <c r="F788" t="s">
        <v>21</v>
      </c>
      <c r="G788" t="s">
        <v>22</v>
      </c>
      <c r="H788" t="s">
        <v>810</v>
      </c>
    </row>
    <row r="789" spans="1:8" x14ac:dyDescent="0.3">
      <c r="A789">
        <v>788</v>
      </c>
      <c r="B789" s="3">
        <v>45189</v>
      </c>
      <c r="C789" s="3">
        <v>45170</v>
      </c>
      <c r="D789" t="s">
        <v>19</v>
      </c>
      <c r="E789" t="s">
        <v>840</v>
      </c>
      <c r="F789" t="s">
        <v>25</v>
      </c>
      <c r="G789" t="s">
        <v>26</v>
      </c>
      <c r="H789" t="s">
        <v>810</v>
      </c>
    </row>
    <row r="790" spans="1:8" x14ac:dyDescent="0.3">
      <c r="A790">
        <v>789</v>
      </c>
      <c r="B790" s="3">
        <v>45190</v>
      </c>
      <c r="C790" s="3">
        <v>45170</v>
      </c>
      <c r="D790" t="s">
        <v>19</v>
      </c>
      <c r="E790" t="s">
        <v>841</v>
      </c>
      <c r="F790" t="s">
        <v>21</v>
      </c>
      <c r="G790" t="s">
        <v>22</v>
      </c>
      <c r="H790" t="s">
        <v>810</v>
      </c>
    </row>
    <row r="791" spans="1:8" x14ac:dyDescent="0.3">
      <c r="A791">
        <v>790</v>
      </c>
      <c r="B791" s="3">
        <v>45190</v>
      </c>
      <c r="C791" s="3">
        <v>45170</v>
      </c>
      <c r="D791" t="s">
        <v>19</v>
      </c>
      <c r="E791" t="s">
        <v>842</v>
      </c>
      <c r="F791" t="s">
        <v>21</v>
      </c>
      <c r="G791" t="s">
        <v>22</v>
      </c>
      <c r="H791" t="s">
        <v>27</v>
      </c>
    </row>
    <row r="792" spans="1:8" x14ac:dyDescent="0.3">
      <c r="A792">
        <v>791</v>
      </c>
      <c r="B792" s="3">
        <v>45191</v>
      </c>
      <c r="C792" s="3">
        <v>45170</v>
      </c>
      <c r="D792" t="s">
        <v>19</v>
      </c>
      <c r="E792" t="s">
        <v>843</v>
      </c>
      <c r="F792" t="s">
        <v>21</v>
      </c>
      <c r="G792" t="s">
        <v>22</v>
      </c>
      <c r="H792" t="s">
        <v>27</v>
      </c>
    </row>
    <row r="793" spans="1:8" x14ac:dyDescent="0.3">
      <c r="A793">
        <v>792</v>
      </c>
      <c r="B793" s="3">
        <v>45194</v>
      </c>
      <c r="C793" s="3">
        <v>45170</v>
      </c>
      <c r="D793" t="s">
        <v>19</v>
      </c>
      <c r="E793" t="s">
        <v>844</v>
      </c>
      <c r="F793" t="s">
        <v>25</v>
      </c>
      <c r="G793" t="s">
        <v>345</v>
      </c>
      <c r="H793" t="s">
        <v>810</v>
      </c>
    </row>
    <row r="794" spans="1:8" x14ac:dyDescent="0.3">
      <c r="A794">
        <v>793</v>
      </c>
      <c r="B794" s="3">
        <v>45194</v>
      </c>
      <c r="C794" s="3">
        <v>45170</v>
      </c>
      <c r="D794" t="s">
        <v>19</v>
      </c>
      <c r="E794" t="s">
        <v>845</v>
      </c>
      <c r="F794" t="s">
        <v>40</v>
      </c>
      <c r="G794" t="s">
        <v>75</v>
      </c>
      <c r="H794" t="s">
        <v>810</v>
      </c>
    </row>
    <row r="795" spans="1:8" x14ac:dyDescent="0.3">
      <c r="A795">
        <v>794</v>
      </c>
      <c r="B795" s="3">
        <v>45195</v>
      </c>
      <c r="C795" s="3">
        <v>45170</v>
      </c>
      <c r="D795" t="s">
        <v>19</v>
      </c>
      <c r="E795" t="s">
        <v>846</v>
      </c>
      <c r="F795" t="s">
        <v>40</v>
      </c>
      <c r="G795" t="s">
        <v>48</v>
      </c>
      <c r="H795" t="s">
        <v>30</v>
      </c>
    </row>
    <row r="796" spans="1:8" x14ac:dyDescent="0.3">
      <c r="A796">
        <v>795</v>
      </c>
      <c r="B796" s="3">
        <v>45195</v>
      </c>
      <c r="C796" s="3">
        <v>45170</v>
      </c>
      <c r="D796" t="s">
        <v>19</v>
      </c>
      <c r="E796" t="s">
        <v>847</v>
      </c>
      <c r="F796" t="s">
        <v>25</v>
      </c>
      <c r="G796" t="s">
        <v>26</v>
      </c>
      <c r="H796" t="s">
        <v>27</v>
      </c>
    </row>
    <row r="797" spans="1:8" x14ac:dyDescent="0.3">
      <c r="A797">
        <v>796</v>
      </c>
      <c r="B797" s="3">
        <v>45195</v>
      </c>
      <c r="C797" s="3">
        <v>45170</v>
      </c>
      <c r="D797" t="s">
        <v>19</v>
      </c>
      <c r="E797" t="s">
        <v>848</v>
      </c>
      <c r="F797" t="s">
        <v>21</v>
      </c>
      <c r="G797" t="s">
        <v>22</v>
      </c>
      <c r="H797" t="s">
        <v>810</v>
      </c>
    </row>
    <row r="798" spans="1:8" x14ac:dyDescent="0.3">
      <c r="A798">
        <v>797</v>
      </c>
      <c r="B798" s="3">
        <v>45195</v>
      </c>
      <c r="C798" s="3">
        <v>45170</v>
      </c>
      <c r="D798" t="s">
        <v>19</v>
      </c>
      <c r="E798" t="s">
        <v>849</v>
      </c>
      <c r="F798" t="s">
        <v>25</v>
      </c>
      <c r="G798" t="s">
        <v>26</v>
      </c>
      <c r="H798" t="s">
        <v>810</v>
      </c>
    </row>
    <row r="799" spans="1:8" x14ac:dyDescent="0.3">
      <c r="A799">
        <v>798</v>
      </c>
      <c r="B799" s="3">
        <v>45195</v>
      </c>
      <c r="C799" s="3">
        <v>45170</v>
      </c>
      <c r="D799" t="s">
        <v>19</v>
      </c>
      <c r="E799" t="s">
        <v>850</v>
      </c>
      <c r="F799" t="s">
        <v>32</v>
      </c>
      <c r="G799" t="s">
        <v>33</v>
      </c>
      <c r="H799" t="s">
        <v>810</v>
      </c>
    </row>
    <row r="800" spans="1:8" x14ac:dyDescent="0.3">
      <c r="A800">
        <v>799</v>
      </c>
      <c r="B800" s="3">
        <v>45195</v>
      </c>
      <c r="C800" s="3">
        <v>45170</v>
      </c>
      <c r="D800" t="s">
        <v>19</v>
      </c>
      <c r="E800" t="s">
        <v>851</v>
      </c>
      <c r="F800" t="s">
        <v>21</v>
      </c>
      <c r="G800" t="s">
        <v>29</v>
      </c>
      <c r="H800" t="s">
        <v>30</v>
      </c>
    </row>
    <row r="801" spans="1:8" x14ac:dyDescent="0.3">
      <c r="A801">
        <v>800</v>
      </c>
      <c r="B801" s="3">
        <v>45196</v>
      </c>
      <c r="C801" s="3">
        <v>45170</v>
      </c>
      <c r="D801" t="s">
        <v>19</v>
      </c>
      <c r="E801" t="s">
        <v>852</v>
      </c>
      <c r="F801" t="s">
        <v>21</v>
      </c>
      <c r="G801" t="s">
        <v>22</v>
      </c>
      <c r="H801" t="s">
        <v>810</v>
      </c>
    </row>
    <row r="802" spans="1:8" x14ac:dyDescent="0.3">
      <c r="A802">
        <v>801</v>
      </c>
      <c r="B802" s="3">
        <v>45196</v>
      </c>
      <c r="C802" s="3">
        <v>45170</v>
      </c>
      <c r="D802" t="s">
        <v>19</v>
      </c>
      <c r="E802" t="s">
        <v>853</v>
      </c>
      <c r="F802" t="s">
        <v>25</v>
      </c>
      <c r="G802" t="s">
        <v>26</v>
      </c>
      <c r="H802" t="s">
        <v>810</v>
      </c>
    </row>
    <row r="803" spans="1:8" x14ac:dyDescent="0.3">
      <c r="A803">
        <v>802</v>
      </c>
      <c r="B803" s="3">
        <v>45197</v>
      </c>
      <c r="C803" s="3">
        <v>45170</v>
      </c>
      <c r="D803" t="s">
        <v>19</v>
      </c>
      <c r="E803" t="s">
        <v>854</v>
      </c>
      <c r="F803" t="s">
        <v>40</v>
      </c>
      <c r="G803" t="s">
        <v>75</v>
      </c>
      <c r="H803" t="s">
        <v>27</v>
      </c>
    </row>
    <row r="804" spans="1:8" x14ac:dyDescent="0.3">
      <c r="A804">
        <v>803</v>
      </c>
      <c r="B804" s="3">
        <v>45197</v>
      </c>
      <c r="C804" s="3">
        <v>45170</v>
      </c>
      <c r="D804" t="s">
        <v>19</v>
      </c>
      <c r="E804" t="s">
        <v>855</v>
      </c>
      <c r="F804" t="s">
        <v>40</v>
      </c>
      <c r="G804" t="s">
        <v>48</v>
      </c>
      <c r="H804" t="s">
        <v>27</v>
      </c>
    </row>
    <row r="805" spans="1:8" x14ac:dyDescent="0.3">
      <c r="A805">
        <v>804</v>
      </c>
      <c r="B805" s="3">
        <v>45198</v>
      </c>
      <c r="C805" s="3">
        <v>45170</v>
      </c>
      <c r="D805" t="s">
        <v>19</v>
      </c>
      <c r="E805" t="s">
        <v>856</v>
      </c>
      <c r="F805" t="s">
        <v>40</v>
      </c>
      <c r="G805" t="s">
        <v>437</v>
      </c>
      <c r="H805" t="s">
        <v>810</v>
      </c>
    </row>
    <row r="806" spans="1:8" x14ac:dyDescent="0.3">
      <c r="A806">
        <v>805</v>
      </c>
      <c r="B806" s="3">
        <v>45198</v>
      </c>
      <c r="C806" s="3">
        <v>45170</v>
      </c>
      <c r="D806" t="s">
        <v>19</v>
      </c>
      <c r="E806" t="s">
        <v>857</v>
      </c>
      <c r="F806" t="s">
        <v>40</v>
      </c>
      <c r="G806" t="s">
        <v>75</v>
      </c>
      <c r="H806" t="s">
        <v>810</v>
      </c>
    </row>
    <row r="807" spans="1:8" x14ac:dyDescent="0.3">
      <c r="A807">
        <v>806</v>
      </c>
      <c r="B807" s="3">
        <v>45198</v>
      </c>
      <c r="C807" s="3">
        <v>45170</v>
      </c>
      <c r="D807" t="s">
        <v>19</v>
      </c>
      <c r="E807" t="s">
        <v>858</v>
      </c>
      <c r="F807" t="s">
        <v>40</v>
      </c>
      <c r="G807" t="s">
        <v>48</v>
      </c>
      <c r="H807" t="s">
        <v>30</v>
      </c>
    </row>
    <row r="808" spans="1:8" x14ac:dyDescent="0.3">
      <c r="A808">
        <v>807</v>
      </c>
      <c r="B808" s="3">
        <v>45198</v>
      </c>
      <c r="C808" s="3">
        <v>45170</v>
      </c>
      <c r="D808" t="s">
        <v>19</v>
      </c>
      <c r="E808" t="s">
        <v>859</v>
      </c>
      <c r="F808" t="s">
        <v>21</v>
      </c>
      <c r="G808" t="s">
        <v>22</v>
      </c>
      <c r="H808" t="s">
        <v>810</v>
      </c>
    </row>
    <row r="809" spans="1:8" x14ac:dyDescent="0.3">
      <c r="A809">
        <v>808</v>
      </c>
      <c r="B809" s="3">
        <v>45198</v>
      </c>
      <c r="C809" s="3">
        <v>45170</v>
      </c>
      <c r="D809" t="s">
        <v>19</v>
      </c>
      <c r="E809" t="s">
        <v>860</v>
      </c>
      <c r="F809" t="s">
        <v>25</v>
      </c>
      <c r="G809" t="s">
        <v>26</v>
      </c>
      <c r="H809" t="s">
        <v>234</v>
      </c>
    </row>
    <row r="810" spans="1:8" x14ac:dyDescent="0.3">
      <c r="A810">
        <v>809</v>
      </c>
      <c r="B810" s="3">
        <v>45198</v>
      </c>
      <c r="C810" s="3">
        <v>45170</v>
      </c>
      <c r="D810" t="s">
        <v>19</v>
      </c>
      <c r="E810" t="s">
        <v>861</v>
      </c>
      <c r="F810" t="s">
        <v>25</v>
      </c>
      <c r="G810" t="s">
        <v>29</v>
      </c>
      <c r="H810" t="s">
        <v>30</v>
      </c>
    </row>
    <row r="811" spans="1:8" x14ac:dyDescent="0.3">
      <c r="A811">
        <v>810</v>
      </c>
      <c r="B811" s="3">
        <v>45199</v>
      </c>
      <c r="C811" s="3">
        <v>45170</v>
      </c>
      <c r="D811" t="s">
        <v>19</v>
      </c>
      <c r="E811" t="s">
        <v>862</v>
      </c>
      <c r="F811" t="s">
        <v>32</v>
      </c>
      <c r="G811" t="s">
        <v>33</v>
      </c>
      <c r="H811" t="s">
        <v>30</v>
      </c>
    </row>
    <row r="812" spans="1:8" x14ac:dyDescent="0.3">
      <c r="A812">
        <v>811</v>
      </c>
      <c r="B812" s="3">
        <v>45199</v>
      </c>
      <c r="C812" s="3">
        <v>45170</v>
      </c>
      <c r="D812" t="s">
        <v>19</v>
      </c>
      <c r="E812" t="s">
        <v>863</v>
      </c>
      <c r="F812" t="s">
        <v>25</v>
      </c>
      <c r="G812" t="s">
        <v>26</v>
      </c>
      <c r="H812" t="s">
        <v>810</v>
      </c>
    </row>
    <row r="813" spans="1:8" x14ac:dyDescent="0.3">
      <c r="A813">
        <v>812</v>
      </c>
      <c r="B813" s="3">
        <v>45199</v>
      </c>
      <c r="C813" s="3">
        <v>45170</v>
      </c>
      <c r="D813" t="s">
        <v>19</v>
      </c>
      <c r="E813" t="s">
        <v>864</v>
      </c>
      <c r="F813" t="s">
        <v>21</v>
      </c>
      <c r="G813" t="s">
        <v>22</v>
      </c>
      <c r="H813" t="s">
        <v>810</v>
      </c>
    </row>
    <row r="814" spans="1:8" x14ac:dyDescent="0.3">
      <c r="A814">
        <v>813</v>
      </c>
      <c r="B814" s="3">
        <v>45208</v>
      </c>
      <c r="C814" s="3">
        <v>45200</v>
      </c>
      <c r="D814" t="s">
        <v>19</v>
      </c>
      <c r="E814" t="s">
        <v>865</v>
      </c>
      <c r="F814" t="s">
        <v>21</v>
      </c>
      <c r="G814" t="s">
        <v>29</v>
      </c>
      <c r="H814" t="s">
        <v>810</v>
      </c>
    </row>
    <row r="815" spans="1:8" x14ac:dyDescent="0.3">
      <c r="A815">
        <v>814</v>
      </c>
      <c r="B815" s="3">
        <v>45208</v>
      </c>
      <c r="C815" s="3">
        <v>45200</v>
      </c>
      <c r="D815" t="s">
        <v>19</v>
      </c>
      <c r="E815" t="s">
        <v>866</v>
      </c>
      <c r="F815" t="s">
        <v>21</v>
      </c>
      <c r="G815" t="s">
        <v>29</v>
      </c>
      <c r="H815" t="s">
        <v>810</v>
      </c>
    </row>
    <row r="816" spans="1:8" x14ac:dyDescent="0.3">
      <c r="A816">
        <v>815</v>
      </c>
      <c r="B816" s="3">
        <v>45213</v>
      </c>
      <c r="C816" s="3">
        <v>45200</v>
      </c>
      <c r="D816" t="s">
        <v>19</v>
      </c>
      <c r="E816" t="s">
        <v>867</v>
      </c>
      <c r="F816" t="s">
        <v>40</v>
      </c>
      <c r="G816" t="s">
        <v>437</v>
      </c>
      <c r="H816" t="s">
        <v>810</v>
      </c>
    </row>
    <row r="817" spans="1:8" x14ac:dyDescent="0.3">
      <c r="A817">
        <v>816</v>
      </c>
      <c r="B817" s="3">
        <v>45213</v>
      </c>
      <c r="C817" s="3">
        <v>45200</v>
      </c>
      <c r="D817" t="s">
        <v>19</v>
      </c>
      <c r="E817" t="s">
        <v>868</v>
      </c>
      <c r="F817" t="s">
        <v>21</v>
      </c>
      <c r="G817" t="s">
        <v>22</v>
      </c>
      <c r="H817" t="s">
        <v>810</v>
      </c>
    </row>
    <row r="818" spans="1:8" x14ac:dyDescent="0.3">
      <c r="A818">
        <v>817</v>
      </c>
      <c r="B818" s="3">
        <v>45215</v>
      </c>
      <c r="C818" s="3">
        <v>45200</v>
      </c>
      <c r="D818" t="s">
        <v>19</v>
      </c>
      <c r="E818" t="s">
        <v>869</v>
      </c>
      <c r="F818" t="s">
        <v>21</v>
      </c>
      <c r="G818" t="s">
        <v>29</v>
      </c>
      <c r="H818" t="s">
        <v>27</v>
      </c>
    </row>
    <row r="819" spans="1:8" x14ac:dyDescent="0.3">
      <c r="A819">
        <v>818</v>
      </c>
      <c r="B819" s="3">
        <v>45216</v>
      </c>
      <c r="C819" s="3">
        <v>45200</v>
      </c>
      <c r="D819" t="s">
        <v>19</v>
      </c>
      <c r="E819" t="s">
        <v>870</v>
      </c>
      <c r="F819" t="s">
        <v>25</v>
      </c>
      <c r="G819" t="s">
        <v>26</v>
      </c>
      <c r="H819" t="s">
        <v>810</v>
      </c>
    </row>
    <row r="820" spans="1:8" x14ac:dyDescent="0.3">
      <c r="A820">
        <v>819</v>
      </c>
      <c r="B820" s="3">
        <v>45216</v>
      </c>
      <c r="C820" s="3">
        <v>45200</v>
      </c>
      <c r="D820" t="s">
        <v>19</v>
      </c>
      <c r="E820" t="s">
        <v>871</v>
      </c>
      <c r="F820" t="s">
        <v>40</v>
      </c>
      <c r="G820" t="s">
        <v>872</v>
      </c>
      <c r="H820" t="s">
        <v>810</v>
      </c>
    </row>
    <row r="821" spans="1:8" x14ac:dyDescent="0.3">
      <c r="A821">
        <v>820</v>
      </c>
      <c r="B821" s="3">
        <v>45216</v>
      </c>
      <c r="C821" s="3">
        <v>45200</v>
      </c>
      <c r="D821" t="s">
        <v>19</v>
      </c>
      <c r="E821" t="s">
        <v>873</v>
      </c>
      <c r="F821" t="s">
        <v>25</v>
      </c>
      <c r="G821" t="s">
        <v>26</v>
      </c>
      <c r="H821" t="s">
        <v>27</v>
      </c>
    </row>
    <row r="822" spans="1:8" x14ac:dyDescent="0.3">
      <c r="A822">
        <v>821</v>
      </c>
      <c r="B822" s="3">
        <v>45217</v>
      </c>
      <c r="C822" s="3">
        <v>45200</v>
      </c>
      <c r="D822" t="s">
        <v>19</v>
      </c>
      <c r="E822" t="s">
        <v>874</v>
      </c>
      <c r="F822" t="s">
        <v>21</v>
      </c>
      <c r="G822" t="s">
        <v>29</v>
      </c>
      <c r="H822" t="s">
        <v>27</v>
      </c>
    </row>
    <row r="823" spans="1:8" x14ac:dyDescent="0.3">
      <c r="A823">
        <v>822</v>
      </c>
      <c r="B823" s="3">
        <v>45217</v>
      </c>
      <c r="C823" s="3">
        <v>45200</v>
      </c>
      <c r="D823" t="s">
        <v>19</v>
      </c>
      <c r="E823" t="s">
        <v>875</v>
      </c>
      <c r="F823" t="s">
        <v>25</v>
      </c>
      <c r="G823" t="s">
        <v>26</v>
      </c>
      <c r="H823" t="s">
        <v>810</v>
      </c>
    </row>
    <row r="824" spans="1:8" x14ac:dyDescent="0.3">
      <c r="A824">
        <v>823</v>
      </c>
      <c r="B824" s="3">
        <v>45213</v>
      </c>
      <c r="C824" s="3">
        <v>45200</v>
      </c>
      <c r="D824" t="s">
        <v>19</v>
      </c>
      <c r="E824" t="s">
        <v>876</v>
      </c>
      <c r="F824" t="s">
        <v>21</v>
      </c>
      <c r="G824" t="s">
        <v>22</v>
      </c>
      <c r="H824" t="s">
        <v>30</v>
      </c>
    </row>
    <row r="825" spans="1:8" x14ac:dyDescent="0.3">
      <c r="A825">
        <v>824</v>
      </c>
      <c r="B825" s="3">
        <v>45217</v>
      </c>
      <c r="C825" s="3">
        <v>45200</v>
      </c>
      <c r="D825" t="s">
        <v>19</v>
      </c>
      <c r="E825" t="s">
        <v>877</v>
      </c>
      <c r="F825" t="s">
        <v>40</v>
      </c>
      <c r="G825" t="s">
        <v>41</v>
      </c>
      <c r="H825" t="s">
        <v>810</v>
      </c>
    </row>
    <row r="826" spans="1:8" x14ac:dyDescent="0.3">
      <c r="A826">
        <v>825</v>
      </c>
      <c r="B826" s="3">
        <v>45217</v>
      </c>
      <c r="C826" s="3">
        <v>45200</v>
      </c>
      <c r="D826" t="s">
        <v>19</v>
      </c>
      <c r="E826" t="s">
        <v>878</v>
      </c>
      <c r="F826" t="s">
        <v>21</v>
      </c>
      <c r="G826" t="s">
        <v>22</v>
      </c>
      <c r="H826" t="s">
        <v>810</v>
      </c>
    </row>
    <row r="827" spans="1:8" x14ac:dyDescent="0.3">
      <c r="A827">
        <v>826</v>
      </c>
      <c r="B827" s="3">
        <v>45218</v>
      </c>
      <c r="C827" s="3">
        <v>45200</v>
      </c>
      <c r="D827" t="s">
        <v>19</v>
      </c>
      <c r="E827" t="s">
        <v>879</v>
      </c>
      <c r="F827" t="s">
        <v>21</v>
      </c>
      <c r="G827" t="s">
        <v>29</v>
      </c>
      <c r="H827" t="s">
        <v>30</v>
      </c>
    </row>
    <row r="828" spans="1:8" x14ac:dyDescent="0.3">
      <c r="A828">
        <v>827</v>
      </c>
      <c r="B828" s="3">
        <v>45218</v>
      </c>
      <c r="C828" s="3">
        <v>45200</v>
      </c>
      <c r="D828" t="s">
        <v>19</v>
      </c>
      <c r="E828" t="s">
        <v>880</v>
      </c>
      <c r="F828" t="s">
        <v>21</v>
      </c>
      <c r="G828" t="s">
        <v>29</v>
      </c>
      <c r="H828" t="s">
        <v>30</v>
      </c>
    </row>
    <row r="829" spans="1:8" x14ac:dyDescent="0.3">
      <c r="A829">
        <v>828</v>
      </c>
      <c r="B829" s="3">
        <v>45219</v>
      </c>
      <c r="C829" s="3">
        <v>45200</v>
      </c>
      <c r="D829" t="s">
        <v>19</v>
      </c>
      <c r="E829" t="s">
        <v>881</v>
      </c>
      <c r="F829" t="s">
        <v>32</v>
      </c>
      <c r="G829" t="s">
        <v>33</v>
      </c>
      <c r="H829" t="s">
        <v>810</v>
      </c>
    </row>
    <row r="830" spans="1:8" x14ac:dyDescent="0.3">
      <c r="A830">
        <v>829</v>
      </c>
      <c r="B830" s="3">
        <v>45219</v>
      </c>
      <c r="C830" s="3">
        <v>45200</v>
      </c>
      <c r="D830" t="s">
        <v>19</v>
      </c>
      <c r="E830" t="s">
        <v>882</v>
      </c>
      <c r="F830" t="s">
        <v>40</v>
      </c>
      <c r="G830" t="s">
        <v>75</v>
      </c>
      <c r="H830" t="s">
        <v>810</v>
      </c>
    </row>
    <row r="831" spans="1:8" x14ac:dyDescent="0.3">
      <c r="A831">
        <v>830</v>
      </c>
      <c r="B831" s="3">
        <v>45219</v>
      </c>
      <c r="C831" s="3">
        <v>45200</v>
      </c>
      <c r="D831" t="s">
        <v>19</v>
      </c>
      <c r="E831" t="s">
        <v>883</v>
      </c>
      <c r="F831" t="s">
        <v>40</v>
      </c>
      <c r="G831" t="s">
        <v>48</v>
      </c>
      <c r="H831" t="s">
        <v>810</v>
      </c>
    </row>
    <row r="832" spans="1:8" x14ac:dyDescent="0.3">
      <c r="A832">
        <v>831</v>
      </c>
      <c r="B832" s="3">
        <v>45219</v>
      </c>
      <c r="C832" s="3">
        <v>45200</v>
      </c>
      <c r="D832" t="s">
        <v>19</v>
      </c>
      <c r="E832" t="s">
        <v>884</v>
      </c>
      <c r="F832" t="s">
        <v>21</v>
      </c>
      <c r="G832" t="s">
        <v>22</v>
      </c>
      <c r="H832" t="s">
        <v>810</v>
      </c>
    </row>
    <row r="833" spans="1:8" x14ac:dyDescent="0.3">
      <c r="A833">
        <v>832</v>
      </c>
      <c r="B833" s="3">
        <v>45220</v>
      </c>
      <c r="C833" s="3">
        <v>45200</v>
      </c>
      <c r="D833" t="s">
        <v>19</v>
      </c>
      <c r="E833" t="s">
        <v>885</v>
      </c>
      <c r="F833" t="s">
        <v>21</v>
      </c>
      <c r="G833" t="s">
        <v>22</v>
      </c>
      <c r="H833" t="s">
        <v>810</v>
      </c>
    </row>
    <row r="834" spans="1:8" x14ac:dyDescent="0.3">
      <c r="A834">
        <v>833</v>
      </c>
      <c r="B834" s="3">
        <v>45221</v>
      </c>
      <c r="C834" s="3">
        <v>45200</v>
      </c>
      <c r="D834" t="s">
        <v>19</v>
      </c>
      <c r="E834" t="s">
        <v>886</v>
      </c>
      <c r="F834" t="s">
        <v>21</v>
      </c>
      <c r="G834" t="s">
        <v>22</v>
      </c>
      <c r="H834" t="s">
        <v>810</v>
      </c>
    </row>
    <row r="835" spans="1:8" x14ac:dyDescent="0.3">
      <c r="A835">
        <v>834</v>
      </c>
      <c r="B835" s="3">
        <v>45229</v>
      </c>
      <c r="C835" s="3">
        <v>45200</v>
      </c>
      <c r="D835" t="s">
        <v>19</v>
      </c>
      <c r="E835" t="s">
        <v>887</v>
      </c>
      <c r="F835" t="s">
        <v>25</v>
      </c>
      <c r="G835" t="s">
        <v>345</v>
      </c>
      <c r="H835" t="s">
        <v>30</v>
      </c>
    </row>
    <row r="836" spans="1:8" x14ac:dyDescent="0.3">
      <c r="A836">
        <v>835</v>
      </c>
      <c r="B836" s="3">
        <v>45229</v>
      </c>
      <c r="C836" s="3">
        <v>45200</v>
      </c>
      <c r="D836" t="s">
        <v>19</v>
      </c>
      <c r="E836" t="s">
        <v>888</v>
      </c>
      <c r="F836" t="s">
        <v>25</v>
      </c>
      <c r="G836" t="s">
        <v>345</v>
      </c>
      <c r="H836" t="s">
        <v>27</v>
      </c>
    </row>
    <row r="837" spans="1:8" x14ac:dyDescent="0.3">
      <c r="A837">
        <v>836</v>
      </c>
      <c r="B837" s="3">
        <v>45230</v>
      </c>
      <c r="C837" s="3">
        <v>45200</v>
      </c>
      <c r="D837" t="s">
        <v>19</v>
      </c>
      <c r="E837" t="s">
        <v>889</v>
      </c>
      <c r="F837" t="s">
        <v>32</v>
      </c>
      <c r="G837" t="s">
        <v>33</v>
      </c>
      <c r="H837" t="s">
        <v>30</v>
      </c>
    </row>
    <row r="838" spans="1:8" x14ac:dyDescent="0.3">
      <c r="A838">
        <v>837</v>
      </c>
      <c r="B838" s="3">
        <v>45230</v>
      </c>
      <c r="C838" s="3">
        <v>45200</v>
      </c>
      <c r="D838" t="s">
        <v>19</v>
      </c>
      <c r="E838" t="s">
        <v>890</v>
      </c>
      <c r="F838" t="s">
        <v>40</v>
      </c>
      <c r="G838" t="s">
        <v>48</v>
      </c>
      <c r="H838" t="s">
        <v>30</v>
      </c>
    </row>
    <row r="839" spans="1:8" x14ac:dyDescent="0.3">
      <c r="A839">
        <v>838</v>
      </c>
      <c r="B839" s="3">
        <v>45230</v>
      </c>
      <c r="C839" s="3">
        <v>45200</v>
      </c>
      <c r="D839" t="s">
        <v>19</v>
      </c>
      <c r="E839" t="s">
        <v>891</v>
      </c>
      <c r="F839" t="s">
        <v>25</v>
      </c>
      <c r="G839" t="s">
        <v>26</v>
      </c>
      <c r="H839" t="s">
        <v>810</v>
      </c>
    </row>
    <row r="840" spans="1:8" x14ac:dyDescent="0.3">
      <c r="A840">
        <v>839</v>
      </c>
      <c r="B840" s="3">
        <v>45230</v>
      </c>
      <c r="C840" s="3">
        <v>45200</v>
      </c>
      <c r="D840" t="s">
        <v>19</v>
      </c>
      <c r="E840" t="s">
        <v>892</v>
      </c>
      <c r="F840" t="s">
        <v>32</v>
      </c>
      <c r="G840" t="s">
        <v>33</v>
      </c>
      <c r="H840" t="s">
        <v>27</v>
      </c>
    </row>
    <row r="841" spans="1:8" x14ac:dyDescent="0.3">
      <c r="A841">
        <v>840</v>
      </c>
      <c r="B841" s="3">
        <v>45230</v>
      </c>
      <c r="C841" s="3">
        <v>45200</v>
      </c>
      <c r="D841" t="s">
        <v>19</v>
      </c>
      <c r="E841" t="s">
        <v>893</v>
      </c>
      <c r="F841" t="s">
        <v>21</v>
      </c>
      <c r="G841" t="s">
        <v>22</v>
      </c>
      <c r="H841" t="s">
        <v>30</v>
      </c>
    </row>
    <row r="842" spans="1:8" x14ac:dyDescent="0.3">
      <c r="A842">
        <v>841</v>
      </c>
      <c r="B842" s="3">
        <v>45230</v>
      </c>
      <c r="C842" s="3">
        <v>45200</v>
      </c>
      <c r="D842" t="s">
        <v>19</v>
      </c>
      <c r="E842" t="s">
        <v>894</v>
      </c>
      <c r="F842" t="s">
        <v>25</v>
      </c>
      <c r="G842" t="s">
        <v>26</v>
      </c>
      <c r="H842" t="s">
        <v>27</v>
      </c>
    </row>
    <row r="843" spans="1:8" x14ac:dyDescent="0.3">
      <c r="A843">
        <v>842</v>
      </c>
      <c r="B843" s="3">
        <v>45230</v>
      </c>
      <c r="C843" s="3">
        <v>45200</v>
      </c>
      <c r="D843" t="s">
        <v>19</v>
      </c>
      <c r="E843" t="s">
        <v>895</v>
      </c>
      <c r="F843" t="s">
        <v>32</v>
      </c>
      <c r="G843" t="s">
        <v>33</v>
      </c>
      <c r="H843" t="s">
        <v>30</v>
      </c>
    </row>
    <row r="844" spans="1:8" x14ac:dyDescent="0.3">
      <c r="A844">
        <v>843</v>
      </c>
      <c r="B844" s="3">
        <v>45238</v>
      </c>
      <c r="C844" s="3">
        <v>45231</v>
      </c>
      <c r="D844" t="s">
        <v>19</v>
      </c>
      <c r="E844" t="s">
        <v>896</v>
      </c>
      <c r="F844" t="s">
        <v>21</v>
      </c>
      <c r="G844" t="s">
        <v>22</v>
      </c>
      <c r="H844" t="s">
        <v>30</v>
      </c>
    </row>
    <row r="845" spans="1:8" x14ac:dyDescent="0.3">
      <c r="A845">
        <v>844</v>
      </c>
      <c r="B845" s="3">
        <v>45240</v>
      </c>
      <c r="C845" s="3">
        <v>45231</v>
      </c>
      <c r="D845" t="s">
        <v>19</v>
      </c>
      <c r="E845" t="s">
        <v>897</v>
      </c>
      <c r="F845" t="s">
        <v>21</v>
      </c>
      <c r="G845" t="s">
        <v>29</v>
      </c>
      <c r="H845" t="s">
        <v>810</v>
      </c>
    </row>
    <row r="846" spans="1:8" x14ac:dyDescent="0.3">
      <c r="A846">
        <v>845</v>
      </c>
      <c r="B846" s="3">
        <v>45240</v>
      </c>
      <c r="C846" s="3">
        <v>45231</v>
      </c>
      <c r="D846" t="s">
        <v>19</v>
      </c>
      <c r="E846" t="s">
        <v>898</v>
      </c>
      <c r="F846" t="s">
        <v>25</v>
      </c>
      <c r="G846" t="s">
        <v>345</v>
      </c>
      <c r="H846" t="s">
        <v>30</v>
      </c>
    </row>
    <row r="847" spans="1:8" x14ac:dyDescent="0.3">
      <c r="A847">
        <v>846</v>
      </c>
      <c r="B847" s="3">
        <v>45240</v>
      </c>
      <c r="C847" s="3">
        <v>45231</v>
      </c>
      <c r="D847" t="s">
        <v>19</v>
      </c>
      <c r="E847" t="s">
        <v>899</v>
      </c>
      <c r="F847" t="s">
        <v>25</v>
      </c>
      <c r="G847" t="s">
        <v>26</v>
      </c>
      <c r="H847" t="s">
        <v>27</v>
      </c>
    </row>
    <row r="848" spans="1:8" x14ac:dyDescent="0.3">
      <c r="A848">
        <v>847</v>
      </c>
      <c r="B848" s="3">
        <v>45240</v>
      </c>
      <c r="C848" s="3">
        <v>45231</v>
      </c>
      <c r="D848" t="s">
        <v>19</v>
      </c>
      <c r="E848" t="s">
        <v>900</v>
      </c>
      <c r="F848" t="s">
        <v>25</v>
      </c>
      <c r="G848" t="s">
        <v>26</v>
      </c>
      <c r="H848" t="s">
        <v>810</v>
      </c>
    </row>
    <row r="849" spans="1:8" x14ac:dyDescent="0.3">
      <c r="A849">
        <v>848</v>
      </c>
      <c r="B849" s="3">
        <v>45240</v>
      </c>
      <c r="C849" s="3">
        <v>45231</v>
      </c>
      <c r="D849" t="s">
        <v>19</v>
      </c>
      <c r="E849" t="s">
        <v>901</v>
      </c>
      <c r="F849" t="s">
        <v>25</v>
      </c>
      <c r="G849" t="s">
        <v>26</v>
      </c>
      <c r="H849" t="s">
        <v>27</v>
      </c>
    </row>
    <row r="850" spans="1:8" x14ac:dyDescent="0.3">
      <c r="A850">
        <v>849</v>
      </c>
      <c r="B850" s="3">
        <v>45241</v>
      </c>
      <c r="C850" s="3">
        <v>45231</v>
      </c>
      <c r="D850" t="s">
        <v>19</v>
      </c>
      <c r="E850" t="s">
        <v>902</v>
      </c>
      <c r="F850" t="s">
        <v>32</v>
      </c>
      <c r="G850" t="s">
        <v>33</v>
      </c>
      <c r="H850" t="s">
        <v>810</v>
      </c>
    </row>
    <row r="851" spans="1:8" x14ac:dyDescent="0.3">
      <c r="A851">
        <v>850</v>
      </c>
      <c r="B851" s="3">
        <v>45241</v>
      </c>
      <c r="C851" s="3">
        <v>45231</v>
      </c>
      <c r="D851" t="s">
        <v>19</v>
      </c>
      <c r="E851" t="s">
        <v>903</v>
      </c>
      <c r="F851" t="s">
        <v>21</v>
      </c>
      <c r="G851" t="s">
        <v>22</v>
      </c>
      <c r="H851" t="s">
        <v>810</v>
      </c>
    </row>
    <row r="852" spans="1:8" x14ac:dyDescent="0.3">
      <c r="A852">
        <v>851</v>
      </c>
      <c r="B852" s="3">
        <v>45241</v>
      </c>
      <c r="C852" s="3">
        <v>45231</v>
      </c>
      <c r="D852" t="s">
        <v>19</v>
      </c>
      <c r="E852" t="s">
        <v>904</v>
      </c>
      <c r="F852" t="s">
        <v>40</v>
      </c>
      <c r="G852" t="s">
        <v>75</v>
      </c>
      <c r="H852" t="s">
        <v>810</v>
      </c>
    </row>
    <row r="853" spans="1:8" x14ac:dyDescent="0.3">
      <c r="A853">
        <v>852</v>
      </c>
      <c r="B853" s="3">
        <v>45245</v>
      </c>
      <c r="C853" s="3">
        <v>45231</v>
      </c>
      <c r="D853" t="s">
        <v>19</v>
      </c>
      <c r="E853" t="s">
        <v>905</v>
      </c>
      <c r="F853" t="s">
        <v>21</v>
      </c>
      <c r="G853" t="s">
        <v>22</v>
      </c>
      <c r="H853" t="s">
        <v>30</v>
      </c>
    </row>
    <row r="854" spans="1:8" x14ac:dyDescent="0.3">
      <c r="A854">
        <v>853</v>
      </c>
      <c r="B854" s="3">
        <v>45245</v>
      </c>
      <c r="C854" s="3">
        <v>45231</v>
      </c>
      <c r="D854" t="s">
        <v>19</v>
      </c>
      <c r="E854" t="s">
        <v>906</v>
      </c>
      <c r="F854" t="s">
        <v>32</v>
      </c>
      <c r="G854" t="s">
        <v>33</v>
      </c>
      <c r="H854" t="s">
        <v>30</v>
      </c>
    </row>
    <row r="855" spans="1:8" x14ac:dyDescent="0.3">
      <c r="A855">
        <v>854</v>
      </c>
      <c r="B855" s="3">
        <v>45245</v>
      </c>
      <c r="C855" s="3">
        <v>45231</v>
      </c>
      <c r="D855" t="s">
        <v>19</v>
      </c>
      <c r="E855" t="s">
        <v>907</v>
      </c>
      <c r="F855" t="s">
        <v>25</v>
      </c>
      <c r="G855" t="s">
        <v>345</v>
      </c>
      <c r="H855" t="s">
        <v>234</v>
      </c>
    </row>
    <row r="856" spans="1:8" x14ac:dyDescent="0.3">
      <c r="A856">
        <v>855</v>
      </c>
      <c r="B856" s="3">
        <v>45246</v>
      </c>
      <c r="C856" s="3">
        <v>45231</v>
      </c>
      <c r="D856" t="s">
        <v>19</v>
      </c>
      <c r="E856" t="s">
        <v>908</v>
      </c>
      <c r="F856" t="s">
        <v>25</v>
      </c>
      <c r="G856" t="s">
        <v>26</v>
      </c>
      <c r="H856" t="s">
        <v>30</v>
      </c>
    </row>
    <row r="857" spans="1:8" x14ac:dyDescent="0.3">
      <c r="A857">
        <v>856</v>
      </c>
      <c r="B857" s="3">
        <v>45246</v>
      </c>
      <c r="C857" s="3">
        <v>45231</v>
      </c>
      <c r="D857" t="s">
        <v>19</v>
      </c>
      <c r="E857" t="s">
        <v>909</v>
      </c>
      <c r="F857" t="s">
        <v>21</v>
      </c>
      <c r="G857" t="s">
        <v>22</v>
      </c>
      <c r="H857" t="s">
        <v>30</v>
      </c>
    </row>
    <row r="858" spans="1:8" x14ac:dyDescent="0.3">
      <c r="A858">
        <v>857</v>
      </c>
      <c r="B858" s="3">
        <v>45247</v>
      </c>
      <c r="C858" s="3">
        <v>45231</v>
      </c>
      <c r="D858" t="s">
        <v>19</v>
      </c>
      <c r="E858" t="s">
        <v>910</v>
      </c>
      <c r="F858" t="s">
        <v>21</v>
      </c>
      <c r="G858" t="s">
        <v>29</v>
      </c>
      <c r="H858" t="s">
        <v>810</v>
      </c>
    </row>
    <row r="859" spans="1:8" x14ac:dyDescent="0.3">
      <c r="A859">
        <v>858</v>
      </c>
      <c r="B859" s="3">
        <v>45247</v>
      </c>
      <c r="C859" s="3">
        <v>45231</v>
      </c>
      <c r="D859" t="s">
        <v>19</v>
      </c>
      <c r="E859" t="s">
        <v>911</v>
      </c>
      <c r="F859" t="s">
        <v>21</v>
      </c>
      <c r="G859" t="s">
        <v>29</v>
      </c>
      <c r="H859" t="s">
        <v>27</v>
      </c>
    </row>
    <row r="860" spans="1:8" x14ac:dyDescent="0.3">
      <c r="A860">
        <v>859</v>
      </c>
      <c r="B860" s="3">
        <v>45248</v>
      </c>
      <c r="C860" s="3">
        <v>45231</v>
      </c>
      <c r="D860" t="s">
        <v>19</v>
      </c>
      <c r="E860" t="s">
        <v>912</v>
      </c>
      <c r="F860" t="s">
        <v>21</v>
      </c>
      <c r="G860" t="s">
        <v>22</v>
      </c>
      <c r="H860" t="s">
        <v>810</v>
      </c>
    </row>
    <row r="861" spans="1:8" x14ac:dyDescent="0.3">
      <c r="A861">
        <v>860</v>
      </c>
      <c r="B861" s="3">
        <v>45248</v>
      </c>
      <c r="C861" s="3">
        <v>45231</v>
      </c>
      <c r="D861" t="s">
        <v>19</v>
      </c>
      <c r="E861" t="s">
        <v>913</v>
      </c>
      <c r="F861" t="s">
        <v>40</v>
      </c>
      <c r="G861" t="s">
        <v>41</v>
      </c>
      <c r="H861" t="s">
        <v>810</v>
      </c>
    </row>
    <row r="862" spans="1:8" x14ac:dyDescent="0.3">
      <c r="A862">
        <v>861</v>
      </c>
      <c r="B862" s="3">
        <v>45251</v>
      </c>
      <c r="C862" s="3">
        <v>45231</v>
      </c>
      <c r="D862" t="s">
        <v>19</v>
      </c>
      <c r="E862" t="s">
        <v>914</v>
      </c>
      <c r="F862" t="s">
        <v>40</v>
      </c>
      <c r="G862" t="s">
        <v>41</v>
      </c>
      <c r="H862" t="s">
        <v>810</v>
      </c>
    </row>
    <row r="863" spans="1:8" x14ac:dyDescent="0.3">
      <c r="A863">
        <v>862</v>
      </c>
      <c r="B863" s="3">
        <v>45252</v>
      </c>
      <c r="C863" s="3">
        <v>45231</v>
      </c>
      <c r="D863" t="s">
        <v>19</v>
      </c>
      <c r="E863" t="s">
        <v>915</v>
      </c>
      <c r="F863" t="s">
        <v>25</v>
      </c>
      <c r="G863" t="s">
        <v>26</v>
      </c>
      <c r="H863" t="s">
        <v>810</v>
      </c>
    </row>
    <row r="864" spans="1:8" x14ac:dyDescent="0.3">
      <c r="A864">
        <v>863</v>
      </c>
      <c r="B864" s="3">
        <v>45254</v>
      </c>
      <c r="C864" s="3">
        <v>45231</v>
      </c>
      <c r="D864" t="s">
        <v>19</v>
      </c>
      <c r="E864" t="s">
        <v>916</v>
      </c>
      <c r="F864" t="s">
        <v>32</v>
      </c>
      <c r="G864" t="s">
        <v>33</v>
      </c>
      <c r="H864" t="s">
        <v>27</v>
      </c>
    </row>
    <row r="865" spans="1:8" x14ac:dyDescent="0.3">
      <c r="A865">
        <v>864</v>
      </c>
      <c r="B865" s="3">
        <v>45254</v>
      </c>
      <c r="C865" s="3">
        <v>45231</v>
      </c>
      <c r="D865" t="s">
        <v>19</v>
      </c>
      <c r="E865" t="s">
        <v>917</v>
      </c>
      <c r="F865" t="s">
        <v>21</v>
      </c>
      <c r="G865" t="s">
        <v>22</v>
      </c>
      <c r="H865" t="s">
        <v>30</v>
      </c>
    </row>
    <row r="866" spans="1:8" x14ac:dyDescent="0.3">
      <c r="A866">
        <v>865</v>
      </c>
      <c r="B866" s="3">
        <v>45254</v>
      </c>
      <c r="C866" s="3">
        <v>45231</v>
      </c>
      <c r="D866" t="s">
        <v>19</v>
      </c>
      <c r="E866" t="s">
        <v>918</v>
      </c>
      <c r="F866" t="s">
        <v>21</v>
      </c>
      <c r="G866" t="s">
        <v>22</v>
      </c>
      <c r="H866" t="s">
        <v>810</v>
      </c>
    </row>
    <row r="867" spans="1:8" x14ac:dyDescent="0.3">
      <c r="A867">
        <v>866</v>
      </c>
      <c r="B867" s="3">
        <v>45254</v>
      </c>
      <c r="C867" s="3">
        <v>45231</v>
      </c>
      <c r="D867" t="s">
        <v>19</v>
      </c>
      <c r="E867" t="s">
        <v>919</v>
      </c>
      <c r="F867" t="s">
        <v>21</v>
      </c>
      <c r="G867" t="s">
        <v>29</v>
      </c>
      <c r="H867" t="s">
        <v>810</v>
      </c>
    </row>
    <row r="868" spans="1:8" x14ac:dyDescent="0.3">
      <c r="A868">
        <v>867</v>
      </c>
      <c r="B868" s="3">
        <v>45255</v>
      </c>
      <c r="C868" s="3">
        <v>45231</v>
      </c>
      <c r="D868" t="s">
        <v>19</v>
      </c>
      <c r="E868" t="s">
        <v>920</v>
      </c>
      <c r="F868" t="s">
        <v>21</v>
      </c>
      <c r="G868" t="s">
        <v>22</v>
      </c>
      <c r="H868" t="s">
        <v>234</v>
      </c>
    </row>
    <row r="869" spans="1:8" x14ac:dyDescent="0.3">
      <c r="A869">
        <v>868</v>
      </c>
      <c r="B869" s="3">
        <v>45255</v>
      </c>
      <c r="C869" s="3">
        <v>45231</v>
      </c>
      <c r="D869" t="s">
        <v>19</v>
      </c>
      <c r="E869" t="s">
        <v>921</v>
      </c>
      <c r="F869" t="s">
        <v>32</v>
      </c>
      <c r="G869" t="s">
        <v>33</v>
      </c>
      <c r="H869" t="s">
        <v>27</v>
      </c>
    </row>
    <row r="870" spans="1:8" x14ac:dyDescent="0.3">
      <c r="A870">
        <v>869</v>
      </c>
      <c r="B870" s="3">
        <v>45255</v>
      </c>
      <c r="C870" s="3">
        <v>45231</v>
      </c>
      <c r="D870" t="s">
        <v>19</v>
      </c>
      <c r="E870" t="s">
        <v>922</v>
      </c>
      <c r="F870" t="s">
        <v>21</v>
      </c>
      <c r="G870" t="s">
        <v>22</v>
      </c>
      <c r="H870" t="s">
        <v>27</v>
      </c>
    </row>
    <row r="871" spans="1:8" x14ac:dyDescent="0.3">
      <c r="A871">
        <v>870</v>
      </c>
      <c r="B871" s="3">
        <v>45257</v>
      </c>
      <c r="C871" s="3">
        <v>45231</v>
      </c>
      <c r="D871" t="s">
        <v>19</v>
      </c>
      <c r="E871" t="s">
        <v>923</v>
      </c>
      <c r="F871" t="s">
        <v>25</v>
      </c>
      <c r="G871" t="s">
        <v>317</v>
      </c>
      <c r="H871" t="s">
        <v>810</v>
      </c>
    </row>
    <row r="872" spans="1:8" x14ac:dyDescent="0.3">
      <c r="A872">
        <v>871</v>
      </c>
      <c r="B872" s="3">
        <v>45257</v>
      </c>
      <c r="C872" s="3">
        <v>45231</v>
      </c>
      <c r="D872" t="s">
        <v>19</v>
      </c>
      <c r="E872" t="s">
        <v>924</v>
      </c>
      <c r="F872" t="s">
        <v>21</v>
      </c>
      <c r="G872" t="s">
        <v>29</v>
      </c>
      <c r="H872" t="s">
        <v>810</v>
      </c>
    </row>
    <row r="873" spans="1:8" x14ac:dyDescent="0.3">
      <c r="A873">
        <v>872</v>
      </c>
      <c r="B873" s="3">
        <v>45257</v>
      </c>
      <c r="C873" s="3">
        <v>45231</v>
      </c>
      <c r="D873" t="s">
        <v>19</v>
      </c>
      <c r="E873" t="s">
        <v>925</v>
      </c>
      <c r="F873" t="s">
        <v>40</v>
      </c>
      <c r="G873" t="s">
        <v>75</v>
      </c>
      <c r="H873" t="s">
        <v>810</v>
      </c>
    </row>
    <row r="874" spans="1:8" x14ac:dyDescent="0.3">
      <c r="A874">
        <v>873</v>
      </c>
      <c r="B874" s="3">
        <v>45259</v>
      </c>
      <c r="C874" s="3">
        <v>45231</v>
      </c>
      <c r="D874" t="s">
        <v>19</v>
      </c>
      <c r="E874" t="s">
        <v>926</v>
      </c>
      <c r="F874" t="s">
        <v>40</v>
      </c>
      <c r="G874" t="s">
        <v>41</v>
      </c>
      <c r="H874" t="s">
        <v>30</v>
      </c>
    </row>
    <row r="875" spans="1:8" x14ac:dyDescent="0.3">
      <c r="A875">
        <v>874</v>
      </c>
      <c r="B875" s="3">
        <v>45259</v>
      </c>
      <c r="C875" s="3">
        <v>45231</v>
      </c>
      <c r="D875" t="s">
        <v>19</v>
      </c>
      <c r="E875" t="s">
        <v>927</v>
      </c>
      <c r="F875" t="s">
        <v>25</v>
      </c>
      <c r="G875" t="s">
        <v>26</v>
      </c>
      <c r="H875" t="s">
        <v>810</v>
      </c>
    </row>
    <row r="876" spans="1:8" x14ac:dyDescent="0.3">
      <c r="A876">
        <v>875</v>
      </c>
      <c r="B876" s="3">
        <v>45259</v>
      </c>
      <c r="C876" s="3">
        <v>45231</v>
      </c>
      <c r="D876" t="s">
        <v>19</v>
      </c>
      <c r="E876" t="s">
        <v>928</v>
      </c>
      <c r="F876" t="s">
        <v>25</v>
      </c>
      <c r="G876" t="s">
        <v>26</v>
      </c>
      <c r="H876" t="s">
        <v>27</v>
      </c>
    </row>
    <row r="877" spans="1:8" x14ac:dyDescent="0.3">
      <c r="A877">
        <v>876</v>
      </c>
      <c r="B877" s="3">
        <v>45260</v>
      </c>
      <c r="C877" s="3">
        <v>45231</v>
      </c>
      <c r="D877" t="s">
        <v>19</v>
      </c>
      <c r="E877" t="s">
        <v>929</v>
      </c>
      <c r="F877" t="s">
        <v>21</v>
      </c>
      <c r="G877" t="s">
        <v>22</v>
      </c>
      <c r="H877" t="s">
        <v>810</v>
      </c>
    </row>
    <row r="878" spans="1:8" x14ac:dyDescent="0.3">
      <c r="A878">
        <v>877</v>
      </c>
      <c r="B878" s="3">
        <v>45260</v>
      </c>
      <c r="C878" s="3">
        <v>45231</v>
      </c>
      <c r="D878" t="s">
        <v>19</v>
      </c>
      <c r="E878" t="s">
        <v>930</v>
      </c>
      <c r="F878" t="s">
        <v>25</v>
      </c>
      <c r="G878" t="s">
        <v>26</v>
      </c>
      <c r="H878" t="s">
        <v>810</v>
      </c>
    </row>
    <row r="879" spans="1:8" x14ac:dyDescent="0.3">
      <c r="A879">
        <v>878</v>
      </c>
      <c r="B879" s="3">
        <v>45260</v>
      </c>
      <c r="C879" s="3">
        <v>45231</v>
      </c>
      <c r="D879" t="s">
        <v>19</v>
      </c>
      <c r="E879" t="s">
        <v>931</v>
      </c>
      <c r="F879" t="s">
        <v>21</v>
      </c>
      <c r="G879" t="s">
        <v>22</v>
      </c>
      <c r="H879" t="s">
        <v>810</v>
      </c>
    </row>
    <row r="880" spans="1:8" x14ac:dyDescent="0.3">
      <c r="A880">
        <v>879</v>
      </c>
      <c r="B880" s="3">
        <v>45260</v>
      </c>
      <c r="C880" s="3">
        <v>45231</v>
      </c>
      <c r="D880" t="s">
        <v>19</v>
      </c>
      <c r="E880" t="s">
        <v>932</v>
      </c>
      <c r="F880" t="s">
        <v>25</v>
      </c>
      <c r="G880" t="s">
        <v>26</v>
      </c>
      <c r="H880" t="s">
        <v>810</v>
      </c>
    </row>
    <row r="881" spans="1:8" x14ac:dyDescent="0.3">
      <c r="A881">
        <v>880</v>
      </c>
      <c r="B881" s="3">
        <v>45260</v>
      </c>
      <c r="C881" s="3">
        <v>45231</v>
      </c>
      <c r="D881" t="s">
        <v>19</v>
      </c>
      <c r="E881" t="s">
        <v>933</v>
      </c>
      <c r="F881" t="s">
        <v>25</v>
      </c>
      <c r="G881" t="s">
        <v>345</v>
      </c>
      <c r="H881" t="s">
        <v>27</v>
      </c>
    </row>
    <row r="882" spans="1:8" x14ac:dyDescent="0.3">
      <c r="A882">
        <v>881</v>
      </c>
      <c r="B882" s="3">
        <v>45260</v>
      </c>
      <c r="C882" s="3">
        <v>45231</v>
      </c>
      <c r="D882" t="s">
        <v>19</v>
      </c>
      <c r="E882" t="s">
        <v>934</v>
      </c>
      <c r="F882" t="s">
        <v>21</v>
      </c>
      <c r="G882" t="s">
        <v>22</v>
      </c>
      <c r="H882" t="s">
        <v>810</v>
      </c>
    </row>
    <row r="883" spans="1:8" x14ac:dyDescent="0.3">
      <c r="A883">
        <v>882</v>
      </c>
      <c r="B883" s="3">
        <v>45260</v>
      </c>
      <c r="C883" s="3">
        <v>45231</v>
      </c>
      <c r="D883" t="s">
        <v>19</v>
      </c>
      <c r="E883" t="s">
        <v>935</v>
      </c>
      <c r="F883" t="s">
        <v>21</v>
      </c>
      <c r="G883" t="s">
        <v>22</v>
      </c>
      <c r="H883" t="s">
        <v>30</v>
      </c>
    </row>
    <row r="884" spans="1:8" x14ac:dyDescent="0.3">
      <c r="A884">
        <v>883</v>
      </c>
      <c r="B884" s="3">
        <v>45260</v>
      </c>
      <c r="C884" s="3">
        <v>45231</v>
      </c>
      <c r="D884" t="s">
        <v>19</v>
      </c>
      <c r="E884" t="s">
        <v>936</v>
      </c>
      <c r="F884" t="s">
        <v>32</v>
      </c>
      <c r="G884" t="s">
        <v>33</v>
      </c>
      <c r="H884" t="s">
        <v>810</v>
      </c>
    </row>
    <row r="885" spans="1:8" x14ac:dyDescent="0.3">
      <c r="A885">
        <v>884</v>
      </c>
      <c r="B885" s="3">
        <v>45260</v>
      </c>
      <c r="C885" s="3">
        <v>45231</v>
      </c>
      <c r="D885" t="s">
        <v>19</v>
      </c>
      <c r="E885" t="s">
        <v>937</v>
      </c>
      <c r="F885" t="s">
        <v>818</v>
      </c>
      <c r="G885" t="s">
        <v>938</v>
      </c>
      <c r="H885" t="s">
        <v>30</v>
      </c>
    </row>
    <row r="886" spans="1:8" x14ac:dyDescent="0.3">
      <c r="A886">
        <v>885</v>
      </c>
      <c r="B886" s="3">
        <v>45260</v>
      </c>
      <c r="C886" s="3">
        <v>45231</v>
      </c>
      <c r="D886" t="s">
        <v>19</v>
      </c>
      <c r="E886" t="s">
        <v>939</v>
      </c>
      <c r="F886" t="s">
        <v>25</v>
      </c>
      <c r="G886" t="s">
        <v>26</v>
      </c>
      <c r="H886" t="s">
        <v>30</v>
      </c>
    </row>
    <row r="887" spans="1:8" x14ac:dyDescent="0.3">
      <c r="A887">
        <v>886</v>
      </c>
      <c r="B887" s="3">
        <v>45260</v>
      </c>
      <c r="C887" s="3">
        <v>45231</v>
      </c>
      <c r="D887" t="s">
        <v>19</v>
      </c>
      <c r="E887" t="s">
        <v>940</v>
      </c>
      <c r="F887" t="s">
        <v>25</v>
      </c>
      <c r="G887" t="s">
        <v>345</v>
      </c>
      <c r="H887" t="s">
        <v>27</v>
      </c>
    </row>
    <row r="888" spans="1:8" x14ac:dyDescent="0.3">
      <c r="A888">
        <v>887</v>
      </c>
      <c r="B888" s="3">
        <v>45271</v>
      </c>
      <c r="C888" s="3">
        <v>45261</v>
      </c>
      <c r="D888" t="s">
        <v>19</v>
      </c>
      <c r="E888" t="s">
        <v>941</v>
      </c>
      <c r="F888" t="s">
        <v>21</v>
      </c>
      <c r="G888" t="s">
        <v>22</v>
      </c>
      <c r="H888" t="s">
        <v>810</v>
      </c>
    </row>
    <row r="889" spans="1:8" x14ac:dyDescent="0.3">
      <c r="A889">
        <v>888</v>
      </c>
      <c r="B889" s="3">
        <v>45271</v>
      </c>
      <c r="C889" s="3">
        <v>45261</v>
      </c>
      <c r="D889" t="s">
        <v>19</v>
      </c>
      <c r="E889" t="s">
        <v>942</v>
      </c>
      <c r="F889" t="s">
        <v>25</v>
      </c>
      <c r="G889" t="s">
        <v>26</v>
      </c>
      <c r="H889" t="s">
        <v>27</v>
      </c>
    </row>
    <row r="890" spans="1:8" x14ac:dyDescent="0.3">
      <c r="A890">
        <v>889</v>
      </c>
      <c r="B890" s="3">
        <v>45273</v>
      </c>
      <c r="C890" s="3">
        <v>45261</v>
      </c>
      <c r="D890" t="s">
        <v>19</v>
      </c>
      <c r="E890" t="s">
        <v>943</v>
      </c>
      <c r="F890" t="s">
        <v>21</v>
      </c>
      <c r="G890" t="s">
        <v>22</v>
      </c>
      <c r="H890" t="s">
        <v>810</v>
      </c>
    </row>
    <row r="891" spans="1:8" x14ac:dyDescent="0.3">
      <c r="A891">
        <v>890</v>
      </c>
      <c r="B891" s="3">
        <v>45273</v>
      </c>
      <c r="C891" s="3">
        <v>45261</v>
      </c>
      <c r="D891" t="s">
        <v>19</v>
      </c>
      <c r="E891" t="s">
        <v>944</v>
      </c>
      <c r="F891" t="s">
        <v>21</v>
      </c>
      <c r="G891" t="s">
        <v>29</v>
      </c>
      <c r="H891" t="s">
        <v>30</v>
      </c>
    </row>
    <row r="892" spans="1:8" x14ac:dyDescent="0.3">
      <c r="A892">
        <v>891</v>
      </c>
      <c r="B892" s="3">
        <v>45272</v>
      </c>
      <c r="C892" s="3">
        <v>45261</v>
      </c>
      <c r="D892" t="s">
        <v>19</v>
      </c>
      <c r="E892" t="s">
        <v>945</v>
      </c>
      <c r="F892" t="s">
        <v>21</v>
      </c>
      <c r="G892" t="s">
        <v>22</v>
      </c>
      <c r="H892" t="s">
        <v>810</v>
      </c>
    </row>
    <row r="893" spans="1:8" x14ac:dyDescent="0.3">
      <c r="A893">
        <v>892</v>
      </c>
      <c r="B893" s="3">
        <v>45274</v>
      </c>
      <c r="C893" s="3">
        <v>45261</v>
      </c>
      <c r="D893" t="s">
        <v>19</v>
      </c>
      <c r="E893" t="s">
        <v>946</v>
      </c>
      <c r="F893" t="s">
        <v>40</v>
      </c>
      <c r="G893" t="s">
        <v>41</v>
      </c>
      <c r="H893" t="s">
        <v>810</v>
      </c>
    </row>
    <row r="894" spans="1:8" x14ac:dyDescent="0.3">
      <c r="A894">
        <v>893</v>
      </c>
      <c r="B894" s="3">
        <v>45274</v>
      </c>
      <c r="C894" s="3">
        <v>45261</v>
      </c>
      <c r="D894" t="s">
        <v>19</v>
      </c>
      <c r="E894" t="s">
        <v>947</v>
      </c>
      <c r="F894" t="s">
        <v>25</v>
      </c>
      <c r="G894" t="s">
        <v>345</v>
      </c>
      <c r="H894" t="s">
        <v>27</v>
      </c>
    </row>
    <row r="895" spans="1:8" x14ac:dyDescent="0.3">
      <c r="A895">
        <v>894</v>
      </c>
      <c r="B895" s="3">
        <v>45274</v>
      </c>
      <c r="C895" s="3">
        <v>45261</v>
      </c>
      <c r="D895" t="s">
        <v>19</v>
      </c>
      <c r="E895" t="s">
        <v>948</v>
      </c>
      <c r="F895" t="s">
        <v>40</v>
      </c>
      <c r="G895" t="s">
        <v>48</v>
      </c>
      <c r="H895" t="s">
        <v>810</v>
      </c>
    </row>
    <row r="896" spans="1:8" x14ac:dyDescent="0.3">
      <c r="A896">
        <v>895</v>
      </c>
      <c r="B896" s="3">
        <v>45274</v>
      </c>
      <c r="C896" s="3">
        <v>45261</v>
      </c>
      <c r="D896" t="s">
        <v>19</v>
      </c>
      <c r="E896" t="s">
        <v>949</v>
      </c>
      <c r="F896" t="s">
        <v>21</v>
      </c>
      <c r="G896" t="s">
        <v>22</v>
      </c>
      <c r="H896" t="s">
        <v>810</v>
      </c>
    </row>
    <row r="897" spans="1:8" x14ac:dyDescent="0.3">
      <c r="A897">
        <v>896</v>
      </c>
      <c r="B897" s="3">
        <v>45275</v>
      </c>
      <c r="C897" s="3">
        <v>45261</v>
      </c>
      <c r="D897" t="s">
        <v>19</v>
      </c>
      <c r="E897" t="s">
        <v>950</v>
      </c>
      <c r="F897" t="s">
        <v>40</v>
      </c>
      <c r="G897" t="s">
        <v>264</v>
      </c>
      <c r="H897" t="s">
        <v>810</v>
      </c>
    </row>
    <row r="898" spans="1:8" x14ac:dyDescent="0.3">
      <c r="A898">
        <v>897</v>
      </c>
      <c r="B898" s="3">
        <v>45275</v>
      </c>
      <c r="C898" s="3">
        <v>45261</v>
      </c>
      <c r="D898" t="s">
        <v>19</v>
      </c>
      <c r="E898" t="s">
        <v>951</v>
      </c>
      <c r="F898" t="s">
        <v>21</v>
      </c>
      <c r="G898" t="s">
        <v>22</v>
      </c>
      <c r="H898" t="s">
        <v>27</v>
      </c>
    </row>
    <row r="899" spans="1:8" x14ac:dyDescent="0.3">
      <c r="A899">
        <v>898</v>
      </c>
      <c r="B899" s="3">
        <v>45276</v>
      </c>
      <c r="C899" s="3">
        <v>45261</v>
      </c>
      <c r="D899" t="s">
        <v>19</v>
      </c>
      <c r="E899" t="s">
        <v>952</v>
      </c>
      <c r="F899" t="s">
        <v>21</v>
      </c>
      <c r="G899" t="s">
        <v>22</v>
      </c>
      <c r="H899" t="s">
        <v>27</v>
      </c>
    </row>
    <row r="900" spans="1:8" x14ac:dyDescent="0.3">
      <c r="A900">
        <v>899</v>
      </c>
      <c r="B900" s="3">
        <v>45276</v>
      </c>
      <c r="C900" s="3">
        <v>45261</v>
      </c>
      <c r="D900" t="s">
        <v>19</v>
      </c>
      <c r="E900" t="s">
        <v>953</v>
      </c>
      <c r="F900" t="s">
        <v>818</v>
      </c>
      <c r="G900" t="s">
        <v>938</v>
      </c>
      <c r="H900" t="s">
        <v>27</v>
      </c>
    </row>
    <row r="901" spans="1:8" x14ac:dyDescent="0.3">
      <c r="A901">
        <v>900</v>
      </c>
      <c r="B901" s="3">
        <v>45276</v>
      </c>
      <c r="C901" s="3">
        <v>45261</v>
      </c>
      <c r="D901" t="s">
        <v>19</v>
      </c>
      <c r="E901" t="s">
        <v>954</v>
      </c>
      <c r="F901" t="s">
        <v>32</v>
      </c>
      <c r="G901" t="s">
        <v>33</v>
      </c>
      <c r="H901" t="s">
        <v>810</v>
      </c>
    </row>
    <row r="902" spans="1:8" x14ac:dyDescent="0.3">
      <c r="A902">
        <v>901</v>
      </c>
      <c r="B902" s="3">
        <v>45276</v>
      </c>
      <c r="C902" s="3">
        <v>45261</v>
      </c>
      <c r="D902" t="s">
        <v>19</v>
      </c>
      <c r="E902" t="s">
        <v>955</v>
      </c>
      <c r="F902" t="s">
        <v>25</v>
      </c>
      <c r="G902" t="s">
        <v>345</v>
      </c>
      <c r="H902" t="s">
        <v>810</v>
      </c>
    </row>
    <row r="903" spans="1:8" x14ac:dyDescent="0.3">
      <c r="A903">
        <v>902</v>
      </c>
      <c r="B903" s="3">
        <v>45276</v>
      </c>
      <c r="C903" s="3">
        <v>45261</v>
      </c>
      <c r="D903" t="s">
        <v>19</v>
      </c>
      <c r="E903" t="s">
        <v>956</v>
      </c>
      <c r="F903" t="s">
        <v>21</v>
      </c>
      <c r="G903" t="s">
        <v>22</v>
      </c>
      <c r="H903" t="s">
        <v>30</v>
      </c>
    </row>
    <row r="904" spans="1:8" x14ac:dyDescent="0.3">
      <c r="A904">
        <v>903</v>
      </c>
      <c r="B904" s="3">
        <v>45276</v>
      </c>
      <c r="C904" s="3">
        <v>45261</v>
      </c>
      <c r="D904" t="s">
        <v>19</v>
      </c>
      <c r="E904" t="s">
        <v>957</v>
      </c>
      <c r="F904" t="s">
        <v>32</v>
      </c>
      <c r="G904" t="s">
        <v>33</v>
      </c>
      <c r="H904" t="s">
        <v>30</v>
      </c>
    </row>
    <row r="905" spans="1:8" x14ac:dyDescent="0.3">
      <c r="A905">
        <v>904</v>
      </c>
      <c r="B905" s="3">
        <v>45276</v>
      </c>
      <c r="C905" s="3">
        <v>45261</v>
      </c>
      <c r="D905" t="s">
        <v>19</v>
      </c>
      <c r="E905" t="s">
        <v>958</v>
      </c>
      <c r="F905" t="s">
        <v>32</v>
      </c>
      <c r="G905" t="s">
        <v>33</v>
      </c>
      <c r="H905" t="s">
        <v>810</v>
      </c>
    </row>
    <row r="906" spans="1:8" x14ac:dyDescent="0.3">
      <c r="A906">
        <v>905</v>
      </c>
      <c r="B906" s="3">
        <v>45276</v>
      </c>
      <c r="C906" s="3">
        <v>45261</v>
      </c>
      <c r="D906" t="s">
        <v>19</v>
      </c>
      <c r="E906" t="s">
        <v>959</v>
      </c>
      <c r="F906" t="s">
        <v>21</v>
      </c>
      <c r="G906" t="s">
        <v>22</v>
      </c>
      <c r="H906" t="s">
        <v>810</v>
      </c>
    </row>
    <row r="907" spans="1:8" x14ac:dyDescent="0.3">
      <c r="A907">
        <v>906</v>
      </c>
      <c r="B907" s="3">
        <v>45276</v>
      </c>
      <c r="C907" s="3">
        <v>45261</v>
      </c>
      <c r="D907" t="s">
        <v>19</v>
      </c>
      <c r="E907" t="s">
        <v>960</v>
      </c>
      <c r="F907" t="s">
        <v>21</v>
      </c>
      <c r="G907" t="s">
        <v>22</v>
      </c>
      <c r="H907" t="s">
        <v>30</v>
      </c>
    </row>
    <row r="908" spans="1:8" x14ac:dyDescent="0.3">
      <c r="A908">
        <v>907</v>
      </c>
      <c r="B908" s="3">
        <v>45276</v>
      </c>
      <c r="C908" s="3">
        <v>45261</v>
      </c>
      <c r="D908" t="s">
        <v>19</v>
      </c>
      <c r="E908" t="s">
        <v>961</v>
      </c>
      <c r="F908" t="s">
        <v>21</v>
      </c>
      <c r="G908" t="s">
        <v>22</v>
      </c>
      <c r="H908" t="s">
        <v>810</v>
      </c>
    </row>
    <row r="909" spans="1:8" x14ac:dyDescent="0.3">
      <c r="A909">
        <v>908</v>
      </c>
      <c r="B909" s="3">
        <v>45279</v>
      </c>
      <c r="C909" s="3">
        <v>45261</v>
      </c>
      <c r="D909" t="s">
        <v>19</v>
      </c>
      <c r="E909" t="s">
        <v>962</v>
      </c>
      <c r="F909" t="s">
        <v>32</v>
      </c>
      <c r="G909" t="s">
        <v>33</v>
      </c>
      <c r="H909" t="s">
        <v>810</v>
      </c>
    </row>
    <row r="910" spans="1:8" x14ac:dyDescent="0.3">
      <c r="A910">
        <v>909</v>
      </c>
      <c r="B910" s="3">
        <v>45279</v>
      </c>
      <c r="C910" s="3">
        <v>45261</v>
      </c>
      <c r="D910" t="s">
        <v>19</v>
      </c>
      <c r="E910" t="s">
        <v>963</v>
      </c>
      <c r="F910" t="s">
        <v>25</v>
      </c>
      <c r="G910" t="s">
        <v>26</v>
      </c>
      <c r="H910" t="s">
        <v>810</v>
      </c>
    </row>
    <row r="911" spans="1:8" x14ac:dyDescent="0.3">
      <c r="A911">
        <v>910</v>
      </c>
      <c r="B911" s="3">
        <v>45279</v>
      </c>
      <c r="C911" s="3">
        <v>45261</v>
      </c>
      <c r="D911" t="s">
        <v>19</v>
      </c>
      <c r="E911" t="s">
        <v>964</v>
      </c>
      <c r="F911" t="s">
        <v>21</v>
      </c>
      <c r="G911" t="s">
        <v>22</v>
      </c>
      <c r="H911" t="s">
        <v>27</v>
      </c>
    </row>
    <row r="912" spans="1:8" x14ac:dyDescent="0.3">
      <c r="A912">
        <v>911</v>
      </c>
      <c r="B912" s="3">
        <v>45280</v>
      </c>
      <c r="C912" s="3">
        <v>45261</v>
      </c>
      <c r="D912" t="s">
        <v>19</v>
      </c>
      <c r="E912" t="s">
        <v>965</v>
      </c>
      <c r="F912" t="s">
        <v>40</v>
      </c>
      <c r="G912" t="s">
        <v>41</v>
      </c>
      <c r="H912" t="s">
        <v>27</v>
      </c>
    </row>
    <row r="913" spans="1:8" x14ac:dyDescent="0.3">
      <c r="A913">
        <v>912</v>
      </c>
      <c r="B913" s="3">
        <v>45280</v>
      </c>
      <c r="C913" s="3">
        <v>45261</v>
      </c>
      <c r="D913" t="s">
        <v>19</v>
      </c>
      <c r="E913" t="s">
        <v>966</v>
      </c>
      <c r="F913" t="s">
        <v>32</v>
      </c>
      <c r="G913" t="s">
        <v>33</v>
      </c>
      <c r="H913" t="s">
        <v>810</v>
      </c>
    </row>
    <row r="914" spans="1:8" x14ac:dyDescent="0.3">
      <c r="A914">
        <v>913</v>
      </c>
      <c r="B914" s="3">
        <v>45280</v>
      </c>
      <c r="C914" s="3">
        <v>45261</v>
      </c>
      <c r="D914" t="s">
        <v>19</v>
      </c>
      <c r="E914" t="s">
        <v>967</v>
      </c>
      <c r="F914" t="s">
        <v>21</v>
      </c>
      <c r="G914" t="s">
        <v>22</v>
      </c>
      <c r="H914" t="s">
        <v>810</v>
      </c>
    </row>
    <row r="915" spans="1:8" x14ac:dyDescent="0.3">
      <c r="A915">
        <v>914</v>
      </c>
      <c r="B915" s="3">
        <v>45280</v>
      </c>
      <c r="C915" s="3">
        <v>45261</v>
      </c>
      <c r="D915" t="s">
        <v>19</v>
      </c>
      <c r="E915" t="s">
        <v>968</v>
      </c>
      <c r="F915" t="s">
        <v>21</v>
      </c>
      <c r="G915" t="s">
        <v>22</v>
      </c>
      <c r="H915" t="s">
        <v>30</v>
      </c>
    </row>
    <row r="916" spans="1:8" x14ac:dyDescent="0.3">
      <c r="A916">
        <v>915</v>
      </c>
      <c r="B916" s="3">
        <v>45280</v>
      </c>
      <c r="C916" s="3">
        <v>45261</v>
      </c>
      <c r="D916" t="s">
        <v>19</v>
      </c>
      <c r="E916" t="s">
        <v>969</v>
      </c>
      <c r="F916" t="s">
        <v>21</v>
      </c>
      <c r="G916" t="s">
        <v>22</v>
      </c>
      <c r="H916" t="s">
        <v>27</v>
      </c>
    </row>
    <row r="917" spans="1:8" x14ac:dyDescent="0.3">
      <c r="A917">
        <v>916</v>
      </c>
      <c r="B917" s="3">
        <v>45280</v>
      </c>
      <c r="C917" s="3">
        <v>45261</v>
      </c>
      <c r="D917" t="s">
        <v>19</v>
      </c>
      <c r="E917" t="s">
        <v>970</v>
      </c>
      <c r="F917" t="s">
        <v>40</v>
      </c>
      <c r="G917" t="s">
        <v>48</v>
      </c>
      <c r="H917" t="s">
        <v>810</v>
      </c>
    </row>
    <row r="918" spans="1:8" x14ac:dyDescent="0.3">
      <c r="A918">
        <v>917</v>
      </c>
      <c r="B918" s="3">
        <v>45280</v>
      </c>
      <c r="C918" s="3">
        <v>45261</v>
      </c>
      <c r="D918" t="s">
        <v>19</v>
      </c>
      <c r="E918" t="s">
        <v>971</v>
      </c>
      <c r="F918" t="s">
        <v>25</v>
      </c>
      <c r="G918" t="s">
        <v>317</v>
      </c>
      <c r="H918" t="s">
        <v>810</v>
      </c>
    </row>
    <row r="919" spans="1:8" x14ac:dyDescent="0.3">
      <c r="A919">
        <v>918</v>
      </c>
      <c r="B919" s="3">
        <v>45281</v>
      </c>
      <c r="C919" s="3">
        <v>45261</v>
      </c>
      <c r="D919" t="s">
        <v>19</v>
      </c>
      <c r="E919" t="s">
        <v>972</v>
      </c>
      <c r="F919" t="s">
        <v>21</v>
      </c>
      <c r="G919" t="s">
        <v>22</v>
      </c>
      <c r="H919" t="s">
        <v>810</v>
      </c>
    </row>
    <row r="920" spans="1:8" x14ac:dyDescent="0.3">
      <c r="A920">
        <v>919</v>
      </c>
      <c r="B920" s="3">
        <v>45281</v>
      </c>
      <c r="C920" s="3">
        <v>45261</v>
      </c>
      <c r="D920" t="s">
        <v>19</v>
      </c>
      <c r="E920" t="s">
        <v>973</v>
      </c>
      <c r="F920" t="s">
        <v>25</v>
      </c>
      <c r="G920" t="s">
        <v>29</v>
      </c>
      <c r="H920" t="s">
        <v>27</v>
      </c>
    </row>
    <row r="921" spans="1:8" x14ac:dyDescent="0.3">
      <c r="A921">
        <v>920</v>
      </c>
      <c r="B921" s="3">
        <v>45281</v>
      </c>
      <c r="C921" s="3">
        <v>45261</v>
      </c>
      <c r="D921" t="s">
        <v>19</v>
      </c>
      <c r="E921" t="s">
        <v>974</v>
      </c>
      <c r="F921" t="s">
        <v>25</v>
      </c>
      <c r="G921" t="s">
        <v>29</v>
      </c>
      <c r="H921" t="s">
        <v>30</v>
      </c>
    </row>
    <row r="922" spans="1:8" x14ac:dyDescent="0.3">
      <c r="A922">
        <v>921</v>
      </c>
      <c r="B922" s="3">
        <v>45281</v>
      </c>
      <c r="C922" s="3">
        <v>45261</v>
      </c>
      <c r="D922" t="s">
        <v>19</v>
      </c>
      <c r="E922" t="s">
        <v>975</v>
      </c>
      <c r="F922" t="s">
        <v>21</v>
      </c>
      <c r="G922" t="s">
        <v>22</v>
      </c>
      <c r="H922" t="s">
        <v>30</v>
      </c>
    </row>
    <row r="923" spans="1:8" x14ac:dyDescent="0.3">
      <c r="A923">
        <v>922</v>
      </c>
      <c r="B923" s="3">
        <v>45281</v>
      </c>
      <c r="C923" s="3">
        <v>45261</v>
      </c>
      <c r="D923" t="s">
        <v>19</v>
      </c>
      <c r="E923" t="s">
        <v>976</v>
      </c>
      <c r="F923" t="s">
        <v>32</v>
      </c>
      <c r="G923" t="s">
        <v>33</v>
      </c>
      <c r="H923" t="s">
        <v>30</v>
      </c>
    </row>
    <row r="924" spans="1:8" x14ac:dyDescent="0.3">
      <c r="A924">
        <v>923</v>
      </c>
      <c r="B924" s="3">
        <v>45281</v>
      </c>
      <c r="C924" s="3">
        <v>45261</v>
      </c>
      <c r="D924" t="s">
        <v>19</v>
      </c>
      <c r="E924" t="s">
        <v>977</v>
      </c>
      <c r="F924" t="s">
        <v>40</v>
      </c>
      <c r="G924" t="s">
        <v>75</v>
      </c>
      <c r="H924" t="s">
        <v>27</v>
      </c>
    </row>
    <row r="925" spans="1:8" x14ac:dyDescent="0.3">
      <c r="A925">
        <v>924</v>
      </c>
      <c r="B925" s="3">
        <v>45281</v>
      </c>
      <c r="C925" s="3">
        <v>45261</v>
      </c>
      <c r="D925" t="s">
        <v>19</v>
      </c>
      <c r="E925" t="s">
        <v>978</v>
      </c>
      <c r="F925" t="s">
        <v>32</v>
      </c>
      <c r="G925" t="s">
        <v>33</v>
      </c>
      <c r="H925" t="s">
        <v>30</v>
      </c>
    </row>
    <row r="926" spans="1:8" x14ac:dyDescent="0.3">
      <c r="A926">
        <v>925</v>
      </c>
      <c r="B926" s="3">
        <v>45281</v>
      </c>
      <c r="C926" s="3">
        <v>45261</v>
      </c>
      <c r="D926" t="s">
        <v>19</v>
      </c>
      <c r="E926" t="s">
        <v>979</v>
      </c>
      <c r="F926" t="s">
        <v>21</v>
      </c>
      <c r="G926" t="s">
        <v>29</v>
      </c>
      <c r="H926" t="s">
        <v>30</v>
      </c>
    </row>
    <row r="927" spans="1:8" x14ac:dyDescent="0.3">
      <c r="A927">
        <v>926</v>
      </c>
      <c r="B927" s="3">
        <v>45281</v>
      </c>
      <c r="C927" s="3">
        <v>45261</v>
      </c>
      <c r="D927" t="s">
        <v>19</v>
      </c>
      <c r="E927" t="s">
        <v>980</v>
      </c>
      <c r="F927" t="s">
        <v>40</v>
      </c>
      <c r="G927" t="s">
        <v>437</v>
      </c>
      <c r="H927" t="s">
        <v>810</v>
      </c>
    </row>
    <row r="928" spans="1:8" x14ac:dyDescent="0.3">
      <c r="A928">
        <v>927</v>
      </c>
      <c r="B928" s="3">
        <v>45282</v>
      </c>
      <c r="C928" s="3">
        <v>45261</v>
      </c>
      <c r="D928" t="s">
        <v>19</v>
      </c>
      <c r="E928" t="s">
        <v>981</v>
      </c>
      <c r="F928" t="s">
        <v>40</v>
      </c>
      <c r="G928" t="s">
        <v>437</v>
      </c>
      <c r="H928" t="s">
        <v>810</v>
      </c>
    </row>
    <row r="929" spans="1:8" x14ac:dyDescent="0.3">
      <c r="A929">
        <v>928</v>
      </c>
      <c r="B929" s="3">
        <v>45282</v>
      </c>
      <c r="C929" s="3">
        <v>45261</v>
      </c>
      <c r="D929" t="s">
        <v>19</v>
      </c>
      <c r="E929" t="s">
        <v>982</v>
      </c>
      <c r="F929" t="s">
        <v>40</v>
      </c>
      <c r="G929" t="s">
        <v>41</v>
      </c>
      <c r="H929" t="s">
        <v>810</v>
      </c>
    </row>
    <row r="930" spans="1:8" x14ac:dyDescent="0.3">
      <c r="A930">
        <v>929</v>
      </c>
      <c r="B930" s="3">
        <v>45283</v>
      </c>
      <c r="C930" s="3">
        <v>45261</v>
      </c>
      <c r="D930" t="s">
        <v>19</v>
      </c>
      <c r="E930" t="s">
        <v>983</v>
      </c>
      <c r="F930" t="s">
        <v>21</v>
      </c>
      <c r="G930" t="s">
        <v>29</v>
      </c>
      <c r="H930" t="s">
        <v>30</v>
      </c>
    </row>
    <row r="931" spans="1:8" x14ac:dyDescent="0.3">
      <c r="A931">
        <v>930</v>
      </c>
      <c r="B931" s="3">
        <v>45283</v>
      </c>
      <c r="C931" s="3">
        <v>45261</v>
      </c>
      <c r="D931" t="s">
        <v>19</v>
      </c>
      <c r="E931" t="s">
        <v>984</v>
      </c>
      <c r="F931" t="s">
        <v>25</v>
      </c>
      <c r="G931" t="s">
        <v>26</v>
      </c>
      <c r="H931" t="s">
        <v>810</v>
      </c>
    </row>
    <row r="932" spans="1:8" x14ac:dyDescent="0.3">
      <c r="A932">
        <v>931</v>
      </c>
      <c r="B932" s="3">
        <v>45286</v>
      </c>
      <c r="C932" s="3">
        <v>45261</v>
      </c>
      <c r="D932" t="s">
        <v>19</v>
      </c>
      <c r="E932" t="s">
        <v>985</v>
      </c>
      <c r="F932" t="s">
        <v>32</v>
      </c>
      <c r="G932" t="s">
        <v>33</v>
      </c>
      <c r="H932" t="s">
        <v>27</v>
      </c>
    </row>
    <row r="933" spans="1:8" x14ac:dyDescent="0.3">
      <c r="A933">
        <v>932</v>
      </c>
      <c r="B933" s="3">
        <v>45286</v>
      </c>
      <c r="C933" s="3">
        <v>45261</v>
      </c>
      <c r="D933" t="s">
        <v>19</v>
      </c>
      <c r="E933" t="s">
        <v>986</v>
      </c>
      <c r="F933" t="s">
        <v>25</v>
      </c>
      <c r="G933" t="s">
        <v>26</v>
      </c>
      <c r="H933" t="s">
        <v>27</v>
      </c>
    </row>
    <row r="934" spans="1:8" x14ac:dyDescent="0.3">
      <c r="A934">
        <v>933</v>
      </c>
      <c r="B934" s="3">
        <v>45286</v>
      </c>
      <c r="C934" s="3">
        <v>45261</v>
      </c>
      <c r="D934" t="s">
        <v>19</v>
      </c>
      <c r="E934" t="s">
        <v>987</v>
      </c>
      <c r="F934" t="s">
        <v>25</v>
      </c>
      <c r="G934" t="s">
        <v>26</v>
      </c>
      <c r="H934" t="s">
        <v>810</v>
      </c>
    </row>
    <row r="935" spans="1:8" x14ac:dyDescent="0.3">
      <c r="A935">
        <v>934</v>
      </c>
      <c r="B935" s="3">
        <v>45286</v>
      </c>
      <c r="C935" s="3">
        <v>45261</v>
      </c>
      <c r="D935" t="s">
        <v>19</v>
      </c>
      <c r="E935" t="s">
        <v>988</v>
      </c>
      <c r="F935" t="s">
        <v>32</v>
      </c>
      <c r="G935" t="s">
        <v>33</v>
      </c>
      <c r="H935" t="s">
        <v>30</v>
      </c>
    </row>
    <row r="936" spans="1:8" x14ac:dyDescent="0.3">
      <c r="A936">
        <v>935</v>
      </c>
      <c r="B936" s="3">
        <v>45287</v>
      </c>
      <c r="C936" s="3">
        <v>45261</v>
      </c>
      <c r="D936" t="s">
        <v>19</v>
      </c>
      <c r="E936" t="s">
        <v>989</v>
      </c>
      <c r="F936" t="s">
        <v>21</v>
      </c>
      <c r="G936" t="s">
        <v>22</v>
      </c>
      <c r="H936" t="s">
        <v>27</v>
      </c>
    </row>
    <row r="937" spans="1:8" x14ac:dyDescent="0.3">
      <c r="A937">
        <v>936</v>
      </c>
      <c r="B937" s="3">
        <v>45288</v>
      </c>
      <c r="C937" s="3">
        <v>45261</v>
      </c>
      <c r="D937" t="s">
        <v>19</v>
      </c>
      <c r="E937" t="s">
        <v>990</v>
      </c>
      <c r="F937" t="s">
        <v>25</v>
      </c>
      <c r="G937" t="s">
        <v>26</v>
      </c>
      <c r="H937" t="s">
        <v>810</v>
      </c>
    </row>
    <row r="938" spans="1:8" x14ac:dyDescent="0.3">
      <c r="A938">
        <v>937</v>
      </c>
      <c r="B938" s="3">
        <v>45288</v>
      </c>
      <c r="C938" s="3">
        <v>45261</v>
      </c>
      <c r="D938" t="s">
        <v>19</v>
      </c>
      <c r="E938" t="s">
        <v>991</v>
      </c>
      <c r="F938" t="s">
        <v>21</v>
      </c>
      <c r="G938" t="s">
        <v>29</v>
      </c>
      <c r="H938" t="s">
        <v>27</v>
      </c>
    </row>
    <row r="939" spans="1:8" x14ac:dyDescent="0.3">
      <c r="A939">
        <v>938</v>
      </c>
      <c r="B939" s="3">
        <v>45288</v>
      </c>
      <c r="C939" s="3">
        <v>45261</v>
      </c>
      <c r="D939" t="s">
        <v>19</v>
      </c>
      <c r="E939" t="s">
        <v>992</v>
      </c>
      <c r="F939" t="s">
        <v>40</v>
      </c>
      <c r="G939" t="s">
        <v>48</v>
      </c>
      <c r="H939" t="s">
        <v>30</v>
      </c>
    </row>
    <row r="940" spans="1:8" x14ac:dyDescent="0.3">
      <c r="A940">
        <v>939</v>
      </c>
      <c r="B940" s="3">
        <v>45288</v>
      </c>
      <c r="C940" s="3">
        <v>45261</v>
      </c>
      <c r="D940" t="s">
        <v>19</v>
      </c>
      <c r="E940" t="s">
        <v>993</v>
      </c>
      <c r="F940" t="s">
        <v>21</v>
      </c>
      <c r="G940" t="s">
        <v>29</v>
      </c>
      <c r="H940" t="s">
        <v>30</v>
      </c>
    </row>
    <row r="941" spans="1:8" x14ac:dyDescent="0.3">
      <c r="A941">
        <v>940</v>
      </c>
      <c r="B941" s="3">
        <v>45288</v>
      </c>
      <c r="C941" s="3">
        <v>45261</v>
      </c>
      <c r="D941" t="s">
        <v>19</v>
      </c>
      <c r="E941" t="s">
        <v>994</v>
      </c>
      <c r="F941" t="s">
        <v>40</v>
      </c>
      <c r="G941" t="s">
        <v>48</v>
      </c>
      <c r="H941" t="s">
        <v>30</v>
      </c>
    </row>
    <row r="942" spans="1:8" x14ac:dyDescent="0.3">
      <c r="A942">
        <v>941</v>
      </c>
      <c r="B942" s="3">
        <v>45289</v>
      </c>
      <c r="C942" s="3">
        <v>45261</v>
      </c>
      <c r="D942" t="s">
        <v>19</v>
      </c>
      <c r="E942" t="s">
        <v>995</v>
      </c>
      <c r="F942" t="s">
        <v>40</v>
      </c>
      <c r="G942" t="s">
        <v>75</v>
      </c>
      <c r="H942" t="s">
        <v>810</v>
      </c>
    </row>
    <row r="943" spans="1:8" x14ac:dyDescent="0.3">
      <c r="A943">
        <v>942</v>
      </c>
      <c r="B943" s="3">
        <v>45289</v>
      </c>
      <c r="C943" s="3">
        <v>45261</v>
      </c>
      <c r="D943" t="s">
        <v>19</v>
      </c>
      <c r="E943" t="s">
        <v>996</v>
      </c>
      <c r="F943" t="s">
        <v>25</v>
      </c>
      <c r="G943" t="s">
        <v>345</v>
      </c>
      <c r="H943" t="s">
        <v>30</v>
      </c>
    </row>
    <row r="944" spans="1:8" x14ac:dyDescent="0.3">
      <c r="A944">
        <v>943</v>
      </c>
      <c r="B944" s="3">
        <v>45289</v>
      </c>
      <c r="C944" s="3">
        <v>45261</v>
      </c>
      <c r="D944" t="s">
        <v>19</v>
      </c>
      <c r="E944" t="s">
        <v>997</v>
      </c>
      <c r="F944" t="s">
        <v>21</v>
      </c>
      <c r="G944" t="s">
        <v>29</v>
      </c>
      <c r="H944" t="s">
        <v>810</v>
      </c>
    </row>
    <row r="945" spans="1:8" x14ac:dyDescent="0.3">
      <c r="A945">
        <v>944</v>
      </c>
      <c r="B945" s="3">
        <v>45289</v>
      </c>
      <c r="C945" s="3">
        <v>45261</v>
      </c>
      <c r="D945" t="s">
        <v>19</v>
      </c>
      <c r="E945" t="s">
        <v>998</v>
      </c>
      <c r="F945" t="s">
        <v>32</v>
      </c>
      <c r="G945" t="s">
        <v>33</v>
      </c>
      <c r="H945" t="s">
        <v>810</v>
      </c>
    </row>
    <row r="946" spans="1:8" x14ac:dyDescent="0.3">
      <c r="A946">
        <v>945</v>
      </c>
      <c r="B946" s="3">
        <v>45290</v>
      </c>
      <c r="C946" s="3">
        <v>45261</v>
      </c>
      <c r="D946" t="s">
        <v>19</v>
      </c>
      <c r="E946" t="s">
        <v>999</v>
      </c>
      <c r="F946" t="s">
        <v>25</v>
      </c>
      <c r="G946" t="s">
        <v>29</v>
      </c>
      <c r="H946" t="s">
        <v>30</v>
      </c>
    </row>
    <row r="947" spans="1:8" x14ac:dyDescent="0.3">
      <c r="A947">
        <v>946</v>
      </c>
      <c r="B947" s="3">
        <v>45290</v>
      </c>
      <c r="C947" s="3">
        <v>45261</v>
      </c>
      <c r="D947" t="s">
        <v>19</v>
      </c>
      <c r="E947" t="s">
        <v>1000</v>
      </c>
      <c r="F947" t="s">
        <v>40</v>
      </c>
      <c r="G947" t="s">
        <v>41</v>
      </c>
      <c r="H947" t="s">
        <v>810</v>
      </c>
    </row>
    <row r="948" spans="1:8" x14ac:dyDescent="0.3">
      <c r="A948">
        <v>947</v>
      </c>
      <c r="B948" s="3">
        <v>45290</v>
      </c>
      <c r="C948" s="3">
        <v>45261</v>
      </c>
      <c r="D948" t="s">
        <v>19</v>
      </c>
      <c r="E948" t="s">
        <v>1001</v>
      </c>
      <c r="F948" t="s">
        <v>818</v>
      </c>
      <c r="G948" t="s">
        <v>938</v>
      </c>
      <c r="H948" t="s">
        <v>810</v>
      </c>
    </row>
    <row r="949" spans="1:8" x14ac:dyDescent="0.3">
      <c r="A949">
        <v>948</v>
      </c>
      <c r="B949" s="3">
        <v>45290</v>
      </c>
      <c r="C949" s="3">
        <v>45261</v>
      </c>
      <c r="D949" t="s">
        <v>19</v>
      </c>
      <c r="E949" t="s">
        <v>1002</v>
      </c>
      <c r="F949" t="s">
        <v>25</v>
      </c>
      <c r="G949" t="s">
        <v>345</v>
      </c>
      <c r="H949" t="s">
        <v>810</v>
      </c>
    </row>
    <row r="950" spans="1:8" x14ac:dyDescent="0.3">
      <c r="A950">
        <v>949</v>
      </c>
      <c r="B950" s="3">
        <v>45290</v>
      </c>
      <c r="C950" s="3">
        <v>45261</v>
      </c>
      <c r="D950" t="s">
        <v>19</v>
      </c>
      <c r="E950" t="s">
        <v>1003</v>
      </c>
      <c r="F950" t="s">
        <v>40</v>
      </c>
      <c r="G950" t="s">
        <v>48</v>
      </c>
      <c r="H950" t="s">
        <v>810</v>
      </c>
    </row>
    <row r="951" spans="1:8" x14ac:dyDescent="0.3">
      <c r="A951">
        <v>950</v>
      </c>
      <c r="B951" s="3">
        <v>45290</v>
      </c>
      <c r="C951" s="3">
        <v>45261</v>
      </c>
      <c r="D951" t="s">
        <v>19</v>
      </c>
      <c r="E951" t="s">
        <v>1004</v>
      </c>
      <c r="F951" t="s">
        <v>32</v>
      </c>
      <c r="G951" t="s">
        <v>33</v>
      </c>
      <c r="H951" t="s">
        <v>810</v>
      </c>
    </row>
    <row r="952" spans="1:8" x14ac:dyDescent="0.3">
      <c r="A952">
        <v>951</v>
      </c>
      <c r="B952" s="3">
        <v>45290</v>
      </c>
      <c r="C952" s="3">
        <v>45261</v>
      </c>
      <c r="D952" t="s">
        <v>19</v>
      </c>
      <c r="E952" t="s">
        <v>1005</v>
      </c>
      <c r="F952" t="s">
        <v>40</v>
      </c>
      <c r="G952" t="s">
        <v>75</v>
      </c>
      <c r="H952" t="s">
        <v>30</v>
      </c>
    </row>
    <row r="953" spans="1:8" x14ac:dyDescent="0.3">
      <c r="A953">
        <v>952</v>
      </c>
      <c r="B953" s="3">
        <v>45290</v>
      </c>
      <c r="C953" s="3">
        <v>45261</v>
      </c>
      <c r="D953" t="s">
        <v>19</v>
      </c>
      <c r="E953" t="s">
        <v>1006</v>
      </c>
      <c r="F953" t="s">
        <v>32</v>
      </c>
      <c r="G953" t="s">
        <v>33</v>
      </c>
      <c r="H953" t="s">
        <v>27</v>
      </c>
    </row>
    <row r="954" spans="1:8" x14ac:dyDescent="0.3">
      <c r="A954">
        <v>953</v>
      </c>
      <c r="B954" s="3">
        <v>45290</v>
      </c>
      <c r="C954" s="3">
        <v>45261</v>
      </c>
      <c r="D954" t="s">
        <v>19</v>
      </c>
      <c r="E954" t="s">
        <v>1007</v>
      </c>
      <c r="F954" t="s">
        <v>21</v>
      </c>
      <c r="G954" t="s">
        <v>29</v>
      </c>
      <c r="H954" t="s">
        <v>30</v>
      </c>
    </row>
    <row r="955" spans="1:8" x14ac:dyDescent="0.3">
      <c r="A955">
        <v>954</v>
      </c>
      <c r="B955" s="3">
        <v>45290</v>
      </c>
      <c r="C955" s="3">
        <v>45261</v>
      </c>
      <c r="D955" t="s">
        <v>19</v>
      </c>
      <c r="E955" t="s">
        <v>1008</v>
      </c>
      <c r="F955" t="s">
        <v>21</v>
      </c>
      <c r="G955" t="s">
        <v>29</v>
      </c>
      <c r="H955" t="s">
        <v>30</v>
      </c>
    </row>
    <row r="956" spans="1:8" x14ac:dyDescent="0.3">
      <c r="A956">
        <v>955</v>
      </c>
      <c r="B956" s="3">
        <v>45293</v>
      </c>
      <c r="C956" s="3">
        <v>45292</v>
      </c>
      <c r="D956" t="s">
        <v>19</v>
      </c>
      <c r="E956" t="s">
        <v>1009</v>
      </c>
      <c r="F956" t="s">
        <v>32</v>
      </c>
      <c r="G956" t="s">
        <v>33</v>
      </c>
      <c r="H956" t="s">
        <v>30</v>
      </c>
    </row>
    <row r="957" spans="1:8" x14ac:dyDescent="0.3">
      <c r="A957">
        <v>956</v>
      </c>
      <c r="B957" s="3">
        <v>45293</v>
      </c>
      <c r="C957" s="3">
        <v>45292</v>
      </c>
      <c r="D957" t="s">
        <v>19</v>
      </c>
      <c r="E957" t="s">
        <v>1010</v>
      </c>
      <c r="F957" t="s">
        <v>25</v>
      </c>
      <c r="G957" t="s">
        <v>26</v>
      </c>
      <c r="H957" t="s">
        <v>30</v>
      </c>
    </row>
    <row r="958" spans="1:8" x14ac:dyDescent="0.3">
      <c r="A958">
        <v>957</v>
      </c>
      <c r="B958" s="3">
        <v>45294</v>
      </c>
      <c r="C958" s="3">
        <v>45292</v>
      </c>
      <c r="D958" t="s">
        <v>19</v>
      </c>
      <c r="E958" t="s">
        <v>1011</v>
      </c>
      <c r="F958" t="s">
        <v>25</v>
      </c>
      <c r="G958" t="s">
        <v>26</v>
      </c>
      <c r="H958" t="s">
        <v>810</v>
      </c>
    </row>
    <row r="959" spans="1:8" x14ac:dyDescent="0.3">
      <c r="A959">
        <v>958</v>
      </c>
      <c r="B959" s="3">
        <v>45301</v>
      </c>
      <c r="C959" s="3">
        <v>45292</v>
      </c>
      <c r="D959" t="s">
        <v>19</v>
      </c>
      <c r="E959" t="s">
        <v>1012</v>
      </c>
      <c r="F959" t="s">
        <v>21</v>
      </c>
      <c r="G959" t="s">
        <v>29</v>
      </c>
      <c r="H959" t="s">
        <v>27</v>
      </c>
    </row>
    <row r="960" spans="1:8" x14ac:dyDescent="0.3">
      <c r="A960">
        <v>959</v>
      </c>
      <c r="B960" s="3">
        <v>45301</v>
      </c>
      <c r="C960" s="3">
        <v>45292</v>
      </c>
      <c r="D960" t="s">
        <v>19</v>
      </c>
      <c r="E960" t="s">
        <v>1013</v>
      </c>
      <c r="F960" t="s">
        <v>32</v>
      </c>
      <c r="G960" t="s">
        <v>33</v>
      </c>
      <c r="H960" t="s">
        <v>810</v>
      </c>
    </row>
    <row r="961" spans="1:8" x14ac:dyDescent="0.3">
      <c r="A961">
        <v>960</v>
      </c>
      <c r="B961" s="3">
        <v>45301</v>
      </c>
      <c r="C961" s="3">
        <v>45292</v>
      </c>
      <c r="D961" t="s">
        <v>19</v>
      </c>
      <c r="E961" t="s">
        <v>1014</v>
      </c>
      <c r="F961" t="s">
        <v>32</v>
      </c>
      <c r="G961" t="s">
        <v>33</v>
      </c>
      <c r="H961" t="s">
        <v>810</v>
      </c>
    </row>
    <row r="962" spans="1:8" x14ac:dyDescent="0.3">
      <c r="A962">
        <v>961</v>
      </c>
      <c r="B962" s="3">
        <v>45302</v>
      </c>
      <c r="C962" s="3">
        <v>45292</v>
      </c>
      <c r="D962" t="s">
        <v>19</v>
      </c>
      <c r="E962" t="s">
        <v>1015</v>
      </c>
      <c r="F962" t="s">
        <v>21</v>
      </c>
      <c r="G962" t="s">
        <v>22</v>
      </c>
      <c r="H962" t="s">
        <v>30</v>
      </c>
    </row>
    <row r="963" spans="1:8" x14ac:dyDescent="0.3">
      <c r="A963">
        <v>962</v>
      </c>
      <c r="B963" s="3">
        <v>45307</v>
      </c>
      <c r="C963" s="3">
        <v>45292</v>
      </c>
      <c r="D963" t="s">
        <v>19</v>
      </c>
      <c r="E963" t="s">
        <v>1016</v>
      </c>
      <c r="F963" t="s">
        <v>21</v>
      </c>
      <c r="G963" t="s">
        <v>22</v>
      </c>
      <c r="H963" t="s">
        <v>810</v>
      </c>
    </row>
    <row r="964" spans="1:8" x14ac:dyDescent="0.3">
      <c r="A964">
        <v>963</v>
      </c>
      <c r="B964" s="3">
        <v>45308</v>
      </c>
      <c r="C964" s="3">
        <v>45292</v>
      </c>
      <c r="D964" t="s">
        <v>19</v>
      </c>
      <c r="E964" t="s">
        <v>1017</v>
      </c>
      <c r="F964" t="s">
        <v>21</v>
      </c>
      <c r="G964" t="s">
        <v>22</v>
      </c>
      <c r="H964" t="s">
        <v>810</v>
      </c>
    </row>
    <row r="965" spans="1:8" x14ac:dyDescent="0.3">
      <c r="A965">
        <v>964</v>
      </c>
      <c r="B965" s="3">
        <v>45307</v>
      </c>
      <c r="C965" s="3">
        <v>45292</v>
      </c>
      <c r="D965" t="s">
        <v>19</v>
      </c>
      <c r="E965" t="s">
        <v>1018</v>
      </c>
      <c r="F965" t="s">
        <v>32</v>
      </c>
      <c r="G965" t="s">
        <v>33</v>
      </c>
      <c r="H965" t="s">
        <v>27</v>
      </c>
    </row>
    <row r="966" spans="1:8" x14ac:dyDescent="0.3">
      <c r="A966">
        <v>965</v>
      </c>
      <c r="B966" s="3">
        <v>45306</v>
      </c>
      <c r="C966" s="3">
        <v>45292</v>
      </c>
      <c r="D966" t="s">
        <v>19</v>
      </c>
      <c r="E966" t="s">
        <v>1019</v>
      </c>
      <c r="F966" t="s">
        <v>40</v>
      </c>
      <c r="G966" t="s">
        <v>48</v>
      </c>
      <c r="H966" t="s">
        <v>30</v>
      </c>
    </row>
    <row r="967" spans="1:8" x14ac:dyDescent="0.3">
      <c r="A967">
        <v>966</v>
      </c>
      <c r="B967" s="3">
        <v>45303</v>
      </c>
      <c r="C967" s="3">
        <v>45292</v>
      </c>
      <c r="D967" t="s">
        <v>19</v>
      </c>
      <c r="E967" t="s">
        <v>1020</v>
      </c>
      <c r="F967" t="s">
        <v>32</v>
      </c>
      <c r="G967" t="s">
        <v>33</v>
      </c>
      <c r="H967" t="s">
        <v>30</v>
      </c>
    </row>
    <row r="968" spans="1:8" x14ac:dyDescent="0.3">
      <c r="A968">
        <v>967</v>
      </c>
      <c r="B968" s="3">
        <v>45303</v>
      </c>
      <c r="C968" s="3">
        <v>45292</v>
      </c>
      <c r="D968" t="s">
        <v>19</v>
      </c>
      <c r="E968" t="s">
        <v>1021</v>
      </c>
      <c r="F968" t="s">
        <v>21</v>
      </c>
      <c r="G968" t="s">
        <v>22</v>
      </c>
      <c r="H968" t="s">
        <v>30</v>
      </c>
    </row>
    <row r="969" spans="1:8" x14ac:dyDescent="0.3">
      <c r="A969">
        <v>968</v>
      </c>
      <c r="B969" s="3">
        <v>45306</v>
      </c>
      <c r="C969" s="3">
        <v>45292</v>
      </c>
      <c r="D969" t="s">
        <v>19</v>
      </c>
      <c r="E969" t="s">
        <v>1022</v>
      </c>
      <c r="F969" t="s">
        <v>40</v>
      </c>
      <c r="G969" t="s">
        <v>48</v>
      </c>
      <c r="H969" t="s">
        <v>30</v>
      </c>
    </row>
    <row r="970" spans="1:8" x14ac:dyDescent="0.3">
      <c r="A970">
        <v>969</v>
      </c>
      <c r="B970" s="3">
        <v>45307</v>
      </c>
      <c r="C970" s="3">
        <v>45292</v>
      </c>
      <c r="D970" t="s">
        <v>19</v>
      </c>
      <c r="E970" t="s">
        <v>1023</v>
      </c>
      <c r="F970" t="s">
        <v>21</v>
      </c>
      <c r="G970" t="s">
        <v>29</v>
      </c>
      <c r="H970" t="s">
        <v>30</v>
      </c>
    </row>
    <row r="971" spans="1:8" x14ac:dyDescent="0.3">
      <c r="A971">
        <v>970</v>
      </c>
      <c r="B971" s="3">
        <v>45308</v>
      </c>
      <c r="C971" s="3">
        <v>45292</v>
      </c>
      <c r="D971" t="s">
        <v>19</v>
      </c>
      <c r="E971" t="s">
        <v>1024</v>
      </c>
      <c r="F971" t="s">
        <v>40</v>
      </c>
      <c r="G971" t="s">
        <v>48</v>
      </c>
      <c r="H971" t="s">
        <v>30</v>
      </c>
    </row>
    <row r="972" spans="1:8" x14ac:dyDescent="0.3">
      <c r="A972">
        <v>971</v>
      </c>
      <c r="B972" s="3">
        <v>45309</v>
      </c>
      <c r="C972" s="3">
        <v>45292</v>
      </c>
      <c r="D972" t="s">
        <v>19</v>
      </c>
      <c r="E972" t="s">
        <v>1025</v>
      </c>
      <c r="F972" t="s">
        <v>21</v>
      </c>
      <c r="G972" t="s">
        <v>22</v>
      </c>
      <c r="H972" t="s">
        <v>27</v>
      </c>
    </row>
    <row r="973" spans="1:8" x14ac:dyDescent="0.3">
      <c r="A973">
        <v>972</v>
      </c>
      <c r="B973" s="3">
        <v>45310</v>
      </c>
      <c r="C973" s="3">
        <v>45292</v>
      </c>
      <c r="D973" t="s">
        <v>19</v>
      </c>
      <c r="E973" t="s">
        <v>1026</v>
      </c>
      <c r="F973" t="s">
        <v>21</v>
      </c>
      <c r="G973" t="s">
        <v>29</v>
      </c>
      <c r="H973" t="s">
        <v>810</v>
      </c>
    </row>
    <row r="974" spans="1:8" x14ac:dyDescent="0.3">
      <c r="A974">
        <v>973</v>
      </c>
      <c r="B974" s="3">
        <v>45311</v>
      </c>
      <c r="C974" s="3">
        <v>45292</v>
      </c>
      <c r="D974" t="s">
        <v>19</v>
      </c>
      <c r="E974" t="s">
        <v>1027</v>
      </c>
      <c r="F974" t="s">
        <v>32</v>
      </c>
      <c r="G974" t="s">
        <v>33</v>
      </c>
      <c r="H974" t="s">
        <v>810</v>
      </c>
    </row>
    <row r="975" spans="1:8" x14ac:dyDescent="0.3">
      <c r="A975">
        <v>974</v>
      </c>
      <c r="B975" s="3">
        <v>45311</v>
      </c>
      <c r="C975" s="3">
        <v>45292</v>
      </c>
      <c r="D975" t="s">
        <v>19</v>
      </c>
      <c r="E975" t="s">
        <v>1028</v>
      </c>
      <c r="F975" t="s">
        <v>25</v>
      </c>
      <c r="G975" t="s">
        <v>317</v>
      </c>
      <c r="H975" t="s">
        <v>27</v>
      </c>
    </row>
    <row r="976" spans="1:8" x14ac:dyDescent="0.3">
      <c r="A976">
        <v>975</v>
      </c>
      <c r="B976" s="3">
        <v>45313</v>
      </c>
      <c r="C976" s="3">
        <v>45292</v>
      </c>
      <c r="D976" t="s">
        <v>19</v>
      </c>
      <c r="E976" t="s">
        <v>1029</v>
      </c>
      <c r="F976" t="s">
        <v>32</v>
      </c>
      <c r="G976" t="s">
        <v>33</v>
      </c>
      <c r="H976" t="s">
        <v>810</v>
      </c>
    </row>
    <row r="977" spans="1:8" x14ac:dyDescent="0.3">
      <c r="A977">
        <v>976</v>
      </c>
      <c r="B977" s="3">
        <v>45313</v>
      </c>
      <c r="C977" s="3">
        <v>45292</v>
      </c>
      <c r="D977" t="s">
        <v>19</v>
      </c>
      <c r="E977" t="s">
        <v>1030</v>
      </c>
      <c r="F977" t="s">
        <v>21</v>
      </c>
      <c r="G977" t="s">
        <v>29</v>
      </c>
      <c r="H977" t="s">
        <v>810</v>
      </c>
    </row>
    <row r="978" spans="1:8" x14ac:dyDescent="0.3">
      <c r="A978">
        <v>977</v>
      </c>
      <c r="B978" s="3">
        <v>45313</v>
      </c>
      <c r="C978" s="3">
        <v>45292</v>
      </c>
      <c r="D978" t="s">
        <v>19</v>
      </c>
      <c r="E978" t="s">
        <v>1031</v>
      </c>
      <c r="F978" t="s">
        <v>40</v>
      </c>
      <c r="G978" t="s">
        <v>48</v>
      </c>
      <c r="H978" t="s">
        <v>810</v>
      </c>
    </row>
    <row r="979" spans="1:8" x14ac:dyDescent="0.3">
      <c r="A979">
        <v>978</v>
      </c>
      <c r="B979" s="3">
        <v>45314</v>
      </c>
      <c r="C979" s="3">
        <v>45292</v>
      </c>
      <c r="D979" t="s">
        <v>19</v>
      </c>
      <c r="E979" t="s">
        <v>1032</v>
      </c>
      <c r="F979" t="s">
        <v>40</v>
      </c>
      <c r="G979" t="s">
        <v>437</v>
      </c>
      <c r="H979" t="s">
        <v>810</v>
      </c>
    </row>
    <row r="980" spans="1:8" x14ac:dyDescent="0.3">
      <c r="A980">
        <v>979</v>
      </c>
      <c r="B980" s="3">
        <v>45314</v>
      </c>
      <c r="C980" s="3">
        <v>45292</v>
      </c>
      <c r="D980" t="s">
        <v>19</v>
      </c>
      <c r="E980" t="s">
        <v>1033</v>
      </c>
      <c r="F980" t="s">
        <v>25</v>
      </c>
      <c r="G980" t="s">
        <v>317</v>
      </c>
      <c r="H980" t="s">
        <v>810</v>
      </c>
    </row>
    <row r="981" spans="1:8" x14ac:dyDescent="0.3">
      <c r="A981">
        <v>980</v>
      </c>
      <c r="B981" s="3">
        <v>45316</v>
      </c>
      <c r="C981" s="3">
        <v>45292</v>
      </c>
      <c r="D981" t="s">
        <v>19</v>
      </c>
      <c r="E981" t="s">
        <v>1034</v>
      </c>
      <c r="F981" t="s">
        <v>25</v>
      </c>
      <c r="G981" t="s">
        <v>345</v>
      </c>
      <c r="H981" t="s">
        <v>810</v>
      </c>
    </row>
    <row r="982" spans="1:8" x14ac:dyDescent="0.3">
      <c r="A982">
        <v>981</v>
      </c>
      <c r="B982" s="3">
        <v>45316</v>
      </c>
      <c r="C982" s="3">
        <v>45292</v>
      </c>
      <c r="D982" t="s">
        <v>19</v>
      </c>
      <c r="E982" t="s">
        <v>1035</v>
      </c>
      <c r="F982" t="s">
        <v>25</v>
      </c>
      <c r="G982" t="s">
        <v>29</v>
      </c>
      <c r="H982" t="s">
        <v>27</v>
      </c>
    </row>
    <row r="983" spans="1:8" x14ac:dyDescent="0.3">
      <c r="A983">
        <v>982</v>
      </c>
      <c r="B983" s="3">
        <v>45316</v>
      </c>
      <c r="C983" s="3">
        <v>45292</v>
      </c>
      <c r="D983" t="s">
        <v>19</v>
      </c>
      <c r="E983" t="s">
        <v>1036</v>
      </c>
      <c r="F983" t="s">
        <v>25</v>
      </c>
      <c r="G983" t="s">
        <v>26</v>
      </c>
      <c r="H983" t="s">
        <v>810</v>
      </c>
    </row>
    <row r="984" spans="1:8" x14ac:dyDescent="0.3">
      <c r="A984">
        <v>983</v>
      </c>
      <c r="B984" s="3">
        <v>45316</v>
      </c>
      <c r="C984" s="3">
        <v>45292</v>
      </c>
      <c r="D984" t="s">
        <v>19</v>
      </c>
      <c r="E984" t="s">
        <v>1037</v>
      </c>
      <c r="F984" t="s">
        <v>25</v>
      </c>
      <c r="G984" t="s">
        <v>26</v>
      </c>
      <c r="H984" t="s">
        <v>30</v>
      </c>
    </row>
    <row r="985" spans="1:8" x14ac:dyDescent="0.3">
      <c r="A985">
        <v>984</v>
      </c>
      <c r="B985" s="3">
        <v>45316</v>
      </c>
      <c r="C985" s="3">
        <v>45292</v>
      </c>
      <c r="D985" t="s">
        <v>19</v>
      </c>
      <c r="E985" t="s">
        <v>1038</v>
      </c>
      <c r="F985" t="s">
        <v>25</v>
      </c>
      <c r="G985" t="s">
        <v>26</v>
      </c>
      <c r="H985" t="s">
        <v>30</v>
      </c>
    </row>
    <row r="986" spans="1:8" x14ac:dyDescent="0.3">
      <c r="A986">
        <v>985</v>
      </c>
      <c r="B986" s="3">
        <v>45320</v>
      </c>
      <c r="C986" s="3">
        <v>45292</v>
      </c>
      <c r="D986" t="s">
        <v>19</v>
      </c>
      <c r="E986" t="s">
        <v>1039</v>
      </c>
      <c r="F986" t="s">
        <v>21</v>
      </c>
      <c r="G986" t="s">
        <v>22</v>
      </c>
      <c r="H986" t="s">
        <v>810</v>
      </c>
    </row>
    <row r="987" spans="1:8" x14ac:dyDescent="0.3">
      <c r="A987">
        <v>986</v>
      </c>
      <c r="B987" s="3">
        <v>45321</v>
      </c>
      <c r="C987" s="3">
        <v>45292</v>
      </c>
      <c r="D987" t="s">
        <v>19</v>
      </c>
      <c r="E987" t="s">
        <v>1040</v>
      </c>
      <c r="F987" t="s">
        <v>32</v>
      </c>
      <c r="G987" t="s">
        <v>33</v>
      </c>
      <c r="H987" t="s">
        <v>810</v>
      </c>
    </row>
    <row r="988" spans="1:8" x14ac:dyDescent="0.3">
      <c r="A988">
        <v>987</v>
      </c>
      <c r="B988" s="3">
        <v>45321</v>
      </c>
      <c r="C988" s="3">
        <v>45292</v>
      </c>
      <c r="D988" t="s">
        <v>19</v>
      </c>
      <c r="E988" t="s">
        <v>1041</v>
      </c>
      <c r="F988" t="s">
        <v>40</v>
      </c>
      <c r="G988" t="s">
        <v>22</v>
      </c>
      <c r="H988" t="s">
        <v>810</v>
      </c>
    </row>
    <row r="989" spans="1:8" x14ac:dyDescent="0.3">
      <c r="A989">
        <v>988</v>
      </c>
      <c r="B989" s="3">
        <v>45321</v>
      </c>
      <c r="C989" s="3">
        <v>45292</v>
      </c>
      <c r="D989" t="s">
        <v>19</v>
      </c>
      <c r="E989" t="s">
        <v>1042</v>
      </c>
      <c r="F989" t="s">
        <v>40</v>
      </c>
      <c r="G989" t="s">
        <v>75</v>
      </c>
      <c r="H989" t="s">
        <v>810</v>
      </c>
    </row>
    <row r="990" spans="1:8" x14ac:dyDescent="0.3">
      <c r="A990">
        <v>989</v>
      </c>
      <c r="B990" s="3">
        <v>45321</v>
      </c>
      <c r="C990" s="3">
        <v>45292</v>
      </c>
      <c r="D990" t="s">
        <v>19</v>
      </c>
      <c r="E990" t="s">
        <v>1043</v>
      </c>
      <c r="F990" t="s">
        <v>21</v>
      </c>
      <c r="G990" t="s">
        <v>29</v>
      </c>
      <c r="H990" t="s">
        <v>30</v>
      </c>
    </row>
    <row r="991" spans="1:8" x14ac:dyDescent="0.3">
      <c r="A991">
        <v>990</v>
      </c>
      <c r="B991" s="3">
        <v>45322</v>
      </c>
      <c r="C991" s="3">
        <v>45292</v>
      </c>
      <c r="D991" t="s">
        <v>19</v>
      </c>
      <c r="E991" t="s">
        <v>1044</v>
      </c>
      <c r="F991" t="s">
        <v>25</v>
      </c>
      <c r="G991" t="s">
        <v>317</v>
      </c>
      <c r="H991" t="s">
        <v>27</v>
      </c>
    </row>
    <row r="992" spans="1:8" x14ac:dyDescent="0.3">
      <c r="A992">
        <v>991</v>
      </c>
      <c r="B992" s="3">
        <v>45322</v>
      </c>
      <c r="C992" s="3">
        <v>45292</v>
      </c>
      <c r="D992" t="s">
        <v>19</v>
      </c>
      <c r="E992" t="s">
        <v>1045</v>
      </c>
      <c r="F992" t="s">
        <v>32</v>
      </c>
      <c r="G992" t="s">
        <v>33</v>
      </c>
      <c r="H992" t="s">
        <v>810</v>
      </c>
    </row>
    <row r="993" spans="1:8" x14ac:dyDescent="0.3">
      <c r="A993">
        <v>992</v>
      </c>
      <c r="B993" s="3">
        <v>45322</v>
      </c>
      <c r="C993" s="3">
        <v>45292</v>
      </c>
      <c r="D993" t="s">
        <v>19</v>
      </c>
      <c r="E993" t="s">
        <v>1046</v>
      </c>
      <c r="F993" t="s">
        <v>21</v>
      </c>
      <c r="G993" t="s">
        <v>22</v>
      </c>
      <c r="H993" t="s">
        <v>30</v>
      </c>
    </row>
    <row r="994" spans="1:8" x14ac:dyDescent="0.3">
      <c r="A994">
        <v>993</v>
      </c>
      <c r="B994" s="3">
        <v>45322</v>
      </c>
      <c r="C994" s="3">
        <v>45292</v>
      </c>
      <c r="D994" t="s">
        <v>19</v>
      </c>
      <c r="E994" t="s">
        <v>1047</v>
      </c>
      <c r="F994" t="s">
        <v>25</v>
      </c>
      <c r="G994" t="s">
        <v>29</v>
      </c>
      <c r="H994" t="s">
        <v>27</v>
      </c>
    </row>
    <row r="995" spans="1:8" x14ac:dyDescent="0.3">
      <c r="A995">
        <v>994</v>
      </c>
      <c r="B995" s="3">
        <v>45322</v>
      </c>
      <c r="C995" s="3">
        <v>45292</v>
      </c>
      <c r="D995" t="s">
        <v>19</v>
      </c>
      <c r="E995" t="s">
        <v>1048</v>
      </c>
      <c r="F995" t="s">
        <v>21</v>
      </c>
      <c r="G995" t="s">
        <v>29</v>
      </c>
      <c r="H995" t="s">
        <v>27</v>
      </c>
    </row>
    <row r="996" spans="1:8" x14ac:dyDescent="0.3">
      <c r="A996">
        <v>995</v>
      </c>
      <c r="B996" s="3">
        <v>45322</v>
      </c>
      <c r="C996" s="3">
        <v>45292</v>
      </c>
      <c r="D996" t="s">
        <v>19</v>
      </c>
      <c r="E996" t="s">
        <v>1049</v>
      </c>
      <c r="F996" t="s">
        <v>21</v>
      </c>
      <c r="G996" t="s">
        <v>29</v>
      </c>
      <c r="H996" t="s">
        <v>810</v>
      </c>
    </row>
    <row r="997" spans="1:8" x14ac:dyDescent="0.3">
      <c r="A997">
        <v>996</v>
      </c>
      <c r="B997" s="3">
        <v>45325.654085648202</v>
      </c>
      <c r="C997" s="3">
        <v>45323</v>
      </c>
      <c r="D997" t="s">
        <v>19</v>
      </c>
      <c r="E997" t="s">
        <v>1050</v>
      </c>
      <c r="F997" t="s">
        <v>25</v>
      </c>
      <c r="G997" t="s">
        <v>26</v>
      </c>
      <c r="H997" t="s">
        <v>30</v>
      </c>
    </row>
    <row r="998" spans="1:8" x14ac:dyDescent="0.3">
      <c r="A998">
        <v>997</v>
      </c>
      <c r="B998" s="3">
        <v>45328.621493055602</v>
      </c>
      <c r="C998" s="3">
        <v>45323</v>
      </c>
      <c r="D998" t="s">
        <v>19</v>
      </c>
      <c r="E998" t="s">
        <v>1051</v>
      </c>
      <c r="F998" t="s">
        <v>21</v>
      </c>
      <c r="G998" t="s">
        <v>29</v>
      </c>
      <c r="H998" t="s">
        <v>810</v>
      </c>
    </row>
    <row r="999" spans="1:8" x14ac:dyDescent="0.3">
      <c r="A999">
        <v>998</v>
      </c>
      <c r="B999" s="3">
        <v>45329.679259259297</v>
      </c>
      <c r="C999" s="3">
        <v>45323</v>
      </c>
      <c r="D999" t="s">
        <v>19</v>
      </c>
      <c r="E999" t="s">
        <v>1052</v>
      </c>
      <c r="F999" t="s">
        <v>25</v>
      </c>
      <c r="G999" t="s">
        <v>26</v>
      </c>
      <c r="H999" t="s">
        <v>30</v>
      </c>
    </row>
    <row r="1000" spans="1:8" x14ac:dyDescent="0.3">
      <c r="A1000">
        <v>999</v>
      </c>
      <c r="B1000" s="3">
        <v>45331.641805555599</v>
      </c>
      <c r="C1000" s="3">
        <v>45323</v>
      </c>
      <c r="D1000" t="s">
        <v>19</v>
      </c>
      <c r="E1000" t="s">
        <v>1053</v>
      </c>
      <c r="F1000" t="s">
        <v>21</v>
      </c>
      <c r="G1000" t="s">
        <v>22</v>
      </c>
      <c r="H1000" t="s">
        <v>810</v>
      </c>
    </row>
    <row r="1001" spans="1:8" x14ac:dyDescent="0.3">
      <c r="A1001">
        <v>1000</v>
      </c>
      <c r="B1001" s="3">
        <v>45334.499988425901</v>
      </c>
      <c r="C1001" s="3">
        <v>45323</v>
      </c>
      <c r="D1001" t="s">
        <v>19</v>
      </c>
      <c r="E1001" t="s">
        <v>1054</v>
      </c>
      <c r="F1001" t="s">
        <v>21</v>
      </c>
      <c r="G1001" t="s">
        <v>22</v>
      </c>
      <c r="H1001" t="s">
        <v>810</v>
      </c>
    </row>
    <row r="1002" spans="1:8" x14ac:dyDescent="0.3">
      <c r="A1002">
        <v>1001</v>
      </c>
      <c r="B1002" s="3">
        <v>45334.680798611102</v>
      </c>
      <c r="C1002" s="3">
        <v>45323</v>
      </c>
      <c r="D1002" t="s">
        <v>19</v>
      </c>
      <c r="E1002" t="s">
        <v>1055</v>
      </c>
      <c r="F1002" t="s">
        <v>25</v>
      </c>
      <c r="G1002" t="s">
        <v>26</v>
      </c>
      <c r="H1002" t="s">
        <v>810</v>
      </c>
    </row>
    <row r="1003" spans="1:8" x14ac:dyDescent="0.3">
      <c r="A1003">
        <v>1002</v>
      </c>
      <c r="B1003" s="3">
        <v>45335.708749999998</v>
      </c>
      <c r="C1003" s="3">
        <v>45323</v>
      </c>
      <c r="D1003" t="s">
        <v>19</v>
      </c>
      <c r="E1003" t="s">
        <v>1056</v>
      </c>
      <c r="F1003" t="s">
        <v>25</v>
      </c>
      <c r="G1003" t="s">
        <v>317</v>
      </c>
      <c r="H1003" t="s">
        <v>27</v>
      </c>
    </row>
    <row r="1004" spans="1:8" x14ac:dyDescent="0.3">
      <c r="A1004">
        <v>1003</v>
      </c>
      <c r="B1004" s="3">
        <v>45337.583124999997</v>
      </c>
      <c r="C1004" s="3">
        <v>45323</v>
      </c>
      <c r="D1004" t="s">
        <v>19</v>
      </c>
      <c r="E1004" t="s">
        <v>1057</v>
      </c>
      <c r="F1004" t="s">
        <v>25</v>
      </c>
      <c r="G1004" t="s">
        <v>29</v>
      </c>
      <c r="H1004" t="s">
        <v>30</v>
      </c>
    </row>
    <row r="1005" spans="1:8" x14ac:dyDescent="0.3">
      <c r="A1005">
        <v>1004</v>
      </c>
      <c r="B1005" s="3">
        <v>45337.586967592601</v>
      </c>
      <c r="C1005" s="3">
        <v>45323</v>
      </c>
      <c r="D1005" t="s">
        <v>19</v>
      </c>
      <c r="E1005" t="s">
        <v>1058</v>
      </c>
      <c r="F1005" t="s">
        <v>32</v>
      </c>
      <c r="G1005" t="s">
        <v>33</v>
      </c>
      <c r="H1005" t="s">
        <v>30</v>
      </c>
    </row>
    <row r="1006" spans="1:8" x14ac:dyDescent="0.3">
      <c r="A1006">
        <v>1005</v>
      </c>
      <c r="B1006" s="3">
        <v>45337.682326388902</v>
      </c>
      <c r="C1006" s="3">
        <v>45323</v>
      </c>
      <c r="D1006" t="s">
        <v>19</v>
      </c>
      <c r="E1006" t="s">
        <v>1059</v>
      </c>
      <c r="F1006" t="s">
        <v>21</v>
      </c>
      <c r="G1006" t="s">
        <v>22</v>
      </c>
      <c r="H1006" t="s">
        <v>810</v>
      </c>
    </row>
    <row r="1007" spans="1:8" x14ac:dyDescent="0.3">
      <c r="A1007">
        <v>1006</v>
      </c>
      <c r="B1007" s="3">
        <v>45337.7244907407</v>
      </c>
      <c r="C1007" s="3">
        <v>45323</v>
      </c>
      <c r="D1007" t="s">
        <v>19</v>
      </c>
      <c r="E1007" t="s">
        <v>1060</v>
      </c>
      <c r="F1007" t="s">
        <v>21</v>
      </c>
      <c r="G1007" t="s">
        <v>22</v>
      </c>
      <c r="H1007" t="s">
        <v>30</v>
      </c>
    </row>
    <row r="1008" spans="1:8" x14ac:dyDescent="0.3">
      <c r="A1008">
        <v>1007</v>
      </c>
      <c r="B1008" s="3">
        <v>45338.687349537002</v>
      </c>
      <c r="C1008" s="3">
        <v>45323</v>
      </c>
      <c r="D1008" t="s">
        <v>19</v>
      </c>
      <c r="E1008" t="s">
        <v>1061</v>
      </c>
      <c r="F1008" t="s">
        <v>21</v>
      </c>
      <c r="G1008" t="s">
        <v>22</v>
      </c>
      <c r="H1008" t="s">
        <v>810</v>
      </c>
    </row>
    <row r="1009" spans="1:8" x14ac:dyDescent="0.3">
      <c r="A1009">
        <v>1008</v>
      </c>
      <c r="B1009" s="3">
        <v>45338.695185185199</v>
      </c>
      <c r="C1009" s="3">
        <v>45323</v>
      </c>
      <c r="D1009" t="s">
        <v>19</v>
      </c>
      <c r="E1009" t="s">
        <v>1062</v>
      </c>
      <c r="F1009" t="s">
        <v>25</v>
      </c>
      <c r="G1009" t="s">
        <v>26</v>
      </c>
      <c r="H1009" t="s">
        <v>30</v>
      </c>
    </row>
    <row r="1010" spans="1:8" x14ac:dyDescent="0.3">
      <c r="A1010">
        <v>1009</v>
      </c>
      <c r="B1010" s="3">
        <v>45339.497233796297</v>
      </c>
      <c r="C1010" s="3">
        <v>45323</v>
      </c>
      <c r="D1010" t="s">
        <v>19</v>
      </c>
      <c r="E1010" t="s">
        <v>1063</v>
      </c>
      <c r="F1010" t="s">
        <v>32</v>
      </c>
      <c r="G1010" t="s">
        <v>33</v>
      </c>
      <c r="H1010" t="s">
        <v>810</v>
      </c>
    </row>
    <row r="1011" spans="1:8" x14ac:dyDescent="0.3">
      <c r="A1011">
        <v>1010</v>
      </c>
      <c r="B1011" s="3">
        <v>45339.713402777801</v>
      </c>
      <c r="C1011" s="3">
        <v>45323</v>
      </c>
      <c r="D1011" t="s">
        <v>19</v>
      </c>
      <c r="E1011" t="s">
        <v>1064</v>
      </c>
      <c r="F1011" t="s">
        <v>25</v>
      </c>
      <c r="G1011" t="s">
        <v>317</v>
      </c>
      <c r="H1011" t="s">
        <v>27</v>
      </c>
    </row>
    <row r="1012" spans="1:8" x14ac:dyDescent="0.3">
      <c r="A1012">
        <v>1011</v>
      </c>
      <c r="B1012" s="3">
        <v>45341.721770833297</v>
      </c>
      <c r="C1012" s="3">
        <v>45323</v>
      </c>
      <c r="D1012" t="s">
        <v>19</v>
      </c>
      <c r="E1012" t="s">
        <v>1065</v>
      </c>
      <c r="F1012" t="s">
        <v>21</v>
      </c>
      <c r="G1012" t="s">
        <v>29</v>
      </c>
      <c r="H1012" t="s">
        <v>234</v>
      </c>
    </row>
    <row r="1013" spans="1:8" x14ac:dyDescent="0.3">
      <c r="A1013">
        <v>1012</v>
      </c>
      <c r="B1013" s="3">
        <v>45344.4399305556</v>
      </c>
      <c r="C1013" s="3">
        <v>45323</v>
      </c>
      <c r="D1013" t="s">
        <v>19</v>
      </c>
      <c r="E1013" t="s">
        <v>1066</v>
      </c>
      <c r="F1013" t="s">
        <v>25</v>
      </c>
      <c r="G1013" t="s">
        <v>26</v>
      </c>
      <c r="H1013" t="s">
        <v>810</v>
      </c>
    </row>
    <row r="1014" spans="1:8" x14ac:dyDescent="0.3">
      <c r="A1014">
        <v>1013</v>
      </c>
      <c r="B1014" s="3">
        <v>45344.716759259303</v>
      </c>
      <c r="C1014" s="3">
        <v>45323</v>
      </c>
      <c r="D1014" t="s">
        <v>19</v>
      </c>
      <c r="E1014" t="s">
        <v>1067</v>
      </c>
      <c r="F1014" t="s">
        <v>21</v>
      </c>
      <c r="G1014" t="s">
        <v>29</v>
      </c>
      <c r="H1014" t="s">
        <v>810</v>
      </c>
    </row>
    <row r="1015" spans="1:8" x14ac:dyDescent="0.3">
      <c r="A1015">
        <v>1014</v>
      </c>
      <c r="B1015" s="3">
        <v>45344.737245370401</v>
      </c>
      <c r="C1015" s="3">
        <v>45323</v>
      </c>
      <c r="D1015" t="s">
        <v>19</v>
      </c>
      <c r="E1015" t="s">
        <v>1068</v>
      </c>
      <c r="F1015" t="s">
        <v>21</v>
      </c>
      <c r="G1015" t="s">
        <v>22</v>
      </c>
      <c r="H1015" t="s">
        <v>810</v>
      </c>
    </row>
    <row r="1016" spans="1:8" x14ac:dyDescent="0.3">
      <c r="A1016">
        <v>1015</v>
      </c>
      <c r="B1016" s="3">
        <v>45344.742916666699</v>
      </c>
      <c r="C1016" s="3">
        <v>45323</v>
      </c>
      <c r="D1016" t="s">
        <v>19</v>
      </c>
      <c r="E1016" t="s">
        <v>1069</v>
      </c>
      <c r="F1016" t="s">
        <v>32</v>
      </c>
      <c r="G1016" t="s">
        <v>33</v>
      </c>
      <c r="H1016" t="s">
        <v>810</v>
      </c>
    </row>
    <row r="1017" spans="1:8" x14ac:dyDescent="0.3">
      <c r="A1017">
        <v>1016</v>
      </c>
      <c r="B1017" s="3">
        <v>45345.539525462998</v>
      </c>
      <c r="C1017" s="3">
        <v>45323</v>
      </c>
      <c r="D1017" t="s">
        <v>19</v>
      </c>
      <c r="E1017" t="s">
        <v>1070</v>
      </c>
      <c r="F1017" t="s">
        <v>25</v>
      </c>
      <c r="G1017" t="s">
        <v>345</v>
      </c>
      <c r="H1017" t="s">
        <v>810</v>
      </c>
    </row>
    <row r="1018" spans="1:8" x14ac:dyDescent="0.3">
      <c r="A1018">
        <v>1017</v>
      </c>
      <c r="B1018" s="3">
        <v>45349.483530092599</v>
      </c>
      <c r="C1018" s="3">
        <v>45323</v>
      </c>
      <c r="D1018" t="s">
        <v>19</v>
      </c>
      <c r="E1018" t="s">
        <v>1071</v>
      </c>
      <c r="F1018" t="s">
        <v>32</v>
      </c>
      <c r="G1018" t="s">
        <v>33</v>
      </c>
      <c r="H1018" t="s">
        <v>810</v>
      </c>
    </row>
    <row r="1019" spans="1:8" x14ac:dyDescent="0.3">
      <c r="A1019">
        <v>1018</v>
      </c>
      <c r="B1019" s="3">
        <v>45349.678530092599</v>
      </c>
      <c r="C1019" s="3">
        <v>45323</v>
      </c>
      <c r="D1019" t="s">
        <v>19</v>
      </c>
      <c r="E1019" t="s">
        <v>1072</v>
      </c>
      <c r="F1019" t="s">
        <v>25</v>
      </c>
      <c r="G1019" t="s">
        <v>26</v>
      </c>
      <c r="H1019" t="s">
        <v>27</v>
      </c>
    </row>
    <row r="1020" spans="1:8" x14ac:dyDescent="0.3">
      <c r="A1020">
        <v>1019</v>
      </c>
      <c r="B1020" s="3">
        <v>45350.531006944497</v>
      </c>
      <c r="C1020" s="3">
        <v>45323</v>
      </c>
      <c r="D1020" t="s">
        <v>19</v>
      </c>
      <c r="E1020" t="s">
        <v>1073</v>
      </c>
      <c r="F1020" t="s">
        <v>32</v>
      </c>
      <c r="G1020" t="s">
        <v>33</v>
      </c>
      <c r="H1020" t="s">
        <v>810</v>
      </c>
    </row>
    <row r="1021" spans="1:8" x14ac:dyDescent="0.3">
      <c r="A1021">
        <v>1020</v>
      </c>
      <c r="B1021" s="3">
        <v>45350.579918981501</v>
      </c>
      <c r="C1021" s="3">
        <v>45323</v>
      </c>
      <c r="D1021" t="s">
        <v>19</v>
      </c>
      <c r="E1021" t="s">
        <v>1074</v>
      </c>
      <c r="F1021" t="s">
        <v>21</v>
      </c>
      <c r="G1021" t="s">
        <v>22</v>
      </c>
      <c r="H1021" t="s">
        <v>810</v>
      </c>
    </row>
    <row r="1022" spans="1:8" x14ac:dyDescent="0.3">
      <c r="A1022">
        <v>1021</v>
      </c>
      <c r="B1022" s="3">
        <v>45350.708217592597</v>
      </c>
      <c r="C1022" s="3">
        <v>45323</v>
      </c>
      <c r="D1022" t="s">
        <v>19</v>
      </c>
      <c r="E1022" t="s">
        <v>1075</v>
      </c>
      <c r="F1022" t="s">
        <v>21</v>
      </c>
      <c r="G1022" t="s">
        <v>22</v>
      </c>
      <c r="H1022" t="s">
        <v>27</v>
      </c>
    </row>
    <row r="1023" spans="1:8" x14ac:dyDescent="0.3">
      <c r="A1023">
        <v>1022</v>
      </c>
      <c r="B1023" s="3">
        <v>45350.7167708333</v>
      </c>
      <c r="C1023" s="3">
        <v>45323</v>
      </c>
      <c r="D1023" t="s">
        <v>19</v>
      </c>
      <c r="E1023" t="s">
        <v>1076</v>
      </c>
      <c r="F1023" t="s">
        <v>21</v>
      </c>
      <c r="G1023" t="s">
        <v>22</v>
      </c>
      <c r="H1023" t="s">
        <v>810</v>
      </c>
    </row>
    <row r="1024" spans="1:8" x14ac:dyDescent="0.3">
      <c r="A1024">
        <v>1023</v>
      </c>
      <c r="B1024" s="3">
        <v>45350.738634259302</v>
      </c>
      <c r="C1024" s="3">
        <v>45323</v>
      </c>
      <c r="D1024" t="s">
        <v>19</v>
      </c>
      <c r="E1024" t="s">
        <v>1077</v>
      </c>
      <c r="F1024" t="s">
        <v>32</v>
      </c>
      <c r="G1024" t="s">
        <v>33</v>
      </c>
      <c r="H1024" t="s">
        <v>27</v>
      </c>
    </row>
    <row r="1025" spans="1:8" x14ac:dyDescent="0.3">
      <c r="A1025">
        <v>1024</v>
      </c>
      <c r="B1025" s="3">
        <v>45351.386412036998</v>
      </c>
      <c r="C1025" s="3">
        <v>45323</v>
      </c>
      <c r="D1025" t="s">
        <v>19</v>
      </c>
      <c r="E1025" t="s">
        <v>1078</v>
      </c>
      <c r="F1025" t="s">
        <v>21</v>
      </c>
      <c r="G1025" t="s">
        <v>22</v>
      </c>
      <c r="H1025" t="s">
        <v>810</v>
      </c>
    </row>
    <row r="1026" spans="1:8" x14ac:dyDescent="0.3">
      <c r="A1026">
        <v>1025</v>
      </c>
      <c r="B1026" s="3">
        <v>45351.5105555556</v>
      </c>
      <c r="C1026" s="3">
        <v>45323</v>
      </c>
      <c r="D1026" t="s">
        <v>19</v>
      </c>
      <c r="E1026" t="s">
        <v>1079</v>
      </c>
      <c r="F1026" t="s">
        <v>25</v>
      </c>
      <c r="G1026" t="s">
        <v>26</v>
      </c>
      <c r="H1026" t="s">
        <v>30</v>
      </c>
    </row>
    <row r="1027" spans="1:8" x14ac:dyDescent="0.3">
      <c r="A1027">
        <v>1026</v>
      </c>
      <c r="B1027" s="3">
        <v>45351.658622685201</v>
      </c>
      <c r="C1027" s="3">
        <v>45323</v>
      </c>
      <c r="D1027" t="s">
        <v>19</v>
      </c>
      <c r="E1027" t="s">
        <v>1080</v>
      </c>
      <c r="F1027" t="s">
        <v>25</v>
      </c>
      <c r="G1027" t="s">
        <v>26</v>
      </c>
      <c r="H1027" t="s">
        <v>27</v>
      </c>
    </row>
    <row r="1028" spans="1:8" x14ac:dyDescent="0.3">
      <c r="A1028">
        <v>1027</v>
      </c>
      <c r="B1028" s="3">
        <v>45351.685810185198</v>
      </c>
      <c r="C1028" s="3">
        <v>45323</v>
      </c>
      <c r="D1028" t="s">
        <v>19</v>
      </c>
      <c r="E1028" t="s">
        <v>1081</v>
      </c>
      <c r="F1028" t="s">
        <v>21</v>
      </c>
      <c r="G1028" t="s">
        <v>22</v>
      </c>
      <c r="H1028" t="s">
        <v>30</v>
      </c>
    </row>
    <row r="1029" spans="1:8" x14ac:dyDescent="0.3">
      <c r="A1029">
        <v>1028</v>
      </c>
      <c r="B1029" s="3">
        <v>45351.808518518497</v>
      </c>
      <c r="C1029" s="3">
        <v>45323</v>
      </c>
      <c r="D1029" t="s">
        <v>19</v>
      </c>
      <c r="E1029" t="s">
        <v>1082</v>
      </c>
      <c r="F1029" t="s">
        <v>25</v>
      </c>
      <c r="G1029" t="s">
        <v>29</v>
      </c>
      <c r="H1029" t="s">
        <v>810</v>
      </c>
    </row>
    <row r="1030" spans="1:8" x14ac:dyDescent="0.3">
      <c r="A1030">
        <v>1029</v>
      </c>
      <c r="B1030" s="3">
        <v>45356.521087963003</v>
      </c>
      <c r="C1030" s="3">
        <v>45352</v>
      </c>
      <c r="D1030" t="s">
        <v>19</v>
      </c>
      <c r="E1030" t="s">
        <v>1083</v>
      </c>
      <c r="F1030" t="s">
        <v>21</v>
      </c>
      <c r="G1030" t="s">
        <v>22</v>
      </c>
      <c r="H1030" t="s">
        <v>810</v>
      </c>
    </row>
    <row r="1031" spans="1:8" x14ac:dyDescent="0.3">
      <c r="A1031">
        <v>1030</v>
      </c>
      <c r="B1031" s="3">
        <v>45357.542812500003</v>
      </c>
      <c r="C1031" s="3">
        <v>45352</v>
      </c>
      <c r="D1031" t="s">
        <v>19</v>
      </c>
      <c r="E1031" t="s">
        <v>1084</v>
      </c>
      <c r="F1031" t="s">
        <v>25</v>
      </c>
      <c r="G1031" t="s">
        <v>26</v>
      </c>
      <c r="H1031" t="s">
        <v>30</v>
      </c>
    </row>
    <row r="1032" spans="1:8" x14ac:dyDescent="0.3">
      <c r="A1032">
        <v>1031</v>
      </c>
      <c r="B1032" s="3">
        <v>45357.690520833297</v>
      </c>
      <c r="C1032" s="3">
        <v>45352</v>
      </c>
      <c r="D1032" t="s">
        <v>19</v>
      </c>
      <c r="E1032" t="s">
        <v>1085</v>
      </c>
      <c r="F1032" t="s">
        <v>21</v>
      </c>
      <c r="G1032" t="s">
        <v>22</v>
      </c>
      <c r="H1032" t="s">
        <v>810</v>
      </c>
    </row>
    <row r="1033" spans="1:8" x14ac:dyDescent="0.3">
      <c r="A1033">
        <v>1032</v>
      </c>
      <c r="B1033" s="3">
        <v>45358.446400462999</v>
      </c>
      <c r="C1033" s="3">
        <v>45352</v>
      </c>
      <c r="D1033" t="s">
        <v>19</v>
      </c>
      <c r="E1033" t="s">
        <v>1086</v>
      </c>
      <c r="F1033" t="s">
        <v>21</v>
      </c>
      <c r="G1033" t="s">
        <v>29</v>
      </c>
      <c r="H1033" t="s">
        <v>810</v>
      </c>
    </row>
    <row r="1034" spans="1:8" x14ac:dyDescent="0.3">
      <c r="A1034">
        <v>1033</v>
      </c>
      <c r="B1034" s="3">
        <v>45358.661226851902</v>
      </c>
      <c r="C1034" s="3">
        <v>45352</v>
      </c>
      <c r="D1034" t="s">
        <v>19</v>
      </c>
      <c r="E1034" t="s">
        <v>1087</v>
      </c>
      <c r="F1034" t="s">
        <v>21</v>
      </c>
      <c r="G1034" t="s">
        <v>22</v>
      </c>
      <c r="H1034" t="s">
        <v>27</v>
      </c>
    </row>
    <row r="1035" spans="1:8" x14ac:dyDescent="0.3">
      <c r="A1035">
        <v>1034</v>
      </c>
      <c r="B1035" s="3">
        <v>45358.7166782407</v>
      </c>
      <c r="C1035" s="3">
        <v>45352</v>
      </c>
      <c r="D1035" t="s">
        <v>19</v>
      </c>
      <c r="E1035" t="s">
        <v>1088</v>
      </c>
      <c r="F1035" t="s">
        <v>818</v>
      </c>
      <c r="G1035" t="s">
        <v>938</v>
      </c>
      <c r="H1035" t="s">
        <v>27</v>
      </c>
    </row>
    <row r="1036" spans="1:8" x14ac:dyDescent="0.3">
      <c r="A1036">
        <v>1035</v>
      </c>
      <c r="B1036" s="3">
        <v>45362.491006944401</v>
      </c>
      <c r="C1036" s="3">
        <v>45352</v>
      </c>
      <c r="D1036" t="s">
        <v>19</v>
      </c>
      <c r="E1036" t="s">
        <v>1089</v>
      </c>
      <c r="F1036" t="s">
        <v>21</v>
      </c>
      <c r="G1036" t="s">
        <v>29</v>
      </c>
      <c r="H1036" t="s">
        <v>810</v>
      </c>
    </row>
    <row r="1037" spans="1:8" x14ac:dyDescent="0.3">
      <c r="A1037">
        <v>1036</v>
      </c>
      <c r="B1037" s="3">
        <v>45365.487407407403</v>
      </c>
      <c r="C1037" s="3">
        <v>45352</v>
      </c>
      <c r="D1037" t="s">
        <v>19</v>
      </c>
      <c r="E1037" t="s">
        <v>1090</v>
      </c>
      <c r="F1037" t="s">
        <v>21</v>
      </c>
      <c r="G1037" t="s">
        <v>29</v>
      </c>
      <c r="H1037" t="s">
        <v>30</v>
      </c>
    </row>
    <row r="1038" spans="1:8" x14ac:dyDescent="0.3">
      <c r="A1038">
        <v>1037</v>
      </c>
      <c r="B1038" s="3">
        <v>45365.646469907399</v>
      </c>
      <c r="C1038" s="3">
        <v>45352</v>
      </c>
      <c r="D1038" t="s">
        <v>19</v>
      </c>
      <c r="E1038" t="s">
        <v>1091</v>
      </c>
      <c r="F1038" t="s">
        <v>40</v>
      </c>
      <c r="G1038" t="s">
        <v>48</v>
      </c>
      <c r="H1038" t="s">
        <v>30</v>
      </c>
    </row>
    <row r="1039" spans="1:8" x14ac:dyDescent="0.3">
      <c r="A1039">
        <v>1038</v>
      </c>
      <c r="B1039" s="3">
        <v>45367.459027777797</v>
      </c>
      <c r="C1039" s="3">
        <v>45352</v>
      </c>
      <c r="D1039" t="s">
        <v>19</v>
      </c>
      <c r="E1039" t="s">
        <v>1092</v>
      </c>
      <c r="F1039" t="s">
        <v>21</v>
      </c>
      <c r="G1039" t="s">
        <v>29</v>
      </c>
      <c r="H1039" t="s">
        <v>810</v>
      </c>
    </row>
    <row r="1040" spans="1:8" x14ac:dyDescent="0.3">
      <c r="A1040">
        <v>1039</v>
      </c>
      <c r="B1040" s="3">
        <v>45369.608148148203</v>
      </c>
      <c r="C1040" s="3">
        <v>45352</v>
      </c>
      <c r="D1040" t="s">
        <v>19</v>
      </c>
      <c r="E1040" t="s">
        <v>1093</v>
      </c>
      <c r="F1040" t="s">
        <v>25</v>
      </c>
      <c r="G1040" t="s">
        <v>317</v>
      </c>
      <c r="H1040" t="s">
        <v>810</v>
      </c>
    </row>
    <row r="1041" spans="1:8" x14ac:dyDescent="0.3">
      <c r="A1041">
        <v>1040</v>
      </c>
      <c r="B1041" s="3">
        <v>45369.724976851903</v>
      </c>
      <c r="C1041" s="3">
        <v>45352</v>
      </c>
      <c r="D1041" t="s">
        <v>19</v>
      </c>
      <c r="E1041" t="s">
        <v>1094</v>
      </c>
      <c r="F1041" t="s">
        <v>40</v>
      </c>
      <c r="G1041" t="s">
        <v>41</v>
      </c>
      <c r="H1041" t="s">
        <v>810</v>
      </c>
    </row>
    <row r="1042" spans="1:8" x14ac:dyDescent="0.3">
      <c r="A1042">
        <v>1041</v>
      </c>
      <c r="B1042" s="3">
        <v>45370.496226851901</v>
      </c>
      <c r="C1042" s="3">
        <v>45352</v>
      </c>
      <c r="D1042" t="s">
        <v>19</v>
      </c>
      <c r="E1042" t="s">
        <v>1095</v>
      </c>
      <c r="F1042" t="s">
        <v>21</v>
      </c>
      <c r="G1042" t="s">
        <v>29</v>
      </c>
      <c r="H1042" t="s">
        <v>810</v>
      </c>
    </row>
    <row r="1043" spans="1:8" x14ac:dyDescent="0.3">
      <c r="A1043">
        <v>1042</v>
      </c>
      <c r="B1043" s="3">
        <v>45370.734351851897</v>
      </c>
      <c r="C1043" s="3">
        <v>45352</v>
      </c>
      <c r="D1043" t="s">
        <v>19</v>
      </c>
      <c r="E1043" t="s">
        <v>1096</v>
      </c>
      <c r="F1043" t="s">
        <v>25</v>
      </c>
      <c r="G1043" t="s">
        <v>26</v>
      </c>
      <c r="H1043" t="s">
        <v>810</v>
      </c>
    </row>
    <row r="1044" spans="1:8" x14ac:dyDescent="0.3">
      <c r="A1044">
        <v>1043</v>
      </c>
      <c r="B1044" s="3">
        <v>45371.716793981497</v>
      </c>
      <c r="C1044" s="3">
        <v>45352</v>
      </c>
      <c r="D1044" t="s">
        <v>19</v>
      </c>
      <c r="E1044" t="s">
        <v>1097</v>
      </c>
      <c r="F1044" t="s">
        <v>40</v>
      </c>
      <c r="G1044" t="s">
        <v>48</v>
      </c>
      <c r="H1044" t="s">
        <v>30</v>
      </c>
    </row>
    <row r="1045" spans="1:8" x14ac:dyDescent="0.3">
      <c r="A1045">
        <v>1044</v>
      </c>
      <c r="B1045" s="3">
        <v>45371.728796296302</v>
      </c>
      <c r="C1045" s="3">
        <v>45352</v>
      </c>
      <c r="D1045" t="s">
        <v>19</v>
      </c>
      <c r="E1045" t="s">
        <v>1098</v>
      </c>
      <c r="F1045" t="s">
        <v>32</v>
      </c>
      <c r="G1045" t="s">
        <v>33</v>
      </c>
      <c r="H1045" t="s">
        <v>810</v>
      </c>
    </row>
    <row r="1046" spans="1:8" x14ac:dyDescent="0.3">
      <c r="A1046">
        <v>1045</v>
      </c>
      <c r="B1046" s="3">
        <v>45372.551967592597</v>
      </c>
      <c r="C1046" s="3">
        <v>45352</v>
      </c>
      <c r="D1046" t="s">
        <v>19</v>
      </c>
      <c r="E1046" t="s">
        <v>1099</v>
      </c>
      <c r="F1046" t="s">
        <v>40</v>
      </c>
      <c r="G1046" t="s">
        <v>48</v>
      </c>
      <c r="H1046" t="s">
        <v>810</v>
      </c>
    </row>
    <row r="1047" spans="1:8" x14ac:dyDescent="0.3">
      <c r="A1047">
        <v>1046</v>
      </c>
      <c r="B1047" s="3">
        <v>45372.5636689815</v>
      </c>
      <c r="C1047" s="3">
        <v>45352</v>
      </c>
      <c r="D1047" t="s">
        <v>19</v>
      </c>
      <c r="E1047" t="s">
        <v>1100</v>
      </c>
      <c r="F1047" t="s">
        <v>32</v>
      </c>
      <c r="G1047" t="s">
        <v>33</v>
      </c>
      <c r="H1047" t="s">
        <v>30</v>
      </c>
    </row>
    <row r="1048" spans="1:8" x14ac:dyDescent="0.3">
      <c r="A1048">
        <v>1047</v>
      </c>
      <c r="B1048" s="3">
        <v>45372.680428240703</v>
      </c>
      <c r="C1048" s="3">
        <v>45352</v>
      </c>
      <c r="D1048" t="s">
        <v>19</v>
      </c>
      <c r="E1048" t="s">
        <v>1101</v>
      </c>
      <c r="F1048" t="s">
        <v>21</v>
      </c>
      <c r="G1048" t="s">
        <v>29</v>
      </c>
      <c r="H1048" t="s">
        <v>810</v>
      </c>
    </row>
    <row r="1049" spans="1:8" x14ac:dyDescent="0.3">
      <c r="A1049">
        <v>1048</v>
      </c>
      <c r="B1049" s="3">
        <v>45372.697222222203</v>
      </c>
      <c r="C1049" s="3">
        <v>45352</v>
      </c>
      <c r="D1049" t="s">
        <v>19</v>
      </c>
      <c r="E1049" t="s">
        <v>1102</v>
      </c>
      <c r="F1049" t="s">
        <v>40</v>
      </c>
      <c r="G1049" t="s">
        <v>48</v>
      </c>
      <c r="H1049" t="s">
        <v>810</v>
      </c>
    </row>
    <row r="1050" spans="1:8" x14ac:dyDescent="0.3">
      <c r="A1050">
        <v>1049</v>
      </c>
      <c r="B1050" s="3">
        <v>45373.604155092602</v>
      </c>
      <c r="C1050" s="3">
        <v>45352</v>
      </c>
      <c r="D1050" t="s">
        <v>19</v>
      </c>
      <c r="E1050" t="s">
        <v>1103</v>
      </c>
      <c r="F1050" t="s">
        <v>32</v>
      </c>
      <c r="G1050" t="s">
        <v>33</v>
      </c>
      <c r="H1050" t="s">
        <v>810</v>
      </c>
    </row>
    <row r="1051" spans="1:8" x14ac:dyDescent="0.3">
      <c r="A1051">
        <v>1050</v>
      </c>
      <c r="B1051" s="3">
        <v>45373.646030092597</v>
      </c>
      <c r="C1051" s="3">
        <v>45352</v>
      </c>
      <c r="D1051" t="s">
        <v>19</v>
      </c>
      <c r="E1051" t="s">
        <v>1104</v>
      </c>
      <c r="F1051" t="s">
        <v>32</v>
      </c>
      <c r="G1051" t="s">
        <v>33</v>
      </c>
      <c r="H1051" t="s">
        <v>810</v>
      </c>
    </row>
    <row r="1052" spans="1:8" x14ac:dyDescent="0.3">
      <c r="A1052">
        <v>1051</v>
      </c>
      <c r="B1052" s="3">
        <v>45373.664351851898</v>
      </c>
      <c r="C1052" s="3">
        <v>45352</v>
      </c>
      <c r="D1052" t="s">
        <v>19</v>
      </c>
      <c r="E1052" t="s">
        <v>1105</v>
      </c>
      <c r="F1052" t="s">
        <v>32</v>
      </c>
      <c r="G1052" t="s">
        <v>33</v>
      </c>
      <c r="H1052" t="s">
        <v>810</v>
      </c>
    </row>
    <row r="1053" spans="1:8" x14ac:dyDescent="0.3">
      <c r="A1053">
        <v>1052</v>
      </c>
      <c r="B1053" s="3">
        <v>45373.667303240698</v>
      </c>
      <c r="C1053" s="3">
        <v>45352</v>
      </c>
      <c r="D1053" t="s">
        <v>19</v>
      </c>
      <c r="E1053" t="s">
        <v>1106</v>
      </c>
      <c r="F1053" t="s">
        <v>40</v>
      </c>
      <c r="G1053" t="s">
        <v>48</v>
      </c>
      <c r="H1053" t="s">
        <v>810</v>
      </c>
    </row>
    <row r="1054" spans="1:8" x14ac:dyDescent="0.3">
      <c r="A1054">
        <v>1053</v>
      </c>
      <c r="B1054" s="3">
        <v>45374.492824074099</v>
      </c>
      <c r="C1054" s="3">
        <v>45352</v>
      </c>
      <c r="D1054" t="s">
        <v>19</v>
      </c>
      <c r="E1054" t="s">
        <v>1107</v>
      </c>
      <c r="F1054" t="s">
        <v>25</v>
      </c>
      <c r="G1054" t="s">
        <v>26</v>
      </c>
      <c r="H1054" t="s">
        <v>810</v>
      </c>
    </row>
    <row r="1055" spans="1:8" x14ac:dyDescent="0.3">
      <c r="A1055">
        <v>1054</v>
      </c>
      <c r="B1055" s="3">
        <v>45376.496296296304</v>
      </c>
      <c r="C1055" s="3">
        <v>45352</v>
      </c>
      <c r="D1055" t="s">
        <v>19</v>
      </c>
      <c r="E1055" t="s">
        <v>1108</v>
      </c>
      <c r="F1055" t="s">
        <v>21</v>
      </c>
      <c r="G1055" t="s">
        <v>29</v>
      </c>
      <c r="H1055" t="s">
        <v>30</v>
      </c>
    </row>
    <row r="1056" spans="1:8" x14ac:dyDescent="0.3">
      <c r="A1056">
        <v>1055</v>
      </c>
      <c r="B1056" s="3">
        <v>45376.621261574102</v>
      </c>
      <c r="C1056" s="3">
        <v>45352</v>
      </c>
      <c r="D1056" t="s">
        <v>19</v>
      </c>
      <c r="E1056" t="s">
        <v>1109</v>
      </c>
      <c r="F1056" t="s">
        <v>32</v>
      </c>
      <c r="G1056" t="s">
        <v>33</v>
      </c>
      <c r="H1056" t="s">
        <v>30</v>
      </c>
    </row>
    <row r="1057" spans="1:8" x14ac:dyDescent="0.3">
      <c r="A1057">
        <v>1056</v>
      </c>
      <c r="B1057" s="3">
        <v>45377.597962963002</v>
      </c>
      <c r="C1057" s="3">
        <v>45352</v>
      </c>
      <c r="D1057" t="s">
        <v>19</v>
      </c>
      <c r="E1057" t="s">
        <v>1110</v>
      </c>
      <c r="F1057" t="s">
        <v>25</v>
      </c>
      <c r="G1057" t="s">
        <v>26</v>
      </c>
      <c r="H1057" t="s">
        <v>30</v>
      </c>
    </row>
    <row r="1058" spans="1:8" x14ac:dyDescent="0.3">
      <c r="A1058">
        <v>1057</v>
      </c>
      <c r="B1058" s="3">
        <v>45377.638460648202</v>
      </c>
      <c r="C1058" s="3">
        <v>45352</v>
      </c>
      <c r="D1058" t="s">
        <v>19</v>
      </c>
      <c r="E1058" t="s">
        <v>1111</v>
      </c>
      <c r="F1058" t="s">
        <v>25</v>
      </c>
      <c r="G1058" t="s">
        <v>26</v>
      </c>
      <c r="H1058" t="s">
        <v>234</v>
      </c>
    </row>
    <row r="1059" spans="1:8" x14ac:dyDescent="0.3">
      <c r="A1059">
        <v>1058</v>
      </c>
      <c r="B1059" s="3">
        <v>45377.644004629597</v>
      </c>
      <c r="C1059" s="3">
        <v>45352</v>
      </c>
      <c r="D1059" t="s">
        <v>19</v>
      </c>
      <c r="E1059" t="s">
        <v>1112</v>
      </c>
      <c r="F1059" t="s">
        <v>21</v>
      </c>
      <c r="G1059" t="s">
        <v>29</v>
      </c>
      <c r="H1059" t="s">
        <v>30</v>
      </c>
    </row>
    <row r="1060" spans="1:8" x14ac:dyDescent="0.3">
      <c r="A1060">
        <v>1059</v>
      </c>
      <c r="B1060" s="3">
        <v>45378.484907407401</v>
      </c>
      <c r="C1060" s="3">
        <v>45352</v>
      </c>
      <c r="D1060" t="s">
        <v>19</v>
      </c>
      <c r="E1060" t="s">
        <v>1113</v>
      </c>
      <c r="F1060" t="s">
        <v>32</v>
      </c>
      <c r="G1060" t="s">
        <v>33</v>
      </c>
      <c r="H1060" t="s">
        <v>27</v>
      </c>
    </row>
    <row r="1061" spans="1:8" x14ac:dyDescent="0.3">
      <c r="A1061">
        <v>1060</v>
      </c>
      <c r="B1061" s="3">
        <v>45378.543009259301</v>
      </c>
      <c r="C1061" s="3">
        <v>45352</v>
      </c>
      <c r="D1061" t="s">
        <v>19</v>
      </c>
      <c r="E1061" t="s">
        <v>1114</v>
      </c>
      <c r="F1061" t="s">
        <v>32</v>
      </c>
      <c r="G1061" t="s">
        <v>33</v>
      </c>
      <c r="H1061" t="s">
        <v>27</v>
      </c>
    </row>
    <row r="1062" spans="1:8" x14ac:dyDescent="0.3">
      <c r="A1062">
        <v>1061</v>
      </c>
      <c r="B1062" s="3">
        <v>45378.5479976852</v>
      </c>
      <c r="C1062" s="3">
        <v>45352</v>
      </c>
      <c r="D1062" t="s">
        <v>19</v>
      </c>
      <c r="E1062" t="s">
        <v>1115</v>
      </c>
      <c r="F1062" t="s">
        <v>40</v>
      </c>
      <c r="G1062" t="s">
        <v>48</v>
      </c>
      <c r="H1062" t="s">
        <v>810</v>
      </c>
    </row>
    <row r="1063" spans="1:8" x14ac:dyDescent="0.3">
      <c r="A1063">
        <v>1062</v>
      </c>
      <c r="B1063" s="3">
        <v>45378.624837962998</v>
      </c>
      <c r="C1063" s="3">
        <v>45352</v>
      </c>
      <c r="D1063" t="s">
        <v>19</v>
      </c>
      <c r="E1063" t="s">
        <v>1116</v>
      </c>
      <c r="F1063" t="s">
        <v>25</v>
      </c>
      <c r="G1063" t="s">
        <v>26</v>
      </c>
      <c r="H1063" t="s">
        <v>30</v>
      </c>
    </row>
    <row r="1064" spans="1:8" x14ac:dyDescent="0.3">
      <c r="A1064">
        <v>1063</v>
      </c>
      <c r="B1064" s="3">
        <v>45378.680787037003</v>
      </c>
      <c r="C1064" s="3">
        <v>45352</v>
      </c>
      <c r="D1064" t="s">
        <v>19</v>
      </c>
      <c r="E1064" t="s">
        <v>1117</v>
      </c>
      <c r="F1064" t="s">
        <v>40</v>
      </c>
      <c r="G1064" t="s">
        <v>75</v>
      </c>
      <c r="H1064" t="s">
        <v>810</v>
      </c>
    </row>
    <row r="1065" spans="1:8" x14ac:dyDescent="0.3">
      <c r="A1065">
        <v>1064</v>
      </c>
      <c r="B1065" s="3">
        <v>45378.701180555603</v>
      </c>
      <c r="C1065" s="3">
        <v>45352</v>
      </c>
      <c r="D1065" t="s">
        <v>19</v>
      </c>
      <c r="E1065" t="s">
        <v>1118</v>
      </c>
      <c r="F1065" t="s">
        <v>25</v>
      </c>
      <c r="G1065" t="s">
        <v>26</v>
      </c>
      <c r="H1065" t="s">
        <v>810</v>
      </c>
    </row>
    <row r="1066" spans="1:8" x14ac:dyDescent="0.3">
      <c r="A1066">
        <v>1065</v>
      </c>
      <c r="B1066" s="3">
        <v>45378.749421296299</v>
      </c>
      <c r="C1066" s="3">
        <v>45352</v>
      </c>
      <c r="D1066" t="s">
        <v>19</v>
      </c>
      <c r="E1066" t="s">
        <v>1119</v>
      </c>
      <c r="F1066" t="s">
        <v>32</v>
      </c>
      <c r="G1066" t="s">
        <v>33</v>
      </c>
      <c r="H1066" t="s">
        <v>810</v>
      </c>
    </row>
    <row r="1067" spans="1:8" x14ac:dyDescent="0.3">
      <c r="A1067">
        <v>1066</v>
      </c>
      <c r="B1067" s="3">
        <v>45379.578599537002</v>
      </c>
      <c r="C1067" s="3">
        <v>45352</v>
      </c>
      <c r="D1067" t="s">
        <v>19</v>
      </c>
      <c r="E1067" t="s">
        <v>1120</v>
      </c>
      <c r="F1067" t="s">
        <v>40</v>
      </c>
      <c r="G1067" t="s">
        <v>48</v>
      </c>
      <c r="H1067" t="s">
        <v>810</v>
      </c>
    </row>
    <row r="1068" spans="1:8" x14ac:dyDescent="0.3">
      <c r="A1068">
        <v>1067</v>
      </c>
      <c r="B1068" s="3">
        <v>45379.654861111099</v>
      </c>
      <c r="C1068" s="3">
        <v>45352</v>
      </c>
      <c r="D1068" t="s">
        <v>19</v>
      </c>
      <c r="E1068" t="s">
        <v>1121</v>
      </c>
      <c r="F1068" t="s">
        <v>25</v>
      </c>
      <c r="G1068" t="s">
        <v>26</v>
      </c>
      <c r="H1068" t="s">
        <v>810</v>
      </c>
    </row>
    <row r="1069" spans="1:8" x14ac:dyDescent="0.3">
      <c r="A1069">
        <v>1068</v>
      </c>
      <c r="B1069" s="3">
        <v>45379.692280092597</v>
      </c>
      <c r="C1069" s="3">
        <v>45352</v>
      </c>
      <c r="D1069" t="s">
        <v>19</v>
      </c>
      <c r="E1069" t="s">
        <v>1122</v>
      </c>
      <c r="F1069" t="s">
        <v>25</v>
      </c>
      <c r="G1069" t="s">
        <v>26</v>
      </c>
      <c r="H1069" t="s">
        <v>810</v>
      </c>
    </row>
    <row r="1070" spans="1:8" x14ac:dyDescent="0.3">
      <c r="A1070">
        <v>1069</v>
      </c>
      <c r="B1070" s="3">
        <v>45379.707962963003</v>
      </c>
      <c r="C1070" s="3">
        <v>45352</v>
      </c>
      <c r="D1070" t="s">
        <v>19</v>
      </c>
      <c r="E1070" t="s">
        <v>1123</v>
      </c>
      <c r="F1070" t="s">
        <v>25</v>
      </c>
      <c r="G1070" t="s">
        <v>26</v>
      </c>
      <c r="H1070" t="s">
        <v>810</v>
      </c>
    </row>
    <row r="1071" spans="1:8" x14ac:dyDescent="0.3">
      <c r="A1071">
        <v>1070</v>
      </c>
      <c r="B1071" s="3">
        <v>45379.722442129598</v>
      </c>
      <c r="C1071" s="3">
        <v>45352</v>
      </c>
      <c r="D1071" t="s">
        <v>19</v>
      </c>
      <c r="E1071" t="s">
        <v>1124</v>
      </c>
      <c r="F1071" t="s">
        <v>40</v>
      </c>
      <c r="G1071" t="s">
        <v>1125</v>
      </c>
      <c r="H1071" t="s">
        <v>810</v>
      </c>
    </row>
    <row r="1072" spans="1:8" x14ac:dyDescent="0.3">
      <c r="A1072">
        <v>1071</v>
      </c>
      <c r="B1072" s="3">
        <v>45379.7269675926</v>
      </c>
      <c r="C1072" s="3">
        <v>45352</v>
      </c>
      <c r="D1072" t="s">
        <v>19</v>
      </c>
      <c r="E1072" t="s">
        <v>1126</v>
      </c>
      <c r="F1072" t="s">
        <v>21</v>
      </c>
      <c r="G1072" t="s">
        <v>29</v>
      </c>
      <c r="H1072" t="s">
        <v>30</v>
      </c>
    </row>
    <row r="1073" spans="1:8" x14ac:dyDescent="0.3">
      <c r="A1073">
        <v>1072</v>
      </c>
      <c r="B1073" s="3">
        <v>45381.520173611098</v>
      </c>
      <c r="C1073" s="3">
        <v>45352</v>
      </c>
      <c r="D1073" t="s">
        <v>19</v>
      </c>
      <c r="E1073" t="s">
        <v>1127</v>
      </c>
      <c r="F1073" t="s">
        <v>21</v>
      </c>
      <c r="G1073" t="s">
        <v>29</v>
      </c>
      <c r="H1073" t="s">
        <v>30</v>
      </c>
    </row>
    <row r="1074" spans="1:8" x14ac:dyDescent="0.3">
      <c r="A1074">
        <v>1073</v>
      </c>
      <c r="B1074" s="3">
        <v>45381.542442129597</v>
      </c>
      <c r="C1074" s="3">
        <v>45352</v>
      </c>
      <c r="D1074" t="s">
        <v>19</v>
      </c>
      <c r="E1074" t="s">
        <v>1128</v>
      </c>
      <c r="F1074" t="s">
        <v>25</v>
      </c>
      <c r="G1074" t="s">
        <v>29</v>
      </c>
      <c r="H1074" t="s">
        <v>30</v>
      </c>
    </row>
    <row r="1075" spans="1:8" x14ac:dyDescent="0.3">
      <c r="A1075">
        <v>1074</v>
      </c>
      <c r="B1075" s="3">
        <v>45381.559409722198</v>
      </c>
      <c r="C1075" s="3">
        <v>45352</v>
      </c>
      <c r="D1075" t="s">
        <v>19</v>
      </c>
      <c r="E1075" t="s">
        <v>1129</v>
      </c>
      <c r="F1075" t="s">
        <v>21</v>
      </c>
      <c r="G1075" t="s">
        <v>29</v>
      </c>
      <c r="H1075" t="s">
        <v>30</v>
      </c>
    </row>
    <row r="1076" spans="1:8" x14ac:dyDescent="0.3">
      <c r="A1076">
        <v>1075</v>
      </c>
      <c r="B1076" s="3">
        <v>45381.620069444398</v>
      </c>
      <c r="C1076" s="3">
        <v>45352</v>
      </c>
      <c r="D1076" t="s">
        <v>19</v>
      </c>
      <c r="E1076" t="s">
        <v>1130</v>
      </c>
      <c r="F1076" t="s">
        <v>21</v>
      </c>
      <c r="G1076" t="s">
        <v>22</v>
      </c>
      <c r="H1076" t="s">
        <v>30</v>
      </c>
    </row>
    <row r="1077" spans="1:8" x14ac:dyDescent="0.3">
      <c r="A1077">
        <v>1076</v>
      </c>
      <c r="B1077" s="3">
        <v>45381.7366666667</v>
      </c>
      <c r="C1077" s="3">
        <v>45352</v>
      </c>
      <c r="D1077" t="s">
        <v>19</v>
      </c>
      <c r="E1077" t="s">
        <v>1131</v>
      </c>
      <c r="F1077" t="s">
        <v>32</v>
      </c>
      <c r="G1077" t="s">
        <v>33</v>
      </c>
      <c r="H1077" t="s">
        <v>810</v>
      </c>
    </row>
    <row r="1078" spans="1:8" x14ac:dyDescent="0.3">
      <c r="A1078">
        <v>1077</v>
      </c>
      <c r="B1078" s="3">
        <v>45381.783298611103</v>
      </c>
      <c r="C1078" s="3">
        <v>45352</v>
      </c>
      <c r="D1078" t="s">
        <v>19</v>
      </c>
      <c r="E1078" t="s">
        <v>1132</v>
      </c>
      <c r="F1078" t="s">
        <v>40</v>
      </c>
      <c r="G1078" t="s">
        <v>48</v>
      </c>
      <c r="H1078" t="s">
        <v>810</v>
      </c>
    </row>
    <row r="1079" spans="1:8" x14ac:dyDescent="0.3">
      <c r="A1079">
        <v>1078</v>
      </c>
      <c r="B1079" s="3">
        <v>45387.715046296304</v>
      </c>
      <c r="C1079" s="3">
        <v>45383</v>
      </c>
      <c r="D1079" t="s">
        <v>19</v>
      </c>
      <c r="E1079" t="s">
        <v>1133</v>
      </c>
      <c r="F1079" t="s">
        <v>32</v>
      </c>
      <c r="G1079" t="s">
        <v>33</v>
      </c>
      <c r="H1079" t="s">
        <v>27</v>
      </c>
    </row>
    <row r="1080" spans="1:8" x14ac:dyDescent="0.3">
      <c r="A1080">
        <v>1079</v>
      </c>
      <c r="B1080" s="3">
        <v>45394.725856481498</v>
      </c>
      <c r="C1080" s="3">
        <v>45383</v>
      </c>
      <c r="D1080" t="s">
        <v>19</v>
      </c>
      <c r="E1080" t="s">
        <v>1134</v>
      </c>
      <c r="F1080" t="s">
        <v>40</v>
      </c>
      <c r="G1080" t="s">
        <v>75</v>
      </c>
      <c r="H1080" t="s">
        <v>810</v>
      </c>
    </row>
    <row r="1081" spans="1:8" x14ac:dyDescent="0.3">
      <c r="A1081">
        <v>1080</v>
      </c>
      <c r="B1081" s="3">
        <v>45395.502511574101</v>
      </c>
      <c r="C1081" s="3">
        <v>45383</v>
      </c>
      <c r="D1081" t="s">
        <v>19</v>
      </c>
      <c r="E1081" t="s">
        <v>1135</v>
      </c>
      <c r="F1081" t="s">
        <v>40</v>
      </c>
      <c r="G1081" t="s">
        <v>41</v>
      </c>
      <c r="H1081" t="s">
        <v>810</v>
      </c>
    </row>
    <row r="1082" spans="1:8" x14ac:dyDescent="0.3">
      <c r="A1082">
        <v>1081</v>
      </c>
      <c r="B1082" s="3">
        <v>45397.537349537</v>
      </c>
      <c r="C1082" s="3">
        <v>45383</v>
      </c>
      <c r="D1082" t="s">
        <v>19</v>
      </c>
      <c r="E1082" t="s">
        <v>1136</v>
      </c>
      <c r="F1082" t="s">
        <v>25</v>
      </c>
      <c r="G1082" t="s">
        <v>26</v>
      </c>
      <c r="H1082" t="s">
        <v>810</v>
      </c>
    </row>
    <row r="1083" spans="1:8" x14ac:dyDescent="0.3">
      <c r="A1083">
        <v>1082</v>
      </c>
      <c r="B1083" s="3">
        <v>45399.455277777801</v>
      </c>
      <c r="C1083" s="3">
        <v>45383</v>
      </c>
      <c r="D1083" t="s">
        <v>19</v>
      </c>
      <c r="E1083" t="s">
        <v>1137</v>
      </c>
      <c r="F1083" t="s">
        <v>25</v>
      </c>
      <c r="G1083" t="s">
        <v>26</v>
      </c>
      <c r="H1083" t="s">
        <v>810</v>
      </c>
    </row>
    <row r="1084" spans="1:8" x14ac:dyDescent="0.3">
      <c r="A1084">
        <v>1083</v>
      </c>
      <c r="B1084" s="3">
        <v>45400.565983796303</v>
      </c>
      <c r="C1084" s="3">
        <v>45383</v>
      </c>
      <c r="D1084" t="s">
        <v>19</v>
      </c>
      <c r="E1084" t="s">
        <v>1138</v>
      </c>
      <c r="F1084" t="s">
        <v>21</v>
      </c>
      <c r="G1084" t="s">
        <v>22</v>
      </c>
      <c r="H1084" t="s">
        <v>30</v>
      </c>
    </row>
    <row r="1085" spans="1:8" x14ac:dyDescent="0.3">
      <c r="A1085">
        <v>1084</v>
      </c>
      <c r="B1085" s="3">
        <v>45402.658819444398</v>
      </c>
      <c r="C1085" s="3">
        <v>45383</v>
      </c>
      <c r="D1085" t="s">
        <v>19</v>
      </c>
      <c r="E1085" t="s">
        <v>1139</v>
      </c>
      <c r="F1085" t="s">
        <v>25</v>
      </c>
      <c r="G1085" t="s">
        <v>26</v>
      </c>
      <c r="H1085" t="s">
        <v>27</v>
      </c>
    </row>
    <row r="1086" spans="1:8" x14ac:dyDescent="0.3">
      <c r="A1086">
        <v>1085</v>
      </c>
      <c r="B1086" s="3">
        <v>45405.684479166703</v>
      </c>
      <c r="C1086" s="3">
        <v>45383</v>
      </c>
      <c r="D1086" t="s">
        <v>19</v>
      </c>
      <c r="E1086" t="s">
        <v>1140</v>
      </c>
      <c r="F1086" t="s">
        <v>40</v>
      </c>
      <c r="G1086" t="s">
        <v>58</v>
      </c>
      <c r="H1086" t="s">
        <v>30</v>
      </c>
    </row>
    <row r="1087" spans="1:8" x14ac:dyDescent="0.3">
      <c r="A1087">
        <v>1086</v>
      </c>
      <c r="B1087" s="3">
        <v>45407.650474536997</v>
      </c>
      <c r="C1087" s="3">
        <v>45383</v>
      </c>
      <c r="D1087" t="s">
        <v>19</v>
      </c>
      <c r="E1087" t="s">
        <v>1141</v>
      </c>
      <c r="F1087" t="s">
        <v>21</v>
      </c>
      <c r="G1087" t="s">
        <v>29</v>
      </c>
      <c r="H1087" t="s">
        <v>810</v>
      </c>
    </row>
    <row r="1088" spans="1:8" x14ac:dyDescent="0.3">
      <c r="A1088">
        <v>1087</v>
      </c>
      <c r="B1088" s="3">
        <v>45407.6652777778</v>
      </c>
      <c r="C1088" s="3">
        <v>45383</v>
      </c>
      <c r="D1088" t="s">
        <v>19</v>
      </c>
      <c r="E1088" t="s">
        <v>1142</v>
      </c>
      <c r="F1088" t="s">
        <v>25</v>
      </c>
      <c r="G1088" t="s">
        <v>26</v>
      </c>
      <c r="H1088" t="s">
        <v>810</v>
      </c>
    </row>
    <row r="1089" spans="1:8" x14ac:dyDescent="0.3">
      <c r="A1089">
        <v>1088</v>
      </c>
      <c r="B1089" s="3">
        <v>45412.625428240703</v>
      </c>
      <c r="C1089" s="3">
        <v>45383</v>
      </c>
      <c r="D1089" t="s">
        <v>19</v>
      </c>
      <c r="E1089" t="s">
        <v>1143</v>
      </c>
      <c r="F1089" t="s">
        <v>40</v>
      </c>
      <c r="G1089" t="s">
        <v>48</v>
      </c>
      <c r="H1089" t="s">
        <v>810</v>
      </c>
    </row>
    <row r="1090" spans="1:8" x14ac:dyDescent="0.3">
      <c r="A1090">
        <v>1089</v>
      </c>
      <c r="B1090" s="3">
        <v>45412.658888888902</v>
      </c>
      <c r="C1090" s="3">
        <v>45383</v>
      </c>
      <c r="D1090" t="s">
        <v>19</v>
      </c>
      <c r="E1090" t="s">
        <v>1144</v>
      </c>
      <c r="F1090" t="s">
        <v>32</v>
      </c>
      <c r="G1090" t="s">
        <v>33</v>
      </c>
      <c r="H1090" t="s">
        <v>27</v>
      </c>
    </row>
    <row r="1091" spans="1:8" x14ac:dyDescent="0.3">
      <c r="A1091">
        <v>1090</v>
      </c>
      <c r="B1091" s="3">
        <v>45412.820972222202</v>
      </c>
      <c r="C1091" s="3">
        <v>45383</v>
      </c>
      <c r="D1091" t="s">
        <v>19</v>
      </c>
      <c r="E1091" t="s">
        <v>1145</v>
      </c>
      <c r="F1091" t="s">
        <v>21</v>
      </c>
      <c r="G1091" t="s">
        <v>29</v>
      </c>
      <c r="H1091" t="s">
        <v>30</v>
      </c>
    </row>
    <row r="1092" spans="1:8" x14ac:dyDescent="0.3">
      <c r="A1092">
        <v>1091</v>
      </c>
      <c r="B1092" s="3">
        <v>45412.837476851899</v>
      </c>
      <c r="C1092" s="3">
        <v>45383</v>
      </c>
      <c r="D1092" t="s">
        <v>19</v>
      </c>
      <c r="E1092" t="s">
        <v>1146</v>
      </c>
      <c r="F1092" t="s">
        <v>40</v>
      </c>
      <c r="G1092" t="s">
        <v>75</v>
      </c>
      <c r="H1092" t="s">
        <v>30</v>
      </c>
    </row>
    <row r="1093" spans="1:8" x14ac:dyDescent="0.3">
      <c r="A1093">
        <v>1092</v>
      </c>
      <c r="B1093" s="3">
        <v>45412.838888888902</v>
      </c>
      <c r="C1093" s="3">
        <v>45383</v>
      </c>
      <c r="D1093" t="s">
        <v>19</v>
      </c>
      <c r="E1093" t="s">
        <v>1147</v>
      </c>
      <c r="F1093" t="s">
        <v>25</v>
      </c>
      <c r="G1093" t="s">
        <v>26</v>
      </c>
      <c r="H1093" t="s">
        <v>810</v>
      </c>
    </row>
    <row r="1094" spans="1:8" x14ac:dyDescent="0.3">
      <c r="A1094">
        <v>1093</v>
      </c>
      <c r="B1094" s="3">
        <v>45412.8415046296</v>
      </c>
      <c r="C1094" s="3">
        <v>45383</v>
      </c>
      <c r="D1094" t="s">
        <v>19</v>
      </c>
      <c r="E1094" t="s">
        <v>1148</v>
      </c>
      <c r="F1094" t="s">
        <v>21</v>
      </c>
      <c r="G1094" t="s">
        <v>22</v>
      </c>
      <c r="H1094" t="s">
        <v>810</v>
      </c>
    </row>
    <row r="1095" spans="1:8" x14ac:dyDescent="0.3">
      <c r="A1095">
        <v>1094</v>
      </c>
      <c r="B1095" s="3">
        <v>45420.418495370403</v>
      </c>
      <c r="C1095" s="3">
        <v>45413</v>
      </c>
      <c r="D1095" t="s">
        <v>19</v>
      </c>
      <c r="E1095" t="s">
        <v>1149</v>
      </c>
      <c r="F1095" t="s">
        <v>40</v>
      </c>
      <c r="G1095" t="s">
        <v>41</v>
      </c>
      <c r="H1095" t="s">
        <v>810</v>
      </c>
    </row>
    <row r="1096" spans="1:8" x14ac:dyDescent="0.3">
      <c r="A1096">
        <v>1095</v>
      </c>
      <c r="B1096" s="3">
        <v>45422.762349536999</v>
      </c>
      <c r="C1096" s="3">
        <v>45413</v>
      </c>
      <c r="D1096" t="s">
        <v>19</v>
      </c>
      <c r="E1096" t="s">
        <v>1150</v>
      </c>
      <c r="F1096" t="s">
        <v>40</v>
      </c>
      <c r="G1096" t="s">
        <v>48</v>
      </c>
      <c r="H1096" t="s">
        <v>810</v>
      </c>
    </row>
    <row r="1097" spans="1:8" x14ac:dyDescent="0.3">
      <c r="A1097">
        <v>1096</v>
      </c>
      <c r="B1097" s="3">
        <v>45423.517662036997</v>
      </c>
      <c r="C1097" s="3">
        <v>45413</v>
      </c>
      <c r="D1097" t="s">
        <v>19</v>
      </c>
      <c r="E1097" t="s">
        <v>1151</v>
      </c>
      <c r="F1097" t="s">
        <v>21</v>
      </c>
      <c r="G1097" t="s">
        <v>29</v>
      </c>
      <c r="H1097" t="s">
        <v>810</v>
      </c>
    </row>
    <row r="1098" spans="1:8" x14ac:dyDescent="0.3">
      <c r="A1098">
        <v>1097</v>
      </c>
      <c r="B1098" s="3">
        <v>45433.500057870398</v>
      </c>
      <c r="C1098" s="3">
        <v>45413</v>
      </c>
      <c r="D1098" t="s">
        <v>19</v>
      </c>
      <c r="E1098" t="s">
        <v>1152</v>
      </c>
      <c r="F1098" t="s">
        <v>25</v>
      </c>
      <c r="G1098" t="s">
        <v>26</v>
      </c>
      <c r="H1098" t="s">
        <v>30</v>
      </c>
    </row>
    <row r="1099" spans="1:8" x14ac:dyDescent="0.3">
      <c r="A1099">
        <v>1098</v>
      </c>
      <c r="B1099" s="3">
        <v>45433.625231481499</v>
      </c>
      <c r="C1099" s="3">
        <v>45413</v>
      </c>
      <c r="D1099" t="s">
        <v>19</v>
      </c>
      <c r="E1099" t="s">
        <v>1153</v>
      </c>
      <c r="F1099" t="s">
        <v>32</v>
      </c>
      <c r="G1099" t="s">
        <v>33</v>
      </c>
      <c r="H1099" t="s">
        <v>810</v>
      </c>
    </row>
    <row r="1100" spans="1:8" x14ac:dyDescent="0.3">
      <c r="A1100">
        <v>1099</v>
      </c>
      <c r="B1100" s="3">
        <v>45433.731122685203</v>
      </c>
      <c r="C1100" s="3">
        <v>45413</v>
      </c>
      <c r="D1100" t="s">
        <v>19</v>
      </c>
      <c r="E1100" t="s">
        <v>1154</v>
      </c>
      <c r="F1100" t="s">
        <v>25</v>
      </c>
      <c r="G1100" t="s">
        <v>345</v>
      </c>
      <c r="H1100" t="s">
        <v>810</v>
      </c>
    </row>
    <row r="1101" spans="1:8" x14ac:dyDescent="0.3">
      <c r="A1101">
        <v>1100</v>
      </c>
      <c r="B1101" s="3">
        <v>45433.7398032407</v>
      </c>
      <c r="C1101" s="3">
        <v>45413</v>
      </c>
      <c r="D1101" t="s">
        <v>19</v>
      </c>
      <c r="E1101" t="s">
        <v>1155</v>
      </c>
      <c r="F1101" t="s">
        <v>25</v>
      </c>
      <c r="G1101" t="s">
        <v>26</v>
      </c>
      <c r="H1101" t="s">
        <v>810</v>
      </c>
    </row>
    <row r="1102" spans="1:8" x14ac:dyDescent="0.3">
      <c r="A1102">
        <v>1101</v>
      </c>
      <c r="B1102" s="3">
        <v>45434.678356481498</v>
      </c>
      <c r="C1102" s="3">
        <v>45413</v>
      </c>
      <c r="D1102" t="s">
        <v>19</v>
      </c>
      <c r="E1102" t="s">
        <v>1156</v>
      </c>
      <c r="F1102" t="s">
        <v>25</v>
      </c>
      <c r="G1102" t="s">
        <v>345</v>
      </c>
      <c r="H1102" t="s">
        <v>30</v>
      </c>
    </row>
    <row r="1103" spans="1:8" x14ac:dyDescent="0.3">
      <c r="A1103">
        <v>1102</v>
      </c>
      <c r="B1103" s="3">
        <v>45434.717002314799</v>
      </c>
      <c r="C1103" s="3">
        <v>45413</v>
      </c>
      <c r="D1103" t="s">
        <v>19</v>
      </c>
      <c r="E1103" t="s">
        <v>1157</v>
      </c>
      <c r="F1103" t="s">
        <v>25</v>
      </c>
      <c r="G1103" t="s">
        <v>317</v>
      </c>
      <c r="H1103" t="s">
        <v>30</v>
      </c>
    </row>
    <row r="1104" spans="1:8" x14ac:dyDescent="0.3">
      <c r="A1104">
        <v>1103</v>
      </c>
      <c r="B1104" s="3">
        <v>45435.650335648199</v>
      </c>
      <c r="C1104" s="3">
        <v>45413</v>
      </c>
      <c r="D1104" t="s">
        <v>19</v>
      </c>
      <c r="E1104" t="s">
        <v>1158</v>
      </c>
      <c r="F1104" t="s">
        <v>32</v>
      </c>
      <c r="G1104" t="s">
        <v>33</v>
      </c>
      <c r="H1104" t="s">
        <v>810</v>
      </c>
    </row>
    <row r="1105" spans="1:8" x14ac:dyDescent="0.3">
      <c r="A1105">
        <v>1104</v>
      </c>
      <c r="B1105" s="3">
        <v>45436.6731828704</v>
      </c>
      <c r="C1105" s="3">
        <v>45413</v>
      </c>
      <c r="D1105" t="s">
        <v>19</v>
      </c>
      <c r="E1105" t="s">
        <v>1159</v>
      </c>
      <c r="F1105" t="s">
        <v>21</v>
      </c>
      <c r="G1105" t="s">
        <v>29</v>
      </c>
      <c r="H1105" t="s">
        <v>810</v>
      </c>
    </row>
    <row r="1106" spans="1:8" x14ac:dyDescent="0.3">
      <c r="A1106">
        <v>1105</v>
      </c>
      <c r="B1106" s="3">
        <v>45436.717141203699</v>
      </c>
      <c r="C1106" s="3">
        <v>45413</v>
      </c>
      <c r="D1106" t="s">
        <v>19</v>
      </c>
      <c r="E1106" t="s">
        <v>1160</v>
      </c>
      <c r="F1106" t="s">
        <v>40</v>
      </c>
      <c r="G1106" t="s">
        <v>75</v>
      </c>
      <c r="H1106" t="s">
        <v>810</v>
      </c>
    </row>
    <row r="1107" spans="1:8" x14ac:dyDescent="0.3">
      <c r="A1107">
        <v>1106</v>
      </c>
      <c r="B1107" s="3">
        <v>45437.517939814803</v>
      </c>
      <c r="C1107" s="3">
        <v>45413</v>
      </c>
      <c r="D1107" t="s">
        <v>19</v>
      </c>
      <c r="E1107" t="s">
        <v>1161</v>
      </c>
      <c r="F1107" t="s">
        <v>40</v>
      </c>
      <c r="G1107" t="s">
        <v>75</v>
      </c>
      <c r="H1107" t="s">
        <v>30</v>
      </c>
    </row>
    <row r="1108" spans="1:8" x14ac:dyDescent="0.3">
      <c r="A1108">
        <v>1107</v>
      </c>
      <c r="B1108" s="3">
        <v>45437.677974537</v>
      </c>
      <c r="C1108" s="3">
        <v>45413</v>
      </c>
      <c r="D1108" t="s">
        <v>19</v>
      </c>
      <c r="E1108" t="s">
        <v>1162</v>
      </c>
      <c r="F1108" t="s">
        <v>25</v>
      </c>
      <c r="G1108" t="s">
        <v>317</v>
      </c>
      <c r="H1108" t="s">
        <v>234</v>
      </c>
    </row>
    <row r="1109" spans="1:8" x14ac:dyDescent="0.3">
      <c r="A1109">
        <v>1108</v>
      </c>
      <c r="B1109" s="3">
        <v>45437.7645023148</v>
      </c>
      <c r="C1109" s="3">
        <v>45413</v>
      </c>
      <c r="D1109" t="s">
        <v>19</v>
      </c>
      <c r="E1109" t="s">
        <v>1163</v>
      </c>
      <c r="F1109" t="s">
        <v>21</v>
      </c>
      <c r="G1109" t="s">
        <v>29</v>
      </c>
      <c r="H1109" t="s">
        <v>234</v>
      </c>
    </row>
    <row r="1110" spans="1:8" x14ac:dyDescent="0.3">
      <c r="A1110">
        <v>1109</v>
      </c>
      <c r="B1110" s="3">
        <v>45441.6196180556</v>
      </c>
      <c r="C1110" s="3">
        <v>45413</v>
      </c>
      <c r="D1110" t="s">
        <v>19</v>
      </c>
      <c r="E1110" t="s">
        <v>1164</v>
      </c>
      <c r="F1110" t="s">
        <v>32</v>
      </c>
      <c r="G1110" t="s">
        <v>33</v>
      </c>
      <c r="H1110" t="s">
        <v>810</v>
      </c>
    </row>
    <row r="1111" spans="1:8" x14ac:dyDescent="0.3">
      <c r="A1111">
        <v>1110</v>
      </c>
      <c r="B1111" s="3">
        <v>45441.699456018498</v>
      </c>
      <c r="C1111" s="3">
        <v>45413</v>
      </c>
      <c r="D1111" t="s">
        <v>19</v>
      </c>
      <c r="E1111" t="s">
        <v>1165</v>
      </c>
      <c r="F1111" t="s">
        <v>40</v>
      </c>
      <c r="G1111" t="s">
        <v>48</v>
      </c>
      <c r="H1111" t="s">
        <v>810</v>
      </c>
    </row>
    <row r="1112" spans="1:8" x14ac:dyDescent="0.3">
      <c r="A1112">
        <v>1111</v>
      </c>
      <c r="B1112" s="3">
        <v>45441.725023148101</v>
      </c>
      <c r="C1112" s="3">
        <v>45413</v>
      </c>
      <c r="D1112" t="s">
        <v>19</v>
      </c>
      <c r="E1112" t="s">
        <v>1166</v>
      </c>
      <c r="F1112" t="s">
        <v>25</v>
      </c>
      <c r="G1112" t="s">
        <v>317</v>
      </c>
      <c r="H1112" t="s">
        <v>30</v>
      </c>
    </row>
    <row r="1113" spans="1:8" x14ac:dyDescent="0.3">
      <c r="A1113">
        <v>1112</v>
      </c>
      <c r="B1113" s="3">
        <v>45442.553240740701</v>
      </c>
      <c r="C1113" s="3">
        <v>45413</v>
      </c>
      <c r="D1113" t="s">
        <v>19</v>
      </c>
      <c r="E1113" t="s">
        <v>1167</v>
      </c>
      <c r="F1113" t="s">
        <v>21</v>
      </c>
      <c r="G1113" t="s">
        <v>22</v>
      </c>
      <c r="H1113" t="s">
        <v>810</v>
      </c>
    </row>
    <row r="1114" spans="1:8" x14ac:dyDescent="0.3">
      <c r="A1114">
        <v>1113</v>
      </c>
      <c r="B1114" s="3">
        <v>45442.679918981499</v>
      </c>
      <c r="C1114" s="3">
        <v>45413</v>
      </c>
      <c r="D1114" t="s">
        <v>19</v>
      </c>
      <c r="E1114" t="s">
        <v>1168</v>
      </c>
      <c r="F1114" t="s">
        <v>32</v>
      </c>
      <c r="G1114" t="s">
        <v>33</v>
      </c>
      <c r="H1114" t="s">
        <v>30</v>
      </c>
    </row>
    <row r="1115" spans="1:8" x14ac:dyDescent="0.3">
      <c r="A1115">
        <v>1114</v>
      </c>
      <c r="B1115" s="3">
        <v>45442.6948148148</v>
      </c>
      <c r="C1115" s="3">
        <v>45413</v>
      </c>
      <c r="D1115" t="s">
        <v>19</v>
      </c>
      <c r="E1115" t="s">
        <v>1169</v>
      </c>
      <c r="F1115" t="s">
        <v>32</v>
      </c>
      <c r="G1115" t="s">
        <v>33</v>
      </c>
      <c r="H1115" t="s">
        <v>30</v>
      </c>
    </row>
    <row r="1116" spans="1:8" x14ac:dyDescent="0.3">
      <c r="A1116">
        <v>1115</v>
      </c>
      <c r="B1116" s="3">
        <v>45443.759895833296</v>
      </c>
      <c r="C1116" s="3">
        <v>45413</v>
      </c>
      <c r="D1116" t="s">
        <v>19</v>
      </c>
      <c r="E1116" t="s">
        <v>1170</v>
      </c>
      <c r="F1116" t="s">
        <v>40</v>
      </c>
      <c r="G1116" t="s">
        <v>48</v>
      </c>
      <c r="H1116" t="s">
        <v>810</v>
      </c>
    </row>
    <row r="1117" spans="1:8" x14ac:dyDescent="0.3">
      <c r="A1117">
        <v>1116</v>
      </c>
      <c r="B1117" s="3">
        <v>45443.776307870401</v>
      </c>
      <c r="C1117" s="3">
        <v>45413</v>
      </c>
      <c r="D1117" t="s">
        <v>19</v>
      </c>
      <c r="E1117" t="s">
        <v>1171</v>
      </c>
      <c r="F1117" t="s">
        <v>25</v>
      </c>
      <c r="G1117" t="s">
        <v>317</v>
      </c>
      <c r="H1117" t="s">
        <v>27</v>
      </c>
    </row>
    <row r="1118" spans="1:8" x14ac:dyDescent="0.3">
      <c r="A1118">
        <v>1117</v>
      </c>
      <c r="B1118" s="3">
        <v>45443.8124537037</v>
      </c>
      <c r="C1118" s="3">
        <v>45413</v>
      </c>
      <c r="D1118" t="s">
        <v>19</v>
      </c>
      <c r="E1118" t="s">
        <v>1172</v>
      </c>
      <c r="F1118" t="s">
        <v>40</v>
      </c>
      <c r="G1118" t="s">
        <v>75</v>
      </c>
      <c r="H1118" t="s">
        <v>30</v>
      </c>
    </row>
    <row r="1119" spans="1:8" x14ac:dyDescent="0.3">
      <c r="A1119">
        <v>1118</v>
      </c>
      <c r="B1119" s="3">
        <v>45443.853645833296</v>
      </c>
      <c r="C1119" s="3">
        <v>45413</v>
      </c>
      <c r="D1119" t="s">
        <v>19</v>
      </c>
      <c r="E1119" t="s">
        <v>1173</v>
      </c>
      <c r="F1119" t="s">
        <v>40</v>
      </c>
      <c r="G1119" t="s">
        <v>75</v>
      </c>
      <c r="H1119" t="s">
        <v>27</v>
      </c>
    </row>
    <row r="1120" spans="1:8" x14ac:dyDescent="0.3">
      <c r="A1120">
        <v>1119</v>
      </c>
      <c r="B1120" s="3">
        <v>45443.862754629597</v>
      </c>
      <c r="C1120" s="3">
        <v>45413</v>
      </c>
      <c r="D1120" t="s">
        <v>19</v>
      </c>
      <c r="E1120" t="s">
        <v>1174</v>
      </c>
      <c r="F1120" t="s">
        <v>21</v>
      </c>
      <c r="G1120" t="s">
        <v>29</v>
      </c>
      <c r="H1120" t="s">
        <v>27</v>
      </c>
    </row>
    <row r="1121" spans="1:8" x14ac:dyDescent="0.3">
      <c r="A1121">
        <v>1120</v>
      </c>
      <c r="B1121" s="3">
        <v>45443.864618055602</v>
      </c>
      <c r="C1121" s="3">
        <v>45413</v>
      </c>
      <c r="D1121" t="s">
        <v>19</v>
      </c>
      <c r="E1121" t="s">
        <v>1175</v>
      </c>
      <c r="F1121" t="s">
        <v>25</v>
      </c>
      <c r="G1121" t="s">
        <v>317</v>
      </c>
      <c r="H1121" t="s">
        <v>810</v>
      </c>
    </row>
    <row r="1122" spans="1:8" x14ac:dyDescent="0.3">
      <c r="A1122">
        <v>1121</v>
      </c>
      <c r="B1122" s="3">
        <v>45443.890902777799</v>
      </c>
      <c r="C1122" s="3">
        <v>45413</v>
      </c>
      <c r="D1122" t="s">
        <v>19</v>
      </c>
      <c r="E1122" t="s">
        <v>1176</v>
      </c>
      <c r="F1122" t="s">
        <v>21</v>
      </c>
      <c r="G1122" t="s">
        <v>29</v>
      </c>
      <c r="H1122" t="s">
        <v>30</v>
      </c>
    </row>
    <row r="1123" spans="1:8" x14ac:dyDescent="0.3">
      <c r="A1123">
        <v>1122</v>
      </c>
      <c r="B1123" s="3">
        <v>45443.891608796301</v>
      </c>
      <c r="C1123" s="3">
        <v>45413</v>
      </c>
      <c r="D1123" t="s">
        <v>19</v>
      </c>
      <c r="E1123" t="s">
        <v>1177</v>
      </c>
      <c r="F1123" t="s">
        <v>21</v>
      </c>
      <c r="G1123" t="s">
        <v>29</v>
      </c>
      <c r="H1123" t="s">
        <v>30</v>
      </c>
    </row>
    <row r="1124" spans="1:8" x14ac:dyDescent="0.3">
      <c r="A1124">
        <v>1123</v>
      </c>
      <c r="B1124" s="3">
        <v>45443.8921990741</v>
      </c>
      <c r="C1124" s="3">
        <v>45413</v>
      </c>
      <c r="D1124" t="s">
        <v>19</v>
      </c>
      <c r="E1124" t="s">
        <v>1178</v>
      </c>
      <c r="F1124" t="s">
        <v>21</v>
      </c>
      <c r="G1124" t="s">
        <v>29</v>
      </c>
      <c r="H1124" t="s">
        <v>30</v>
      </c>
    </row>
    <row r="1125" spans="1:8" x14ac:dyDescent="0.3">
      <c r="A1125">
        <v>1124</v>
      </c>
      <c r="B1125" s="3">
        <v>45443.905960648197</v>
      </c>
      <c r="C1125" s="3">
        <v>45413</v>
      </c>
      <c r="D1125" t="s">
        <v>19</v>
      </c>
      <c r="E1125" t="s">
        <v>1179</v>
      </c>
      <c r="F1125" t="s">
        <v>25</v>
      </c>
      <c r="G1125" t="s">
        <v>317</v>
      </c>
      <c r="H1125" t="s">
        <v>30</v>
      </c>
    </row>
    <row r="1126" spans="1:8" x14ac:dyDescent="0.3">
      <c r="A1126">
        <v>1125</v>
      </c>
      <c r="B1126" s="3">
        <v>45443.909583333298</v>
      </c>
      <c r="C1126" s="3">
        <v>45413</v>
      </c>
      <c r="D1126" t="s">
        <v>19</v>
      </c>
      <c r="E1126" t="s">
        <v>1180</v>
      </c>
      <c r="F1126" t="s">
        <v>25</v>
      </c>
      <c r="G1126" t="s">
        <v>317</v>
      </c>
      <c r="H1126" t="s">
        <v>30</v>
      </c>
    </row>
    <row r="1127" spans="1:8" x14ac:dyDescent="0.3">
      <c r="A1127">
        <v>1126</v>
      </c>
      <c r="B1127" s="3">
        <v>45443.910659722198</v>
      </c>
      <c r="C1127" s="3">
        <v>45413</v>
      </c>
      <c r="D1127" t="s">
        <v>19</v>
      </c>
      <c r="E1127" t="s">
        <v>1181</v>
      </c>
      <c r="F1127" t="s">
        <v>21</v>
      </c>
      <c r="G1127" t="s">
        <v>29</v>
      </c>
      <c r="H1127" t="s">
        <v>30</v>
      </c>
    </row>
    <row r="1128" spans="1:8" x14ac:dyDescent="0.3">
      <c r="A1128">
        <v>1127</v>
      </c>
      <c r="B1128" s="3">
        <v>45451.462083333303</v>
      </c>
      <c r="C1128" s="3">
        <v>45444</v>
      </c>
      <c r="D1128" t="s">
        <v>19</v>
      </c>
      <c r="E1128" t="s">
        <v>1182</v>
      </c>
      <c r="F1128" t="s">
        <v>40</v>
      </c>
      <c r="G1128" t="s">
        <v>48</v>
      </c>
      <c r="H1128" t="s">
        <v>810</v>
      </c>
    </row>
    <row r="1129" spans="1:8" x14ac:dyDescent="0.3">
      <c r="A1129">
        <v>1128</v>
      </c>
      <c r="B1129" s="3">
        <v>45453.6545833333</v>
      </c>
      <c r="C1129" s="3">
        <v>45444</v>
      </c>
      <c r="D1129" t="s">
        <v>19</v>
      </c>
      <c r="E1129" t="s">
        <v>1183</v>
      </c>
      <c r="F1129" t="s">
        <v>21</v>
      </c>
      <c r="G1129" t="s">
        <v>22</v>
      </c>
      <c r="H1129" t="s">
        <v>810</v>
      </c>
    </row>
    <row r="1130" spans="1:8" x14ac:dyDescent="0.3">
      <c r="A1130">
        <v>1129</v>
      </c>
      <c r="B1130" s="3">
        <v>45453.655949074098</v>
      </c>
      <c r="C1130" s="3">
        <v>45444</v>
      </c>
      <c r="D1130" t="s">
        <v>19</v>
      </c>
      <c r="E1130" t="s">
        <v>1184</v>
      </c>
      <c r="F1130" t="s">
        <v>40</v>
      </c>
      <c r="G1130" t="s">
        <v>75</v>
      </c>
      <c r="H1130" t="s">
        <v>810</v>
      </c>
    </row>
    <row r="1131" spans="1:8" x14ac:dyDescent="0.3">
      <c r="A1131">
        <v>1130</v>
      </c>
      <c r="B1131" s="3">
        <v>45457.713622685202</v>
      </c>
      <c r="C1131" s="3">
        <v>45444</v>
      </c>
      <c r="D1131" t="s">
        <v>19</v>
      </c>
      <c r="E1131" t="s">
        <v>1185</v>
      </c>
      <c r="F1131" t="s">
        <v>40</v>
      </c>
      <c r="G1131" t="s">
        <v>75</v>
      </c>
      <c r="H1131" t="s">
        <v>810</v>
      </c>
    </row>
    <row r="1132" spans="1:8" x14ac:dyDescent="0.3">
      <c r="A1132">
        <v>1131</v>
      </c>
      <c r="B1132" s="3">
        <v>45457.714166666701</v>
      </c>
      <c r="C1132" s="3">
        <v>45444</v>
      </c>
      <c r="D1132" t="s">
        <v>19</v>
      </c>
      <c r="E1132" t="s">
        <v>1186</v>
      </c>
      <c r="F1132" t="s">
        <v>21</v>
      </c>
      <c r="G1132" t="s">
        <v>22</v>
      </c>
      <c r="H1132" t="s">
        <v>30</v>
      </c>
    </row>
    <row r="1133" spans="1:8" x14ac:dyDescent="0.3">
      <c r="A1133">
        <v>1132</v>
      </c>
      <c r="B1133" s="3">
        <v>45457.7343287037</v>
      </c>
      <c r="C1133" s="3">
        <v>45444</v>
      </c>
      <c r="D1133" t="s">
        <v>19</v>
      </c>
      <c r="E1133" t="s">
        <v>1187</v>
      </c>
      <c r="F1133" t="s">
        <v>25</v>
      </c>
      <c r="G1133" t="s">
        <v>345</v>
      </c>
      <c r="H1133" t="s">
        <v>810</v>
      </c>
    </row>
    <row r="1134" spans="1:8" x14ac:dyDescent="0.3">
      <c r="A1134">
        <v>1133</v>
      </c>
      <c r="B1134" s="3">
        <v>45457.736944444398</v>
      </c>
      <c r="C1134" s="3">
        <v>45444</v>
      </c>
      <c r="D1134" t="s">
        <v>19</v>
      </c>
      <c r="E1134" t="s">
        <v>1188</v>
      </c>
      <c r="F1134" t="s">
        <v>32</v>
      </c>
      <c r="G1134" t="s">
        <v>69</v>
      </c>
      <c r="H1134" t="s">
        <v>810</v>
      </c>
    </row>
    <row r="1135" spans="1:8" x14ac:dyDescent="0.3">
      <c r="A1135">
        <v>1134</v>
      </c>
      <c r="B1135" s="3">
        <v>45458.712627314802</v>
      </c>
      <c r="C1135" s="3">
        <v>45444</v>
      </c>
      <c r="D1135" t="s">
        <v>19</v>
      </c>
      <c r="E1135" t="s">
        <v>1189</v>
      </c>
      <c r="F1135" t="s">
        <v>21</v>
      </c>
      <c r="G1135" t="s">
        <v>22</v>
      </c>
      <c r="H1135" t="s">
        <v>810</v>
      </c>
    </row>
    <row r="1136" spans="1:8" x14ac:dyDescent="0.3">
      <c r="A1136">
        <v>1135</v>
      </c>
      <c r="B1136" s="3">
        <v>45458.714340277802</v>
      </c>
      <c r="C1136" s="3">
        <v>45444</v>
      </c>
      <c r="D1136" t="s">
        <v>19</v>
      </c>
      <c r="E1136" t="s">
        <v>1190</v>
      </c>
      <c r="F1136" t="s">
        <v>21</v>
      </c>
      <c r="G1136" t="s">
        <v>345</v>
      </c>
      <c r="H1136" t="s">
        <v>810</v>
      </c>
    </row>
    <row r="1137" spans="1:8" x14ac:dyDescent="0.3">
      <c r="A1137">
        <v>1136</v>
      </c>
      <c r="B1137" s="3">
        <v>45458.724513888897</v>
      </c>
      <c r="C1137" s="3">
        <v>45444</v>
      </c>
      <c r="D1137" t="s">
        <v>19</v>
      </c>
      <c r="E1137" t="s">
        <v>1191</v>
      </c>
      <c r="F1137" t="s">
        <v>21</v>
      </c>
      <c r="G1137" t="s">
        <v>22</v>
      </c>
      <c r="H1137" t="s">
        <v>30</v>
      </c>
    </row>
    <row r="1138" spans="1:8" x14ac:dyDescent="0.3">
      <c r="A1138">
        <v>1137</v>
      </c>
      <c r="B1138" s="3">
        <v>45464.637638888897</v>
      </c>
      <c r="C1138" s="3">
        <v>45444</v>
      </c>
      <c r="D1138" t="s">
        <v>19</v>
      </c>
      <c r="E1138" t="s">
        <v>1192</v>
      </c>
      <c r="F1138" t="s">
        <v>21</v>
      </c>
      <c r="G1138" t="s">
        <v>345</v>
      </c>
      <c r="H1138" t="s">
        <v>810</v>
      </c>
    </row>
    <row r="1139" spans="1:8" x14ac:dyDescent="0.3">
      <c r="A1139">
        <v>1138</v>
      </c>
      <c r="B1139" s="3">
        <v>45464.714965277803</v>
      </c>
      <c r="C1139" s="3">
        <v>45444</v>
      </c>
      <c r="D1139" t="s">
        <v>19</v>
      </c>
      <c r="E1139" t="s">
        <v>1193</v>
      </c>
      <c r="F1139" t="s">
        <v>21</v>
      </c>
      <c r="G1139" t="s">
        <v>345</v>
      </c>
      <c r="H1139" t="s">
        <v>810</v>
      </c>
    </row>
    <row r="1140" spans="1:8" x14ac:dyDescent="0.3">
      <c r="A1140">
        <v>1139</v>
      </c>
      <c r="B1140" s="3">
        <v>45465.657662037003</v>
      </c>
      <c r="C1140" s="3">
        <v>45444</v>
      </c>
      <c r="D1140" t="s">
        <v>19</v>
      </c>
      <c r="E1140" t="s">
        <v>1194</v>
      </c>
      <c r="F1140" t="s">
        <v>25</v>
      </c>
      <c r="G1140" t="s">
        <v>26</v>
      </c>
      <c r="H1140" t="s">
        <v>30</v>
      </c>
    </row>
    <row r="1141" spans="1:8" x14ac:dyDescent="0.3">
      <c r="A1141">
        <v>1140</v>
      </c>
      <c r="B1141" s="3">
        <v>45465.659270833297</v>
      </c>
      <c r="C1141" s="3">
        <v>45444</v>
      </c>
      <c r="D1141" t="s">
        <v>19</v>
      </c>
      <c r="E1141" t="s">
        <v>1195</v>
      </c>
      <c r="F1141" t="s">
        <v>25</v>
      </c>
      <c r="G1141" t="s">
        <v>345</v>
      </c>
      <c r="H1141" t="s">
        <v>30</v>
      </c>
    </row>
    <row r="1142" spans="1:8" x14ac:dyDescent="0.3">
      <c r="A1142">
        <v>1141</v>
      </c>
      <c r="B1142" s="3">
        <v>45465.715416666702</v>
      </c>
      <c r="C1142" s="3">
        <v>45444</v>
      </c>
      <c r="D1142" t="s">
        <v>19</v>
      </c>
      <c r="E1142" t="s">
        <v>1196</v>
      </c>
      <c r="F1142" t="s">
        <v>32</v>
      </c>
      <c r="G1142" t="s">
        <v>33</v>
      </c>
      <c r="H1142" t="s">
        <v>30</v>
      </c>
    </row>
    <row r="1143" spans="1:8" x14ac:dyDescent="0.3">
      <c r="A1143">
        <v>1142</v>
      </c>
      <c r="B1143" s="3">
        <v>45465.752407407403</v>
      </c>
      <c r="C1143" s="3">
        <v>45444</v>
      </c>
      <c r="D1143" t="s">
        <v>19</v>
      </c>
      <c r="E1143" t="s">
        <v>1197</v>
      </c>
      <c r="F1143" t="s">
        <v>40</v>
      </c>
      <c r="G1143" t="s">
        <v>75</v>
      </c>
      <c r="H1143" t="s">
        <v>30</v>
      </c>
    </row>
    <row r="1144" spans="1:8" x14ac:dyDescent="0.3">
      <c r="A1144">
        <v>1143</v>
      </c>
      <c r="B1144" s="3">
        <v>45465.759421296301</v>
      </c>
      <c r="C1144" s="3">
        <v>45444</v>
      </c>
      <c r="D1144" t="s">
        <v>19</v>
      </c>
      <c r="E1144" t="s">
        <v>1198</v>
      </c>
      <c r="F1144" t="s">
        <v>21</v>
      </c>
      <c r="G1144" t="s">
        <v>29</v>
      </c>
      <c r="H1144" t="s">
        <v>30</v>
      </c>
    </row>
    <row r="1145" spans="1:8" x14ac:dyDescent="0.3">
      <c r="A1145">
        <v>1144</v>
      </c>
      <c r="B1145" s="3">
        <v>45469.7653125</v>
      </c>
      <c r="C1145" s="3">
        <v>45444</v>
      </c>
      <c r="D1145" t="s">
        <v>19</v>
      </c>
      <c r="E1145" t="s">
        <v>1199</v>
      </c>
      <c r="F1145" t="s">
        <v>32</v>
      </c>
      <c r="G1145" t="s">
        <v>345</v>
      </c>
      <c r="H1145" t="s">
        <v>810</v>
      </c>
    </row>
    <row r="1146" spans="1:8" x14ac:dyDescent="0.3">
      <c r="A1146">
        <v>1145</v>
      </c>
      <c r="B1146" s="3">
        <v>45469.7687268519</v>
      </c>
      <c r="C1146" s="3">
        <v>45444</v>
      </c>
      <c r="D1146" t="s">
        <v>19</v>
      </c>
      <c r="E1146" t="s">
        <v>1200</v>
      </c>
      <c r="F1146" t="s">
        <v>25</v>
      </c>
      <c r="G1146" t="s">
        <v>26</v>
      </c>
      <c r="H1146" t="s">
        <v>810</v>
      </c>
    </row>
    <row r="1147" spans="1:8" x14ac:dyDescent="0.3">
      <c r="A1147">
        <v>1146</v>
      </c>
      <c r="B1147" s="3">
        <v>45469.792500000003</v>
      </c>
      <c r="C1147" s="3">
        <v>45444</v>
      </c>
      <c r="D1147" t="s">
        <v>19</v>
      </c>
      <c r="E1147" t="s">
        <v>1201</v>
      </c>
      <c r="F1147" t="s">
        <v>32</v>
      </c>
      <c r="G1147" t="s">
        <v>345</v>
      </c>
      <c r="H1147" t="s">
        <v>30</v>
      </c>
    </row>
    <row r="1148" spans="1:8" x14ac:dyDescent="0.3">
      <c r="A1148">
        <v>1147</v>
      </c>
      <c r="B1148" s="3">
        <v>45469.799687500003</v>
      </c>
      <c r="C1148" s="3">
        <v>45444</v>
      </c>
      <c r="D1148" t="s">
        <v>19</v>
      </c>
      <c r="E1148" t="s">
        <v>1202</v>
      </c>
      <c r="F1148" t="s">
        <v>40</v>
      </c>
      <c r="G1148" t="s">
        <v>75</v>
      </c>
      <c r="H1148" t="s">
        <v>27</v>
      </c>
    </row>
    <row r="1149" spans="1:8" x14ac:dyDescent="0.3">
      <c r="A1149">
        <v>1148</v>
      </c>
      <c r="B1149" s="3">
        <v>45469.805636574099</v>
      </c>
      <c r="C1149" s="3">
        <v>45444</v>
      </c>
      <c r="D1149" t="s">
        <v>19</v>
      </c>
      <c r="E1149" t="s">
        <v>1203</v>
      </c>
      <c r="F1149" t="s">
        <v>21</v>
      </c>
      <c r="G1149" t="s">
        <v>29</v>
      </c>
      <c r="H1149" t="s">
        <v>810</v>
      </c>
    </row>
    <row r="1150" spans="1:8" x14ac:dyDescent="0.3">
      <c r="A1150">
        <v>1149</v>
      </c>
      <c r="B1150" s="3">
        <v>45472.8069791667</v>
      </c>
      <c r="C1150" s="3">
        <v>45444</v>
      </c>
      <c r="D1150" t="s">
        <v>19</v>
      </c>
      <c r="E1150" t="s">
        <v>1204</v>
      </c>
      <c r="F1150" t="s">
        <v>21</v>
      </c>
      <c r="G1150" t="s">
        <v>29</v>
      </c>
      <c r="H1150" t="s">
        <v>30</v>
      </c>
    </row>
    <row r="1151" spans="1:8" x14ac:dyDescent="0.3">
      <c r="A1151">
        <v>1150</v>
      </c>
      <c r="B1151" s="3">
        <v>45472.807708333297</v>
      </c>
      <c r="C1151" s="3">
        <v>45444</v>
      </c>
      <c r="D1151" t="s">
        <v>19</v>
      </c>
      <c r="E1151" t="s">
        <v>1205</v>
      </c>
      <c r="F1151" t="s">
        <v>32</v>
      </c>
      <c r="G1151" t="s">
        <v>345</v>
      </c>
      <c r="H1151" t="s">
        <v>810</v>
      </c>
    </row>
    <row r="1152" spans="1:8" x14ac:dyDescent="0.3">
      <c r="A1152">
        <v>1151</v>
      </c>
      <c r="B1152" s="3">
        <v>45472.833009259302</v>
      </c>
      <c r="C1152" s="3">
        <v>45444</v>
      </c>
      <c r="D1152" t="s">
        <v>19</v>
      </c>
      <c r="E1152" t="s">
        <v>1206</v>
      </c>
      <c r="F1152" t="s">
        <v>21</v>
      </c>
      <c r="G1152" t="s">
        <v>317</v>
      </c>
      <c r="H1152" t="s">
        <v>27</v>
      </c>
    </row>
    <row r="1153" spans="1:8" x14ac:dyDescent="0.3">
      <c r="A1153">
        <v>1152</v>
      </c>
      <c r="B1153" s="3">
        <v>45473.654756944401</v>
      </c>
      <c r="C1153" s="3">
        <v>45444</v>
      </c>
      <c r="D1153" t="s">
        <v>19</v>
      </c>
      <c r="E1153" t="s">
        <v>1207</v>
      </c>
      <c r="F1153" t="s">
        <v>40</v>
      </c>
      <c r="G1153" t="s">
        <v>75</v>
      </c>
      <c r="H1153" t="s">
        <v>30</v>
      </c>
    </row>
    <row r="1154" spans="1:8" x14ac:dyDescent="0.3">
      <c r="A1154">
        <v>1153</v>
      </c>
      <c r="B1154" s="3">
        <v>45473.719444444498</v>
      </c>
      <c r="C1154" s="3">
        <v>45444</v>
      </c>
      <c r="D1154" t="s">
        <v>19</v>
      </c>
      <c r="E1154" t="s">
        <v>1208</v>
      </c>
      <c r="F1154" t="s">
        <v>21</v>
      </c>
      <c r="G1154" t="s">
        <v>29</v>
      </c>
      <c r="H1154" t="s">
        <v>30</v>
      </c>
    </row>
    <row r="1155" spans="1:8" x14ac:dyDescent="0.3">
      <c r="A1155">
        <v>1154</v>
      </c>
      <c r="B1155" s="3">
        <v>45473.734930555598</v>
      </c>
      <c r="C1155" s="3">
        <v>45444</v>
      </c>
      <c r="D1155" t="s">
        <v>19</v>
      </c>
      <c r="E1155" t="s">
        <v>1209</v>
      </c>
      <c r="F1155" t="s">
        <v>25</v>
      </c>
      <c r="G1155" t="s">
        <v>26</v>
      </c>
      <c r="H1155" t="s">
        <v>810</v>
      </c>
    </row>
    <row r="1156" spans="1:8" x14ac:dyDescent="0.3">
      <c r="A1156">
        <v>1155</v>
      </c>
      <c r="B1156" s="3">
        <v>45473.743750000001</v>
      </c>
      <c r="C1156" s="3">
        <v>45444</v>
      </c>
      <c r="D1156" t="s">
        <v>19</v>
      </c>
      <c r="E1156" t="s">
        <v>1210</v>
      </c>
      <c r="F1156" t="s">
        <v>21</v>
      </c>
      <c r="G1156" t="s">
        <v>22</v>
      </c>
      <c r="H1156" t="s">
        <v>30</v>
      </c>
    </row>
    <row r="1157" spans="1:8" x14ac:dyDescent="0.3">
      <c r="A1157">
        <v>1156</v>
      </c>
      <c r="B1157" s="3">
        <v>45473.768946759301</v>
      </c>
      <c r="C1157" s="3">
        <v>45444</v>
      </c>
      <c r="D1157" t="s">
        <v>19</v>
      </c>
      <c r="E1157" t="s">
        <v>1211</v>
      </c>
      <c r="F1157" t="s">
        <v>21</v>
      </c>
      <c r="G1157" t="s">
        <v>345</v>
      </c>
      <c r="H1157" t="s">
        <v>810</v>
      </c>
    </row>
    <row r="1158" spans="1:8" x14ac:dyDescent="0.3">
      <c r="A1158">
        <v>1157</v>
      </c>
      <c r="B1158" s="3">
        <v>45473.769872685203</v>
      </c>
      <c r="C1158" s="3">
        <v>45444</v>
      </c>
      <c r="D1158" t="s">
        <v>19</v>
      </c>
      <c r="E1158" t="s">
        <v>1212</v>
      </c>
      <c r="F1158" t="s">
        <v>25</v>
      </c>
      <c r="G1158" t="s">
        <v>26</v>
      </c>
      <c r="H1158" t="s">
        <v>810</v>
      </c>
    </row>
    <row r="1159" spans="1:8" x14ac:dyDescent="0.3">
      <c r="A1159">
        <v>1158</v>
      </c>
      <c r="B1159" s="3">
        <v>45485.7130092593</v>
      </c>
      <c r="C1159" s="3">
        <v>45474</v>
      </c>
      <c r="D1159" t="s">
        <v>19</v>
      </c>
      <c r="E1159" t="s">
        <v>1213</v>
      </c>
      <c r="F1159" t="s">
        <v>25</v>
      </c>
      <c r="G1159" t="s">
        <v>345</v>
      </c>
      <c r="H1159" t="s">
        <v>810</v>
      </c>
    </row>
    <row r="1160" spans="1:8" x14ac:dyDescent="0.3">
      <c r="A1160">
        <v>1159</v>
      </c>
      <c r="B1160" s="3">
        <v>45486.516284722202</v>
      </c>
      <c r="C1160" s="3">
        <v>45474</v>
      </c>
      <c r="D1160" t="s">
        <v>19</v>
      </c>
      <c r="E1160" t="s">
        <v>1214</v>
      </c>
      <c r="F1160" t="s">
        <v>32</v>
      </c>
      <c r="G1160" t="s">
        <v>345</v>
      </c>
      <c r="H1160" t="s">
        <v>30</v>
      </c>
    </row>
    <row r="1161" spans="1:8" x14ac:dyDescent="0.3">
      <c r="A1161">
        <v>1160</v>
      </c>
      <c r="B1161" s="3">
        <v>45488.629131944399</v>
      </c>
      <c r="C1161" s="3">
        <v>45474</v>
      </c>
      <c r="D1161" t="s">
        <v>19</v>
      </c>
      <c r="E1161" t="s">
        <v>1215</v>
      </c>
      <c r="F1161" t="s">
        <v>40</v>
      </c>
      <c r="G1161" t="s">
        <v>48</v>
      </c>
      <c r="H1161" t="s">
        <v>810</v>
      </c>
    </row>
    <row r="1162" spans="1:8" x14ac:dyDescent="0.3">
      <c r="A1162">
        <v>1161</v>
      </c>
      <c r="B1162" s="3">
        <v>45488.655995370398</v>
      </c>
      <c r="C1162" s="3">
        <v>45474</v>
      </c>
      <c r="D1162" t="s">
        <v>19</v>
      </c>
      <c r="E1162" t="s">
        <v>1216</v>
      </c>
      <c r="F1162" t="s">
        <v>32</v>
      </c>
      <c r="G1162" t="s">
        <v>69</v>
      </c>
      <c r="H1162" t="s">
        <v>27</v>
      </c>
    </row>
    <row r="1163" spans="1:8" x14ac:dyDescent="0.3">
      <c r="A1163">
        <v>1162</v>
      </c>
      <c r="B1163" s="3">
        <v>45488.700891203698</v>
      </c>
      <c r="C1163" s="3">
        <v>45474</v>
      </c>
      <c r="D1163" t="s">
        <v>19</v>
      </c>
      <c r="E1163" t="s">
        <v>1217</v>
      </c>
      <c r="F1163" t="s">
        <v>25</v>
      </c>
      <c r="G1163" t="s">
        <v>26</v>
      </c>
      <c r="H1163" t="s">
        <v>810</v>
      </c>
    </row>
    <row r="1164" spans="1:8" x14ac:dyDescent="0.3">
      <c r="A1164">
        <v>1163</v>
      </c>
      <c r="B1164" s="3">
        <v>45488.768252314803</v>
      </c>
      <c r="C1164" s="3">
        <v>45474</v>
      </c>
      <c r="D1164" t="s">
        <v>19</v>
      </c>
      <c r="E1164" t="s">
        <v>1218</v>
      </c>
      <c r="F1164" t="s">
        <v>21</v>
      </c>
      <c r="G1164" t="s">
        <v>29</v>
      </c>
      <c r="H1164" t="s">
        <v>810</v>
      </c>
    </row>
    <row r="1165" spans="1:8" x14ac:dyDescent="0.3">
      <c r="A1165">
        <v>1164</v>
      </c>
      <c r="B1165" s="3">
        <v>45492.676145833299</v>
      </c>
      <c r="C1165" s="3">
        <v>45474</v>
      </c>
      <c r="D1165" t="s">
        <v>19</v>
      </c>
      <c r="E1165" t="s">
        <v>1219</v>
      </c>
      <c r="F1165" t="s">
        <v>25</v>
      </c>
      <c r="G1165" t="s">
        <v>26</v>
      </c>
      <c r="H1165" t="s">
        <v>30</v>
      </c>
    </row>
    <row r="1166" spans="1:8" x14ac:dyDescent="0.3">
      <c r="A1166">
        <v>1165</v>
      </c>
      <c r="B1166" s="3">
        <v>45498.585069444503</v>
      </c>
      <c r="C1166" s="3">
        <v>45474</v>
      </c>
      <c r="D1166" t="s">
        <v>19</v>
      </c>
      <c r="E1166" t="s">
        <v>1220</v>
      </c>
      <c r="F1166" t="s">
        <v>21</v>
      </c>
      <c r="G1166" t="s">
        <v>29</v>
      </c>
      <c r="H1166" t="s">
        <v>810</v>
      </c>
    </row>
    <row r="1167" spans="1:8" x14ac:dyDescent="0.3">
      <c r="A1167">
        <v>1166</v>
      </c>
      <c r="B1167" s="3">
        <v>45498.644062500003</v>
      </c>
      <c r="C1167" s="3">
        <v>45474</v>
      </c>
      <c r="D1167" t="s">
        <v>19</v>
      </c>
      <c r="E1167" t="s">
        <v>1221</v>
      </c>
      <c r="F1167" t="s">
        <v>21</v>
      </c>
      <c r="G1167" t="s">
        <v>29</v>
      </c>
      <c r="H1167" t="s">
        <v>810</v>
      </c>
    </row>
    <row r="1168" spans="1:8" x14ac:dyDescent="0.3">
      <c r="A1168">
        <v>1167</v>
      </c>
      <c r="B1168" s="3">
        <v>45498.713935185202</v>
      </c>
      <c r="C1168" s="3">
        <v>45474</v>
      </c>
      <c r="D1168" t="s">
        <v>19</v>
      </c>
      <c r="E1168" t="s">
        <v>1222</v>
      </c>
      <c r="F1168" t="s">
        <v>21</v>
      </c>
      <c r="G1168" t="s">
        <v>22</v>
      </c>
      <c r="H1168" t="s">
        <v>30</v>
      </c>
    </row>
    <row r="1169" spans="1:8" x14ac:dyDescent="0.3">
      <c r="A1169">
        <v>1168</v>
      </c>
      <c r="B1169" s="3">
        <v>45499.656412037002</v>
      </c>
      <c r="C1169" s="3">
        <v>45474</v>
      </c>
      <c r="D1169" t="s">
        <v>19</v>
      </c>
      <c r="E1169" t="s">
        <v>1223</v>
      </c>
      <c r="F1169" t="s">
        <v>21</v>
      </c>
      <c r="G1169" t="s">
        <v>29</v>
      </c>
      <c r="H1169" t="s">
        <v>810</v>
      </c>
    </row>
    <row r="1170" spans="1:8" x14ac:dyDescent="0.3">
      <c r="A1170">
        <v>1169</v>
      </c>
      <c r="B1170" s="3">
        <v>45499.657835648199</v>
      </c>
      <c r="C1170" s="3">
        <v>45474</v>
      </c>
      <c r="D1170" t="s">
        <v>19</v>
      </c>
      <c r="E1170" t="s">
        <v>1224</v>
      </c>
      <c r="F1170" t="s">
        <v>25</v>
      </c>
      <c r="G1170" t="s">
        <v>29</v>
      </c>
      <c r="H1170" t="s">
        <v>30</v>
      </c>
    </row>
    <row r="1171" spans="1:8" x14ac:dyDescent="0.3">
      <c r="A1171">
        <v>1170</v>
      </c>
      <c r="B1171" s="3">
        <v>45499.664236111101</v>
      </c>
      <c r="C1171" s="3">
        <v>45474</v>
      </c>
      <c r="D1171" t="s">
        <v>19</v>
      </c>
      <c r="E1171" t="s">
        <v>1225</v>
      </c>
      <c r="F1171" t="s">
        <v>21</v>
      </c>
      <c r="G1171" t="s">
        <v>22</v>
      </c>
      <c r="H1171" t="s">
        <v>810</v>
      </c>
    </row>
    <row r="1172" spans="1:8" x14ac:dyDescent="0.3">
      <c r="A1172">
        <v>1171</v>
      </c>
      <c r="B1172" s="3">
        <v>45499.744212963</v>
      </c>
      <c r="C1172" s="3">
        <v>45474</v>
      </c>
      <c r="D1172" t="s">
        <v>19</v>
      </c>
      <c r="E1172" t="s">
        <v>1226</v>
      </c>
      <c r="F1172" t="s">
        <v>21</v>
      </c>
      <c r="G1172" t="s">
        <v>22</v>
      </c>
      <c r="H1172" t="s">
        <v>30</v>
      </c>
    </row>
    <row r="1173" spans="1:8" x14ac:dyDescent="0.3">
      <c r="A1173">
        <v>1172</v>
      </c>
      <c r="B1173" s="3">
        <v>45499.756307870397</v>
      </c>
      <c r="C1173" s="3">
        <v>45474</v>
      </c>
      <c r="D1173" t="s">
        <v>19</v>
      </c>
      <c r="E1173" t="s">
        <v>1227</v>
      </c>
      <c r="F1173" t="s">
        <v>21</v>
      </c>
      <c r="G1173" t="s">
        <v>33</v>
      </c>
      <c r="H1173" t="s">
        <v>810</v>
      </c>
    </row>
    <row r="1174" spans="1:8" x14ac:dyDescent="0.3">
      <c r="A1174">
        <v>1173</v>
      </c>
      <c r="B1174" s="3">
        <v>45499.809328703697</v>
      </c>
      <c r="C1174" s="3">
        <v>45474</v>
      </c>
      <c r="D1174" t="s">
        <v>19</v>
      </c>
      <c r="E1174" t="s">
        <v>1228</v>
      </c>
      <c r="F1174" t="s">
        <v>21</v>
      </c>
      <c r="G1174" t="s">
        <v>22</v>
      </c>
      <c r="H1174" t="s">
        <v>810</v>
      </c>
    </row>
    <row r="1175" spans="1:8" x14ac:dyDescent="0.3">
      <c r="A1175">
        <v>1174</v>
      </c>
      <c r="B1175" s="3">
        <v>45499.813703703701</v>
      </c>
      <c r="C1175" s="3">
        <v>45474</v>
      </c>
      <c r="D1175" t="s">
        <v>19</v>
      </c>
      <c r="E1175" t="s">
        <v>1229</v>
      </c>
      <c r="F1175" t="s">
        <v>32</v>
      </c>
      <c r="G1175" t="s">
        <v>110</v>
      </c>
      <c r="H1175" t="s">
        <v>27</v>
      </c>
    </row>
    <row r="1176" spans="1:8" x14ac:dyDescent="0.3">
      <c r="A1176">
        <v>1175</v>
      </c>
      <c r="B1176" s="3">
        <v>45499.816898148201</v>
      </c>
      <c r="C1176" s="3">
        <v>45474</v>
      </c>
      <c r="D1176" t="s">
        <v>19</v>
      </c>
      <c r="E1176" t="s">
        <v>1230</v>
      </c>
      <c r="F1176" t="s">
        <v>32</v>
      </c>
      <c r="G1176" t="s">
        <v>345</v>
      </c>
      <c r="H1176" t="s">
        <v>30</v>
      </c>
    </row>
    <row r="1177" spans="1:8" x14ac:dyDescent="0.3">
      <c r="A1177">
        <v>1176</v>
      </c>
      <c r="B1177" s="3">
        <v>45499.822708333297</v>
      </c>
      <c r="C1177" s="3">
        <v>45474</v>
      </c>
      <c r="D1177" t="s">
        <v>19</v>
      </c>
      <c r="E1177" t="s">
        <v>1231</v>
      </c>
      <c r="F1177" t="s">
        <v>25</v>
      </c>
      <c r="G1177" t="s">
        <v>345</v>
      </c>
      <c r="H1177" t="s">
        <v>30</v>
      </c>
    </row>
    <row r="1178" spans="1:8" x14ac:dyDescent="0.3">
      <c r="A1178">
        <v>1177</v>
      </c>
      <c r="B1178" s="3">
        <v>45499.823159722197</v>
      </c>
      <c r="C1178" s="3">
        <v>45474</v>
      </c>
      <c r="D1178" t="s">
        <v>19</v>
      </c>
      <c r="E1178" t="s">
        <v>1232</v>
      </c>
      <c r="F1178" t="s">
        <v>25</v>
      </c>
      <c r="G1178" t="s">
        <v>26</v>
      </c>
      <c r="H1178" t="s">
        <v>30</v>
      </c>
    </row>
    <row r="1179" spans="1:8" x14ac:dyDescent="0.3">
      <c r="A1179">
        <v>1178</v>
      </c>
      <c r="B1179" s="3">
        <v>45499.827245370398</v>
      </c>
      <c r="C1179" s="3">
        <v>45474</v>
      </c>
      <c r="D1179" t="s">
        <v>19</v>
      </c>
      <c r="E1179" t="s">
        <v>1233</v>
      </c>
      <c r="F1179" t="s">
        <v>25</v>
      </c>
      <c r="G1179" t="s">
        <v>345</v>
      </c>
      <c r="H1179" t="s">
        <v>810</v>
      </c>
    </row>
    <row r="1180" spans="1:8" x14ac:dyDescent="0.3">
      <c r="A1180">
        <v>1179</v>
      </c>
      <c r="B1180" s="3">
        <v>45503.4476041667</v>
      </c>
      <c r="C1180" s="3">
        <v>45474</v>
      </c>
      <c r="D1180" t="s">
        <v>19</v>
      </c>
      <c r="E1180" t="s">
        <v>1234</v>
      </c>
      <c r="F1180" t="s">
        <v>21</v>
      </c>
      <c r="G1180" t="s">
        <v>22</v>
      </c>
      <c r="H1180" t="s">
        <v>30</v>
      </c>
    </row>
    <row r="1181" spans="1:8" x14ac:dyDescent="0.3">
      <c r="A1181">
        <v>1180</v>
      </c>
      <c r="B1181" s="3">
        <v>45504.528576388897</v>
      </c>
      <c r="C1181" s="3">
        <v>45474</v>
      </c>
      <c r="D1181" t="s">
        <v>19</v>
      </c>
      <c r="E1181" t="s">
        <v>1235</v>
      </c>
      <c r="F1181" t="s">
        <v>21</v>
      </c>
      <c r="G1181" t="s">
        <v>22</v>
      </c>
      <c r="H1181" t="s">
        <v>810</v>
      </c>
    </row>
    <row r="1182" spans="1:8" x14ac:dyDescent="0.3">
      <c r="A1182">
        <v>1181</v>
      </c>
      <c r="B1182" s="3">
        <v>45504.722500000003</v>
      </c>
      <c r="C1182" s="3">
        <v>45474</v>
      </c>
      <c r="D1182" t="s">
        <v>19</v>
      </c>
      <c r="E1182" t="s">
        <v>1236</v>
      </c>
      <c r="F1182" t="s">
        <v>21</v>
      </c>
      <c r="G1182" t="s">
        <v>22</v>
      </c>
      <c r="H1182" t="s">
        <v>810</v>
      </c>
    </row>
    <row r="1183" spans="1:8" x14ac:dyDescent="0.3">
      <c r="A1183">
        <v>1182</v>
      </c>
      <c r="B1183" s="3">
        <v>45504.780162037001</v>
      </c>
      <c r="C1183" s="3">
        <v>45474</v>
      </c>
      <c r="D1183" t="s">
        <v>19</v>
      </c>
      <c r="E1183" t="s">
        <v>1237</v>
      </c>
      <c r="F1183" t="s">
        <v>25</v>
      </c>
      <c r="G1183" t="s">
        <v>26</v>
      </c>
      <c r="H1183" t="s">
        <v>810</v>
      </c>
    </row>
    <row r="1184" spans="1:8" x14ac:dyDescent="0.3">
      <c r="A1184">
        <v>1183</v>
      </c>
      <c r="B1184" s="3">
        <v>45504.7815625</v>
      </c>
      <c r="C1184" s="3">
        <v>45474</v>
      </c>
      <c r="D1184" t="s">
        <v>19</v>
      </c>
      <c r="E1184" t="s">
        <v>1238</v>
      </c>
      <c r="F1184" t="s">
        <v>21</v>
      </c>
      <c r="G1184" t="s">
        <v>22</v>
      </c>
      <c r="H1184" t="s">
        <v>30</v>
      </c>
    </row>
    <row r="1185" spans="1:8" x14ac:dyDescent="0.3">
      <c r="A1185">
        <v>1184</v>
      </c>
      <c r="B1185" s="3">
        <v>45504.8422685185</v>
      </c>
      <c r="C1185" s="3">
        <v>45474</v>
      </c>
      <c r="D1185" t="s">
        <v>19</v>
      </c>
      <c r="E1185" t="s">
        <v>1239</v>
      </c>
      <c r="F1185" t="s">
        <v>32</v>
      </c>
      <c r="G1185" t="s">
        <v>69</v>
      </c>
      <c r="H1185" t="s">
        <v>30</v>
      </c>
    </row>
    <row r="1186" spans="1:8" x14ac:dyDescent="0.3">
      <c r="A1186">
        <v>1185</v>
      </c>
      <c r="B1186" s="3">
        <v>45504.8432523148</v>
      </c>
      <c r="C1186" s="3">
        <v>45474</v>
      </c>
      <c r="D1186" t="s">
        <v>19</v>
      </c>
      <c r="E1186" t="s">
        <v>1240</v>
      </c>
      <c r="F1186" t="s">
        <v>21</v>
      </c>
      <c r="G1186" t="s">
        <v>317</v>
      </c>
      <c r="H1186" t="s">
        <v>27</v>
      </c>
    </row>
    <row r="1187" spans="1:8" x14ac:dyDescent="0.3">
      <c r="A1187">
        <v>1186</v>
      </c>
      <c r="B1187" s="3">
        <v>45504.844259259298</v>
      </c>
      <c r="C1187" s="3">
        <v>45474</v>
      </c>
      <c r="D1187" t="s">
        <v>19</v>
      </c>
      <c r="E1187" t="s">
        <v>1241</v>
      </c>
      <c r="F1187" t="s">
        <v>21</v>
      </c>
      <c r="G1187" t="s">
        <v>317</v>
      </c>
      <c r="H1187" t="s">
        <v>30</v>
      </c>
    </row>
    <row r="1188" spans="1:8" x14ac:dyDescent="0.3">
      <c r="A1188">
        <v>1187</v>
      </c>
      <c r="B1188" s="3">
        <v>45514.5147222222</v>
      </c>
      <c r="C1188" s="3">
        <v>45505</v>
      </c>
      <c r="D1188" t="s">
        <v>19</v>
      </c>
      <c r="E1188" t="s">
        <v>1242</v>
      </c>
      <c r="F1188" t="s">
        <v>32</v>
      </c>
      <c r="G1188" t="s">
        <v>69</v>
      </c>
      <c r="H1188" t="s">
        <v>810</v>
      </c>
    </row>
    <row r="1189" spans="1:8" x14ac:dyDescent="0.3">
      <c r="A1189">
        <v>1188</v>
      </c>
      <c r="B1189" s="3">
        <v>45514.522430555597</v>
      </c>
      <c r="C1189" s="3">
        <v>45505</v>
      </c>
      <c r="D1189" t="s">
        <v>19</v>
      </c>
      <c r="E1189" t="s">
        <v>1243</v>
      </c>
      <c r="F1189" t="s">
        <v>32</v>
      </c>
      <c r="G1189" t="s">
        <v>345</v>
      </c>
      <c r="H1189" t="s">
        <v>27</v>
      </c>
    </row>
    <row r="1190" spans="1:8" x14ac:dyDescent="0.3">
      <c r="A1190">
        <v>1189</v>
      </c>
      <c r="B1190" s="3">
        <v>45516.713576388902</v>
      </c>
      <c r="C1190" s="3">
        <v>45505</v>
      </c>
      <c r="D1190" t="s">
        <v>19</v>
      </c>
      <c r="E1190" t="s">
        <v>1244</v>
      </c>
      <c r="F1190" t="s">
        <v>40</v>
      </c>
      <c r="G1190" t="s">
        <v>48</v>
      </c>
      <c r="H1190" t="s">
        <v>30</v>
      </c>
    </row>
    <row r="1191" spans="1:8" x14ac:dyDescent="0.3">
      <c r="A1191">
        <v>1190</v>
      </c>
      <c r="B1191" s="3">
        <v>45518.483530092599</v>
      </c>
      <c r="C1191" s="3">
        <v>45505</v>
      </c>
      <c r="D1191" t="s">
        <v>19</v>
      </c>
      <c r="E1191" t="s">
        <v>1245</v>
      </c>
      <c r="F1191" t="s">
        <v>25</v>
      </c>
      <c r="G1191" t="s">
        <v>26</v>
      </c>
      <c r="H1191" t="s">
        <v>810</v>
      </c>
    </row>
    <row r="1192" spans="1:8" x14ac:dyDescent="0.3">
      <c r="A1192">
        <v>1191</v>
      </c>
      <c r="B1192" s="3">
        <v>45518.685937499999</v>
      </c>
      <c r="C1192" s="3">
        <v>45505</v>
      </c>
      <c r="D1192" t="s">
        <v>19</v>
      </c>
      <c r="E1192" t="s">
        <v>1246</v>
      </c>
      <c r="F1192" t="s">
        <v>21</v>
      </c>
      <c r="G1192" t="s">
        <v>22</v>
      </c>
      <c r="H1192" t="s">
        <v>27</v>
      </c>
    </row>
    <row r="1193" spans="1:8" x14ac:dyDescent="0.3">
      <c r="A1193">
        <v>1192</v>
      </c>
      <c r="B1193" s="3">
        <v>45518.7128703704</v>
      </c>
      <c r="C1193" s="3">
        <v>45505</v>
      </c>
      <c r="D1193" t="s">
        <v>19</v>
      </c>
      <c r="E1193" t="s">
        <v>1247</v>
      </c>
      <c r="F1193" t="s">
        <v>25</v>
      </c>
      <c r="G1193" t="s">
        <v>29</v>
      </c>
      <c r="H1193" t="s">
        <v>27</v>
      </c>
    </row>
    <row r="1194" spans="1:8" x14ac:dyDescent="0.3">
      <c r="A1194">
        <v>1193</v>
      </c>
      <c r="B1194" s="3">
        <v>45526.586574074099</v>
      </c>
      <c r="C1194" s="3">
        <v>45505</v>
      </c>
      <c r="D1194" t="s">
        <v>19</v>
      </c>
      <c r="E1194" t="s">
        <v>1248</v>
      </c>
      <c r="F1194" t="s">
        <v>25</v>
      </c>
      <c r="G1194" t="s">
        <v>26</v>
      </c>
      <c r="H1194" t="s">
        <v>810</v>
      </c>
    </row>
    <row r="1195" spans="1:8" x14ac:dyDescent="0.3">
      <c r="A1195">
        <v>1194</v>
      </c>
      <c r="B1195" s="3">
        <v>45528.590682870403</v>
      </c>
      <c r="C1195" s="3">
        <v>45505</v>
      </c>
      <c r="D1195" t="s">
        <v>19</v>
      </c>
      <c r="E1195" t="s">
        <v>1249</v>
      </c>
      <c r="F1195" t="s">
        <v>21</v>
      </c>
      <c r="G1195" t="s">
        <v>29</v>
      </c>
      <c r="H1195" t="s">
        <v>810</v>
      </c>
    </row>
    <row r="1196" spans="1:8" x14ac:dyDescent="0.3">
      <c r="A1196">
        <v>1195</v>
      </c>
      <c r="B1196" s="3">
        <v>45528.5924884259</v>
      </c>
      <c r="C1196" s="3">
        <v>45505</v>
      </c>
      <c r="D1196" t="s">
        <v>19</v>
      </c>
      <c r="E1196" t="s">
        <v>1250</v>
      </c>
      <c r="F1196" t="s">
        <v>21</v>
      </c>
      <c r="G1196" t="s">
        <v>69</v>
      </c>
      <c r="H1196" t="s">
        <v>30</v>
      </c>
    </row>
    <row r="1197" spans="1:8" x14ac:dyDescent="0.3">
      <c r="A1197">
        <v>1196</v>
      </c>
      <c r="B1197" s="3">
        <v>45528.611400463</v>
      </c>
      <c r="C1197" s="3">
        <v>45505</v>
      </c>
      <c r="D1197" t="s">
        <v>19</v>
      </c>
      <c r="E1197" t="s">
        <v>1251</v>
      </c>
      <c r="F1197" t="s">
        <v>40</v>
      </c>
      <c r="G1197" t="s">
        <v>48</v>
      </c>
      <c r="H1197" t="s">
        <v>810</v>
      </c>
    </row>
    <row r="1198" spans="1:8" x14ac:dyDescent="0.3">
      <c r="A1198">
        <v>1197</v>
      </c>
      <c r="B1198" s="3">
        <v>45528.612662036998</v>
      </c>
      <c r="C1198" s="3">
        <v>45505</v>
      </c>
      <c r="D1198" t="s">
        <v>19</v>
      </c>
      <c r="E1198" t="s">
        <v>1252</v>
      </c>
      <c r="F1198" t="s">
        <v>21</v>
      </c>
      <c r="G1198" t="s">
        <v>22</v>
      </c>
      <c r="H1198" t="s">
        <v>810</v>
      </c>
    </row>
    <row r="1199" spans="1:8" x14ac:dyDescent="0.3">
      <c r="A1199">
        <v>1198</v>
      </c>
      <c r="B1199" s="3">
        <v>45530.759305555599</v>
      </c>
      <c r="C1199" s="3">
        <v>45505</v>
      </c>
      <c r="D1199" t="s">
        <v>19</v>
      </c>
      <c r="E1199" t="s">
        <v>1253</v>
      </c>
      <c r="F1199" t="s">
        <v>32</v>
      </c>
      <c r="G1199" t="s">
        <v>69</v>
      </c>
      <c r="H1199" t="s">
        <v>810</v>
      </c>
    </row>
    <row r="1200" spans="1:8" x14ac:dyDescent="0.3">
      <c r="A1200">
        <v>1199</v>
      </c>
      <c r="B1200" s="3">
        <v>45530.7653125</v>
      </c>
      <c r="C1200" s="3">
        <v>45505</v>
      </c>
      <c r="D1200" t="s">
        <v>19</v>
      </c>
      <c r="E1200" t="s">
        <v>1254</v>
      </c>
      <c r="F1200" t="s">
        <v>21</v>
      </c>
      <c r="G1200" t="s">
        <v>29</v>
      </c>
      <c r="H1200" t="s">
        <v>30</v>
      </c>
    </row>
    <row r="1201" spans="1:8" x14ac:dyDescent="0.3">
      <c r="A1201">
        <v>1200</v>
      </c>
      <c r="B1201" s="3">
        <v>45530.766145833302</v>
      </c>
      <c r="C1201" s="3">
        <v>45505</v>
      </c>
      <c r="D1201" t="s">
        <v>19</v>
      </c>
      <c r="E1201" t="s">
        <v>1255</v>
      </c>
      <c r="F1201" t="s">
        <v>21</v>
      </c>
      <c r="G1201" t="s">
        <v>22</v>
      </c>
      <c r="H1201" t="s">
        <v>30</v>
      </c>
    </row>
    <row r="1202" spans="1:8" x14ac:dyDescent="0.3">
      <c r="A1202">
        <v>1201</v>
      </c>
      <c r="B1202" s="3">
        <v>45530.7746990741</v>
      </c>
      <c r="C1202" s="3">
        <v>45505</v>
      </c>
      <c r="D1202" t="s">
        <v>19</v>
      </c>
      <c r="E1202" t="s">
        <v>1256</v>
      </c>
      <c r="F1202" t="s">
        <v>25</v>
      </c>
      <c r="G1202" t="s">
        <v>26</v>
      </c>
      <c r="H1202" t="s">
        <v>810</v>
      </c>
    </row>
    <row r="1203" spans="1:8" x14ac:dyDescent="0.3">
      <c r="A1203">
        <v>1202</v>
      </c>
      <c r="B1203" s="3">
        <v>45531.718900462998</v>
      </c>
      <c r="C1203" s="3">
        <v>45505</v>
      </c>
      <c r="D1203" t="s">
        <v>19</v>
      </c>
      <c r="E1203" t="s">
        <v>1257</v>
      </c>
      <c r="F1203" t="s">
        <v>21</v>
      </c>
      <c r="G1203" t="s">
        <v>22</v>
      </c>
      <c r="H1203" t="s">
        <v>810</v>
      </c>
    </row>
    <row r="1204" spans="1:8" x14ac:dyDescent="0.3">
      <c r="A1204">
        <v>1203</v>
      </c>
      <c r="B1204" s="3">
        <v>45531.760185185201</v>
      </c>
      <c r="C1204" s="3">
        <v>45505</v>
      </c>
      <c r="D1204" t="s">
        <v>19</v>
      </c>
      <c r="E1204" t="s">
        <v>1258</v>
      </c>
      <c r="F1204" t="s">
        <v>21</v>
      </c>
      <c r="G1204" t="s">
        <v>22</v>
      </c>
      <c r="H1204" t="s">
        <v>30</v>
      </c>
    </row>
    <row r="1205" spans="1:8" x14ac:dyDescent="0.3">
      <c r="A1205">
        <v>1204</v>
      </c>
      <c r="B1205" s="3">
        <v>45533.6968402778</v>
      </c>
      <c r="C1205" s="3">
        <v>45505</v>
      </c>
      <c r="D1205" t="s">
        <v>19</v>
      </c>
      <c r="E1205" t="s">
        <v>1259</v>
      </c>
      <c r="F1205" t="s">
        <v>21</v>
      </c>
      <c r="G1205" t="s">
        <v>345</v>
      </c>
      <c r="H1205" t="s">
        <v>27</v>
      </c>
    </row>
    <row r="1206" spans="1:8" x14ac:dyDescent="0.3">
      <c r="A1206">
        <v>1205</v>
      </c>
      <c r="B1206" s="3">
        <v>45533.711863425902</v>
      </c>
      <c r="C1206" s="3">
        <v>45505</v>
      </c>
      <c r="D1206" t="s">
        <v>19</v>
      </c>
      <c r="E1206" t="s">
        <v>1260</v>
      </c>
      <c r="F1206" t="s">
        <v>21</v>
      </c>
      <c r="G1206" t="s">
        <v>29</v>
      </c>
      <c r="H1206" t="s">
        <v>810</v>
      </c>
    </row>
    <row r="1207" spans="1:8" x14ac:dyDescent="0.3">
      <c r="A1207">
        <v>1206</v>
      </c>
      <c r="B1207" s="3">
        <v>45534.681412037004</v>
      </c>
      <c r="C1207" s="3">
        <v>45505</v>
      </c>
      <c r="D1207" t="s">
        <v>19</v>
      </c>
      <c r="E1207" t="s">
        <v>1261</v>
      </c>
      <c r="F1207" t="s">
        <v>21</v>
      </c>
      <c r="G1207" t="s">
        <v>29</v>
      </c>
      <c r="H1207" t="s">
        <v>810</v>
      </c>
    </row>
    <row r="1208" spans="1:8" x14ac:dyDescent="0.3">
      <c r="A1208">
        <v>1207</v>
      </c>
      <c r="B1208" s="3">
        <v>45534.689490740697</v>
      </c>
      <c r="C1208" s="3">
        <v>45505</v>
      </c>
      <c r="D1208" t="s">
        <v>19</v>
      </c>
      <c r="E1208" t="s">
        <v>1262</v>
      </c>
      <c r="F1208" t="s">
        <v>25</v>
      </c>
      <c r="G1208" t="s">
        <v>22</v>
      </c>
      <c r="H1208" t="s">
        <v>234</v>
      </c>
    </row>
    <row r="1209" spans="1:8" x14ac:dyDescent="0.3">
      <c r="A1209">
        <v>1208</v>
      </c>
      <c r="B1209" s="3">
        <v>45535.647870370398</v>
      </c>
      <c r="C1209" s="3">
        <v>45505</v>
      </c>
      <c r="D1209" t="s">
        <v>19</v>
      </c>
      <c r="E1209" t="s">
        <v>1263</v>
      </c>
      <c r="F1209" t="s">
        <v>25</v>
      </c>
      <c r="G1209" t="s">
        <v>317</v>
      </c>
      <c r="H1209" t="s">
        <v>810</v>
      </c>
    </row>
    <row r="1210" spans="1:8" x14ac:dyDescent="0.3">
      <c r="A1210">
        <v>1209</v>
      </c>
      <c r="B1210" s="3">
        <v>45535.668553240699</v>
      </c>
      <c r="C1210" s="3">
        <v>45505</v>
      </c>
      <c r="D1210" t="s">
        <v>19</v>
      </c>
      <c r="E1210" t="s">
        <v>1264</v>
      </c>
      <c r="F1210" t="s">
        <v>21</v>
      </c>
      <c r="G1210" t="s">
        <v>264</v>
      </c>
      <c r="H1210" t="s">
        <v>810</v>
      </c>
    </row>
    <row r="1211" spans="1:8" x14ac:dyDescent="0.3">
      <c r="A1211">
        <v>1210</v>
      </c>
      <c r="B1211" s="3">
        <v>45535.785347222198</v>
      </c>
      <c r="C1211" s="3">
        <v>45505</v>
      </c>
      <c r="D1211" t="s">
        <v>19</v>
      </c>
      <c r="E1211" t="s">
        <v>1265</v>
      </c>
      <c r="F1211" t="s">
        <v>25</v>
      </c>
      <c r="G1211" t="s">
        <v>1266</v>
      </c>
      <c r="H1211" t="s">
        <v>27</v>
      </c>
    </row>
    <row r="1212" spans="1:8" x14ac:dyDescent="0.3">
      <c r="A1212">
        <v>1211</v>
      </c>
      <c r="B1212" s="3">
        <v>45535.787685185198</v>
      </c>
      <c r="C1212" s="3">
        <v>45505</v>
      </c>
      <c r="D1212" t="s">
        <v>19</v>
      </c>
      <c r="E1212" t="s">
        <v>1267</v>
      </c>
      <c r="F1212" t="s">
        <v>21</v>
      </c>
      <c r="G1212" t="s">
        <v>22</v>
      </c>
      <c r="H1212" t="s">
        <v>30</v>
      </c>
    </row>
    <row r="1213" spans="1:8" x14ac:dyDescent="0.3">
      <c r="A1213">
        <v>1212</v>
      </c>
      <c r="B1213" s="3">
        <v>45535.795729166697</v>
      </c>
      <c r="C1213" s="3">
        <v>45505</v>
      </c>
      <c r="D1213" t="s">
        <v>19</v>
      </c>
      <c r="E1213" t="s">
        <v>1268</v>
      </c>
      <c r="F1213" t="s">
        <v>21</v>
      </c>
      <c r="G1213" t="s">
        <v>22</v>
      </c>
      <c r="H1213" t="s">
        <v>810</v>
      </c>
    </row>
    <row r="1214" spans="1:8" x14ac:dyDescent="0.3">
      <c r="A1214">
        <v>1213</v>
      </c>
      <c r="B1214" s="3">
        <v>45535.798877314803</v>
      </c>
      <c r="C1214" s="3">
        <v>45505</v>
      </c>
      <c r="D1214" t="s">
        <v>19</v>
      </c>
      <c r="E1214" t="s">
        <v>1269</v>
      </c>
      <c r="F1214" t="s">
        <v>25</v>
      </c>
      <c r="G1214" t="s">
        <v>58</v>
      </c>
      <c r="H1214" t="s">
        <v>27</v>
      </c>
    </row>
    <row r="1215" spans="1:8" x14ac:dyDescent="0.3">
      <c r="A1215">
        <v>1214</v>
      </c>
      <c r="B1215" s="3">
        <v>45535.805682870399</v>
      </c>
      <c r="C1215" s="3">
        <v>45505</v>
      </c>
      <c r="D1215" t="s">
        <v>19</v>
      </c>
      <c r="E1215" t="s">
        <v>1270</v>
      </c>
      <c r="F1215" t="s">
        <v>21</v>
      </c>
      <c r="G1215" t="s">
        <v>29</v>
      </c>
      <c r="H1215" t="s">
        <v>27</v>
      </c>
    </row>
    <row r="1216" spans="1:8" x14ac:dyDescent="0.3">
      <c r="A1216">
        <v>1215</v>
      </c>
      <c r="B1216" s="3">
        <v>45535.806701388901</v>
      </c>
      <c r="C1216" s="3">
        <v>45505</v>
      </c>
      <c r="D1216" t="s">
        <v>19</v>
      </c>
      <c r="E1216" t="s">
        <v>1271</v>
      </c>
      <c r="F1216" t="s">
        <v>32</v>
      </c>
      <c r="G1216" t="s">
        <v>69</v>
      </c>
      <c r="H1216" t="s">
        <v>810</v>
      </c>
    </row>
    <row r="1217" spans="1:8" x14ac:dyDescent="0.3">
      <c r="A1217">
        <v>1216</v>
      </c>
      <c r="B1217" s="3">
        <v>45535.835150462997</v>
      </c>
      <c r="C1217" s="3">
        <v>45505</v>
      </c>
      <c r="D1217" t="s">
        <v>19</v>
      </c>
      <c r="E1217" t="s">
        <v>1272</v>
      </c>
      <c r="F1217" t="s">
        <v>25</v>
      </c>
      <c r="G1217" t="s">
        <v>26</v>
      </c>
      <c r="H1217" t="s">
        <v>810</v>
      </c>
    </row>
    <row r="1218" spans="1:8" x14ac:dyDescent="0.3">
      <c r="A1218">
        <v>1217</v>
      </c>
      <c r="B1218" s="3">
        <v>45535.836574074099</v>
      </c>
      <c r="C1218" s="3">
        <v>45505</v>
      </c>
      <c r="D1218" t="s">
        <v>19</v>
      </c>
      <c r="E1218" t="s">
        <v>1273</v>
      </c>
      <c r="F1218" t="s">
        <v>21</v>
      </c>
      <c r="G1218" t="s">
        <v>29</v>
      </c>
      <c r="H1218" t="s">
        <v>30</v>
      </c>
    </row>
    <row r="1219" spans="1:8" x14ac:dyDescent="0.3">
      <c r="A1219">
        <v>1218</v>
      </c>
      <c r="B1219" s="3">
        <v>45535.8375578704</v>
      </c>
      <c r="C1219" s="3">
        <v>45505</v>
      </c>
      <c r="D1219" t="s">
        <v>19</v>
      </c>
      <c r="E1219" t="s">
        <v>1274</v>
      </c>
      <c r="F1219" t="s">
        <v>21</v>
      </c>
      <c r="G1219" t="s">
        <v>29</v>
      </c>
      <c r="H1219" t="s">
        <v>30</v>
      </c>
    </row>
    <row r="1220" spans="1:8" x14ac:dyDescent="0.3">
      <c r="A1220">
        <v>1219</v>
      </c>
      <c r="B1220" s="3">
        <v>45535.841979166697</v>
      </c>
      <c r="C1220" s="3">
        <v>45505</v>
      </c>
      <c r="D1220" t="s">
        <v>19</v>
      </c>
      <c r="E1220" t="s">
        <v>1275</v>
      </c>
      <c r="F1220" t="s">
        <v>21</v>
      </c>
      <c r="G1220" t="s">
        <v>22</v>
      </c>
      <c r="H1220" t="s">
        <v>30</v>
      </c>
    </row>
    <row r="1221" spans="1:8" x14ac:dyDescent="0.3">
      <c r="A1221">
        <v>1220</v>
      </c>
      <c r="B1221" s="3">
        <v>45535.853587963</v>
      </c>
      <c r="C1221" s="3">
        <v>45505</v>
      </c>
      <c r="D1221" t="s">
        <v>19</v>
      </c>
      <c r="E1221" t="s">
        <v>1276</v>
      </c>
      <c r="F1221" t="s">
        <v>21</v>
      </c>
      <c r="G1221" t="s">
        <v>22</v>
      </c>
      <c r="H1221" t="s">
        <v>810</v>
      </c>
    </row>
    <row r="1222" spans="1:8" x14ac:dyDescent="0.3">
      <c r="A1222">
        <v>1221</v>
      </c>
      <c r="B1222" s="3">
        <v>45535.886666666702</v>
      </c>
      <c r="C1222" s="3">
        <v>45505</v>
      </c>
      <c r="D1222" t="s">
        <v>19</v>
      </c>
      <c r="E1222" t="s">
        <v>1277</v>
      </c>
      <c r="F1222" t="s">
        <v>21</v>
      </c>
      <c r="G1222" t="s">
        <v>22</v>
      </c>
      <c r="H1222" t="s">
        <v>810</v>
      </c>
    </row>
    <row r="1223" spans="1:8" x14ac:dyDescent="0.3">
      <c r="A1223">
        <v>1222</v>
      </c>
      <c r="B1223" s="3">
        <v>45535.888842592598</v>
      </c>
      <c r="C1223" s="3">
        <v>45505</v>
      </c>
      <c r="D1223" t="s">
        <v>19</v>
      </c>
      <c r="E1223" t="s">
        <v>1278</v>
      </c>
      <c r="F1223" t="s">
        <v>32</v>
      </c>
      <c r="G1223" t="s">
        <v>69</v>
      </c>
      <c r="H1223" t="s">
        <v>30</v>
      </c>
    </row>
    <row r="1224" spans="1:8" x14ac:dyDescent="0.3">
      <c r="A1224">
        <v>1223</v>
      </c>
      <c r="B1224" s="3">
        <v>45535.890104166698</v>
      </c>
      <c r="C1224" s="3">
        <v>45505</v>
      </c>
      <c r="D1224" t="s">
        <v>19</v>
      </c>
      <c r="E1224" t="s">
        <v>1279</v>
      </c>
      <c r="F1224" t="s">
        <v>40</v>
      </c>
      <c r="G1224" t="s">
        <v>75</v>
      </c>
      <c r="H1224" t="s">
        <v>234</v>
      </c>
    </row>
    <row r="1225" spans="1:8" x14ac:dyDescent="0.3">
      <c r="A1225">
        <v>1224</v>
      </c>
      <c r="B1225" s="3">
        <v>45535.891597222202</v>
      </c>
      <c r="C1225" s="3">
        <v>45505</v>
      </c>
      <c r="D1225" t="s">
        <v>19</v>
      </c>
      <c r="E1225" t="s">
        <v>1280</v>
      </c>
      <c r="F1225" t="s">
        <v>21</v>
      </c>
      <c r="G1225" t="s">
        <v>22</v>
      </c>
      <c r="H1225" t="s">
        <v>27</v>
      </c>
    </row>
    <row r="1226" spans="1:8" x14ac:dyDescent="0.3">
      <c r="A1226">
        <v>1225</v>
      </c>
      <c r="B1226" s="3">
        <v>45535.894745370402</v>
      </c>
      <c r="C1226" s="3">
        <v>45505</v>
      </c>
      <c r="D1226" t="s">
        <v>19</v>
      </c>
      <c r="E1226" t="s">
        <v>1281</v>
      </c>
      <c r="F1226" t="s">
        <v>25</v>
      </c>
      <c r="G1226" t="s">
        <v>26</v>
      </c>
      <c r="H1226" t="s">
        <v>27</v>
      </c>
    </row>
    <row r="1227" spans="1:8" x14ac:dyDescent="0.3">
      <c r="A1227">
        <v>1226</v>
      </c>
      <c r="B1227" s="3">
        <v>45542.669398148202</v>
      </c>
      <c r="C1227" s="3">
        <v>45536</v>
      </c>
      <c r="D1227" t="s">
        <v>19</v>
      </c>
      <c r="E1227" t="s">
        <v>1282</v>
      </c>
      <c r="F1227" t="s">
        <v>25</v>
      </c>
      <c r="G1227" t="s">
        <v>345</v>
      </c>
      <c r="H1227" t="s">
        <v>810</v>
      </c>
    </row>
    <row r="1228" spans="1:8" x14ac:dyDescent="0.3">
      <c r="A1228">
        <v>1227</v>
      </c>
      <c r="B1228" s="3">
        <v>45547.534479166701</v>
      </c>
      <c r="C1228" s="3">
        <v>45536</v>
      </c>
      <c r="D1228" t="s">
        <v>19</v>
      </c>
      <c r="E1228" t="s">
        <v>1283</v>
      </c>
      <c r="F1228" t="s">
        <v>21</v>
      </c>
      <c r="G1228" t="s">
        <v>29</v>
      </c>
      <c r="H1228" t="s">
        <v>27</v>
      </c>
    </row>
    <row r="1229" spans="1:8" x14ac:dyDescent="0.3">
      <c r="A1229">
        <v>1228</v>
      </c>
      <c r="B1229" s="3">
        <v>45548.567314814798</v>
      </c>
      <c r="C1229" s="3">
        <v>45536</v>
      </c>
      <c r="D1229" t="s">
        <v>19</v>
      </c>
      <c r="E1229" t="s">
        <v>1284</v>
      </c>
      <c r="F1229" t="s">
        <v>21</v>
      </c>
      <c r="G1229" t="s">
        <v>22</v>
      </c>
      <c r="H1229" t="s">
        <v>30</v>
      </c>
    </row>
    <row r="1230" spans="1:8" x14ac:dyDescent="0.3">
      <c r="A1230">
        <v>1229</v>
      </c>
      <c r="B1230" s="3">
        <v>45548.656018518501</v>
      </c>
      <c r="C1230" s="3">
        <v>45536</v>
      </c>
      <c r="D1230" t="s">
        <v>19</v>
      </c>
      <c r="E1230" t="s">
        <v>1285</v>
      </c>
      <c r="F1230" t="s">
        <v>25</v>
      </c>
      <c r="G1230" t="s">
        <v>26</v>
      </c>
      <c r="H1230" t="s">
        <v>810</v>
      </c>
    </row>
    <row r="1231" spans="1:8" x14ac:dyDescent="0.3">
      <c r="A1231">
        <v>1230</v>
      </c>
      <c r="B1231" s="3">
        <v>45554.733171296299</v>
      </c>
      <c r="C1231" s="3">
        <v>45536</v>
      </c>
      <c r="D1231" t="s">
        <v>19</v>
      </c>
      <c r="E1231" t="s">
        <v>1286</v>
      </c>
      <c r="F1231" t="s">
        <v>21</v>
      </c>
      <c r="G1231" t="s">
        <v>22</v>
      </c>
      <c r="H1231" t="s">
        <v>30</v>
      </c>
    </row>
    <row r="1232" spans="1:8" x14ac:dyDescent="0.3">
      <c r="A1232">
        <v>1231</v>
      </c>
      <c r="B1232" s="3">
        <v>45559.720219907402</v>
      </c>
      <c r="C1232" s="3">
        <v>45536</v>
      </c>
      <c r="D1232" t="s">
        <v>19</v>
      </c>
      <c r="E1232" t="s">
        <v>1287</v>
      </c>
      <c r="F1232" t="s">
        <v>25</v>
      </c>
      <c r="G1232" t="s">
        <v>69</v>
      </c>
      <c r="H1232" t="s">
        <v>30</v>
      </c>
    </row>
    <row r="1233" spans="1:8" x14ac:dyDescent="0.3">
      <c r="A1233">
        <v>1232</v>
      </c>
      <c r="B1233" s="3">
        <v>45560.6581365741</v>
      </c>
      <c r="C1233" s="3">
        <v>45536</v>
      </c>
      <c r="D1233" t="s">
        <v>19</v>
      </c>
      <c r="E1233" t="s">
        <v>1288</v>
      </c>
      <c r="F1233" t="s">
        <v>40</v>
      </c>
      <c r="G1233" t="s">
        <v>58</v>
      </c>
      <c r="H1233" t="s">
        <v>810</v>
      </c>
    </row>
    <row r="1234" spans="1:8" x14ac:dyDescent="0.3">
      <c r="A1234">
        <v>1233</v>
      </c>
      <c r="B1234" s="3">
        <v>45561.687337962998</v>
      </c>
      <c r="C1234" s="3">
        <v>45536</v>
      </c>
      <c r="D1234" t="s">
        <v>19</v>
      </c>
      <c r="E1234" t="s">
        <v>1289</v>
      </c>
      <c r="F1234" t="s">
        <v>21</v>
      </c>
      <c r="G1234" t="s">
        <v>29</v>
      </c>
      <c r="H1234" t="s">
        <v>30</v>
      </c>
    </row>
    <row r="1235" spans="1:8" x14ac:dyDescent="0.3">
      <c r="A1235">
        <v>1234</v>
      </c>
      <c r="B1235" s="3">
        <v>45561.718958333302</v>
      </c>
      <c r="C1235" s="3">
        <v>45536</v>
      </c>
      <c r="D1235" t="s">
        <v>19</v>
      </c>
      <c r="E1235" t="s">
        <v>1290</v>
      </c>
      <c r="F1235" t="s">
        <v>21</v>
      </c>
      <c r="G1235" t="s">
        <v>22</v>
      </c>
      <c r="H1235" t="s">
        <v>27</v>
      </c>
    </row>
    <row r="1236" spans="1:8" x14ac:dyDescent="0.3">
      <c r="A1236">
        <v>1235</v>
      </c>
      <c r="B1236" s="3">
        <v>45561.720185185201</v>
      </c>
      <c r="C1236" s="3">
        <v>45536</v>
      </c>
      <c r="D1236" t="s">
        <v>19</v>
      </c>
      <c r="E1236" t="s">
        <v>1291</v>
      </c>
      <c r="F1236" t="s">
        <v>40</v>
      </c>
      <c r="G1236" t="s">
        <v>75</v>
      </c>
      <c r="H1236" t="s">
        <v>810</v>
      </c>
    </row>
    <row r="1237" spans="1:8" x14ac:dyDescent="0.3">
      <c r="A1237">
        <v>1236</v>
      </c>
      <c r="B1237" s="3">
        <v>45561.746666666702</v>
      </c>
      <c r="C1237" s="3">
        <v>45536</v>
      </c>
      <c r="D1237" t="s">
        <v>19</v>
      </c>
      <c r="E1237" t="s">
        <v>1292</v>
      </c>
      <c r="F1237" t="s">
        <v>32</v>
      </c>
      <c r="G1237" t="s">
        <v>33</v>
      </c>
      <c r="H1237" t="s">
        <v>30</v>
      </c>
    </row>
    <row r="1238" spans="1:8" x14ac:dyDescent="0.3">
      <c r="A1238">
        <v>1237</v>
      </c>
      <c r="B1238" s="3">
        <v>45561.7488310185</v>
      </c>
      <c r="C1238" s="3">
        <v>45536</v>
      </c>
      <c r="D1238" t="s">
        <v>19</v>
      </c>
      <c r="E1238" t="s">
        <v>1293</v>
      </c>
      <c r="F1238" t="s">
        <v>25</v>
      </c>
      <c r="G1238" t="s">
        <v>593</v>
      </c>
      <c r="H1238" t="s">
        <v>27</v>
      </c>
    </row>
    <row r="1239" spans="1:8" x14ac:dyDescent="0.3">
      <c r="A1239">
        <v>1238</v>
      </c>
      <c r="B1239" s="3">
        <v>45561.752685185202</v>
      </c>
      <c r="C1239" s="3">
        <v>45536</v>
      </c>
      <c r="D1239" t="s">
        <v>19</v>
      </c>
      <c r="E1239" t="s">
        <v>1294</v>
      </c>
      <c r="F1239" t="s">
        <v>32</v>
      </c>
      <c r="G1239" t="s">
        <v>69</v>
      </c>
      <c r="H1239" t="s">
        <v>810</v>
      </c>
    </row>
    <row r="1240" spans="1:8" x14ac:dyDescent="0.3">
      <c r="A1240">
        <v>1239</v>
      </c>
      <c r="B1240" s="3">
        <v>45561.753564814797</v>
      </c>
      <c r="C1240" s="3">
        <v>45536</v>
      </c>
      <c r="D1240" t="s">
        <v>19</v>
      </c>
      <c r="E1240" t="s">
        <v>1295</v>
      </c>
      <c r="F1240" t="s">
        <v>25</v>
      </c>
      <c r="G1240" t="s">
        <v>69</v>
      </c>
      <c r="H1240" t="s">
        <v>27</v>
      </c>
    </row>
    <row r="1241" spans="1:8" x14ac:dyDescent="0.3">
      <c r="A1241">
        <v>1240</v>
      </c>
      <c r="B1241" s="3">
        <v>45561.770162036999</v>
      </c>
      <c r="C1241" s="3">
        <v>45536</v>
      </c>
      <c r="D1241" t="s">
        <v>19</v>
      </c>
      <c r="E1241" t="s">
        <v>1296</v>
      </c>
      <c r="F1241" t="s">
        <v>21</v>
      </c>
      <c r="G1241" t="s">
        <v>29</v>
      </c>
      <c r="H1241" t="s">
        <v>810</v>
      </c>
    </row>
    <row r="1242" spans="1:8" x14ac:dyDescent="0.3">
      <c r="A1242">
        <v>1241</v>
      </c>
      <c r="B1242" s="3">
        <v>45561.771284722199</v>
      </c>
      <c r="C1242" s="3">
        <v>45536</v>
      </c>
      <c r="D1242" t="s">
        <v>19</v>
      </c>
      <c r="E1242" t="s">
        <v>1297</v>
      </c>
      <c r="F1242" t="s">
        <v>32</v>
      </c>
      <c r="G1242" t="s">
        <v>69</v>
      </c>
      <c r="H1242" t="s">
        <v>810</v>
      </c>
    </row>
    <row r="1243" spans="1:8" x14ac:dyDescent="0.3">
      <c r="A1243">
        <v>1242</v>
      </c>
      <c r="B1243" s="3">
        <v>45561.788217592599</v>
      </c>
      <c r="C1243" s="3">
        <v>45536</v>
      </c>
      <c r="D1243" t="s">
        <v>19</v>
      </c>
      <c r="E1243" t="s">
        <v>1298</v>
      </c>
      <c r="F1243" t="s">
        <v>21</v>
      </c>
      <c r="G1243" t="s">
        <v>22</v>
      </c>
      <c r="H1243" t="s">
        <v>810</v>
      </c>
    </row>
    <row r="1244" spans="1:8" x14ac:dyDescent="0.3">
      <c r="A1244">
        <v>1243</v>
      </c>
      <c r="B1244" s="3">
        <v>45562.698530092603</v>
      </c>
      <c r="C1244" s="3">
        <v>45536</v>
      </c>
      <c r="D1244" t="s">
        <v>19</v>
      </c>
      <c r="E1244" t="s">
        <v>1299</v>
      </c>
      <c r="F1244" t="s">
        <v>21</v>
      </c>
      <c r="G1244" t="s">
        <v>29</v>
      </c>
      <c r="H1244" t="s">
        <v>30</v>
      </c>
    </row>
    <row r="1245" spans="1:8" x14ac:dyDescent="0.3">
      <c r="A1245">
        <v>1244</v>
      </c>
      <c r="B1245" s="3">
        <v>45565.572939814803</v>
      </c>
      <c r="C1245" s="3">
        <v>45536</v>
      </c>
      <c r="D1245" t="s">
        <v>19</v>
      </c>
      <c r="E1245" t="s">
        <v>1300</v>
      </c>
      <c r="F1245" t="s">
        <v>32</v>
      </c>
      <c r="G1245" t="s">
        <v>33</v>
      </c>
      <c r="H1245" t="s">
        <v>30</v>
      </c>
    </row>
    <row r="1246" spans="1:8" x14ac:dyDescent="0.3">
      <c r="A1246">
        <v>1245</v>
      </c>
      <c r="B1246" s="3">
        <v>45565.810347222199</v>
      </c>
      <c r="C1246" s="3">
        <v>45536</v>
      </c>
      <c r="D1246" t="s">
        <v>19</v>
      </c>
      <c r="E1246" t="s">
        <v>1301</v>
      </c>
      <c r="F1246" t="s">
        <v>25</v>
      </c>
      <c r="G1246" t="s">
        <v>26</v>
      </c>
      <c r="H1246" t="s">
        <v>810</v>
      </c>
    </row>
    <row r="1247" spans="1:8" x14ac:dyDescent="0.3">
      <c r="A1247">
        <v>1246</v>
      </c>
      <c r="B1247" s="3">
        <v>45565.817696759303</v>
      </c>
      <c r="C1247" s="3">
        <v>45536</v>
      </c>
      <c r="D1247" t="s">
        <v>19</v>
      </c>
      <c r="E1247" t="s">
        <v>1302</v>
      </c>
      <c r="F1247" t="s">
        <v>21</v>
      </c>
      <c r="G1247" t="s">
        <v>345</v>
      </c>
      <c r="H1247" t="s">
        <v>30</v>
      </c>
    </row>
    <row r="1248" spans="1:8" x14ac:dyDescent="0.3">
      <c r="A1248">
        <v>1247</v>
      </c>
      <c r="B1248" s="3">
        <v>45565.851504629602</v>
      </c>
      <c r="C1248" s="3">
        <v>45536</v>
      </c>
      <c r="D1248" t="s">
        <v>19</v>
      </c>
      <c r="E1248" t="s">
        <v>1303</v>
      </c>
      <c r="F1248" t="s">
        <v>21</v>
      </c>
      <c r="G1248" t="s">
        <v>22</v>
      </c>
      <c r="H1248" t="s">
        <v>27</v>
      </c>
    </row>
    <row r="1249" spans="1:8" x14ac:dyDescent="0.3">
      <c r="A1249">
        <v>1248</v>
      </c>
      <c r="B1249" s="3">
        <v>45565.8566319444</v>
      </c>
      <c r="C1249" s="3">
        <v>45536</v>
      </c>
      <c r="D1249" t="s">
        <v>19</v>
      </c>
      <c r="E1249" t="s">
        <v>1304</v>
      </c>
      <c r="F1249" t="s">
        <v>32</v>
      </c>
      <c r="G1249" t="s">
        <v>345</v>
      </c>
      <c r="H1249" t="s">
        <v>30</v>
      </c>
    </row>
    <row r="1250" spans="1:8" x14ac:dyDescent="0.3">
      <c r="A1250">
        <v>1249</v>
      </c>
      <c r="B1250" s="3">
        <v>45565.862731481502</v>
      </c>
      <c r="C1250" s="3">
        <v>45536</v>
      </c>
      <c r="D1250" t="s">
        <v>19</v>
      </c>
      <c r="E1250" t="s">
        <v>1305</v>
      </c>
      <c r="F1250" t="s">
        <v>21</v>
      </c>
      <c r="G1250" t="s">
        <v>29</v>
      </c>
      <c r="H1250" t="s">
        <v>30</v>
      </c>
    </row>
    <row r="1251" spans="1:8" x14ac:dyDescent="0.3">
      <c r="A1251">
        <v>1250</v>
      </c>
      <c r="B1251" s="3">
        <v>45565.8694791667</v>
      </c>
      <c r="C1251" s="3">
        <v>45536</v>
      </c>
      <c r="D1251" t="s">
        <v>19</v>
      </c>
      <c r="E1251" t="s">
        <v>1306</v>
      </c>
      <c r="F1251" t="s">
        <v>32</v>
      </c>
      <c r="G1251" t="s">
        <v>345</v>
      </c>
      <c r="H1251" t="s">
        <v>810</v>
      </c>
    </row>
    <row r="1252" spans="1:8" x14ac:dyDescent="0.3">
      <c r="A1252">
        <v>1251</v>
      </c>
      <c r="B1252" s="3">
        <v>45565.882418981499</v>
      </c>
      <c r="C1252" s="3">
        <v>45536</v>
      </c>
      <c r="D1252" t="s">
        <v>19</v>
      </c>
      <c r="E1252" t="s">
        <v>1307</v>
      </c>
      <c r="F1252" t="s">
        <v>32</v>
      </c>
      <c r="G1252" t="s">
        <v>69</v>
      </c>
      <c r="H1252" t="s">
        <v>30</v>
      </c>
    </row>
    <row r="1253" spans="1:8" x14ac:dyDescent="0.3">
      <c r="A1253">
        <v>1252</v>
      </c>
      <c r="B1253" s="3">
        <v>45565.886423611097</v>
      </c>
      <c r="C1253" s="3">
        <v>45536</v>
      </c>
      <c r="D1253" t="s">
        <v>19</v>
      </c>
      <c r="E1253" t="s">
        <v>1308</v>
      </c>
      <c r="F1253" t="s">
        <v>25</v>
      </c>
      <c r="G1253" t="s">
        <v>26</v>
      </c>
      <c r="H1253" t="s">
        <v>810</v>
      </c>
    </row>
    <row r="1254" spans="1:8" x14ac:dyDescent="0.3">
      <c r="A1254">
        <v>1253</v>
      </c>
      <c r="B1254" s="3">
        <v>45565.912627314799</v>
      </c>
      <c r="C1254" s="3">
        <v>45536</v>
      </c>
      <c r="D1254" t="s">
        <v>19</v>
      </c>
      <c r="E1254" t="s">
        <v>1309</v>
      </c>
      <c r="F1254" t="s">
        <v>21</v>
      </c>
      <c r="G1254" t="s">
        <v>22</v>
      </c>
      <c r="H1254" t="s">
        <v>810</v>
      </c>
    </row>
    <row r="1255" spans="1:8" x14ac:dyDescent="0.3">
      <c r="A1255">
        <v>1254</v>
      </c>
      <c r="B1255" s="3">
        <v>45565.912881944401</v>
      </c>
      <c r="C1255" s="3">
        <v>45536</v>
      </c>
      <c r="D1255" t="s">
        <v>19</v>
      </c>
      <c r="E1255" t="s">
        <v>1310</v>
      </c>
      <c r="F1255" t="s">
        <v>21</v>
      </c>
      <c r="G1255" t="s">
        <v>22</v>
      </c>
      <c r="H1255" t="s">
        <v>30</v>
      </c>
    </row>
    <row r="1256" spans="1:8" x14ac:dyDescent="0.3">
      <c r="A1256">
        <v>1255</v>
      </c>
      <c r="B1256" s="3">
        <v>45565.9188194444</v>
      </c>
      <c r="C1256" s="3">
        <v>45536</v>
      </c>
      <c r="D1256" t="s">
        <v>19</v>
      </c>
      <c r="E1256" t="s">
        <v>1311</v>
      </c>
      <c r="F1256" t="s">
        <v>21</v>
      </c>
      <c r="G1256" t="s">
        <v>345</v>
      </c>
      <c r="H1256" t="s">
        <v>30</v>
      </c>
    </row>
    <row r="1257" spans="1:8" x14ac:dyDescent="0.3">
      <c r="A1257">
        <v>1256</v>
      </c>
      <c r="B1257" s="3">
        <v>45565.937060185199</v>
      </c>
      <c r="C1257" s="3">
        <v>45536</v>
      </c>
      <c r="D1257" t="s">
        <v>19</v>
      </c>
      <c r="E1257" t="s">
        <v>1312</v>
      </c>
      <c r="F1257" t="s">
        <v>25</v>
      </c>
      <c r="G1257" t="s">
        <v>26</v>
      </c>
      <c r="H1257" t="s">
        <v>810</v>
      </c>
    </row>
    <row r="1258" spans="1:8" x14ac:dyDescent="0.3">
      <c r="A1258">
        <v>1257</v>
      </c>
      <c r="B1258" s="3">
        <v>45579.740601851903</v>
      </c>
      <c r="C1258" s="3">
        <v>45566</v>
      </c>
      <c r="D1258" t="s">
        <v>19</v>
      </c>
      <c r="E1258" t="s">
        <v>1313</v>
      </c>
      <c r="F1258" t="s">
        <v>25</v>
      </c>
      <c r="G1258" t="s">
        <v>26</v>
      </c>
      <c r="H1258" t="s">
        <v>810</v>
      </c>
    </row>
    <row r="1259" spans="1:8" x14ac:dyDescent="0.3">
      <c r="A1259">
        <v>1258</v>
      </c>
      <c r="B1259" s="3">
        <v>45580.691828703697</v>
      </c>
      <c r="C1259" s="3">
        <v>45566</v>
      </c>
      <c r="D1259" t="s">
        <v>19</v>
      </c>
      <c r="E1259" t="s">
        <v>1314</v>
      </c>
      <c r="F1259" t="s">
        <v>32</v>
      </c>
      <c r="G1259" t="s">
        <v>69</v>
      </c>
      <c r="H1259" t="s">
        <v>810</v>
      </c>
    </row>
    <row r="1260" spans="1:8" x14ac:dyDescent="0.3">
      <c r="A1260">
        <v>1259</v>
      </c>
      <c r="B1260" s="3">
        <v>45586.6824768519</v>
      </c>
      <c r="C1260" s="3">
        <v>45566</v>
      </c>
      <c r="D1260" t="s">
        <v>19</v>
      </c>
      <c r="E1260" t="s">
        <v>1315</v>
      </c>
      <c r="F1260" t="s">
        <v>21</v>
      </c>
      <c r="G1260" t="s">
        <v>22</v>
      </c>
      <c r="H1260" t="s">
        <v>810</v>
      </c>
    </row>
    <row r="1261" spans="1:8" x14ac:dyDescent="0.3">
      <c r="A1261">
        <v>1260</v>
      </c>
      <c r="B1261" s="3">
        <v>45589.621562499997</v>
      </c>
      <c r="C1261" s="3">
        <v>45566</v>
      </c>
      <c r="D1261" t="s">
        <v>19</v>
      </c>
      <c r="E1261" t="s">
        <v>1316</v>
      </c>
      <c r="F1261" t="s">
        <v>21</v>
      </c>
      <c r="G1261" t="s">
        <v>22</v>
      </c>
      <c r="H1261" t="s">
        <v>30</v>
      </c>
    </row>
    <row r="1262" spans="1:8" x14ac:dyDescent="0.3">
      <c r="A1262">
        <v>1261</v>
      </c>
      <c r="B1262" s="3">
        <v>45589.747511574104</v>
      </c>
      <c r="C1262" s="3">
        <v>45566</v>
      </c>
      <c r="D1262" t="s">
        <v>19</v>
      </c>
      <c r="E1262" t="s">
        <v>1317</v>
      </c>
      <c r="F1262" t="s">
        <v>21</v>
      </c>
      <c r="G1262" t="s">
        <v>29</v>
      </c>
      <c r="H1262" t="s">
        <v>810</v>
      </c>
    </row>
    <row r="1263" spans="1:8" x14ac:dyDescent="0.3">
      <c r="A1263">
        <v>1262</v>
      </c>
      <c r="B1263" s="3">
        <v>45589.750069444497</v>
      </c>
      <c r="C1263" s="3">
        <v>45566</v>
      </c>
      <c r="D1263" t="s">
        <v>19</v>
      </c>
      <c r="E1263" t="s">
        <v>1318</v>
      </c>
      <c r="F1263" t="s">
        <v>25</v>
      </c>
      <c r="G1263" t="s">
        <v>345</v>
      </c>
      <c r="H1263" t="s">
        <v>810</v>
      </c>
    </row>
    <row r="1264" spans="1:8" x14ac:dyDescent="0.3">
      <c r="A1264">
        <v>1263</v>
      </c>
      <c r="B1264" s="3">
        <v>45590.609814814801</v>
      </c>
      <c r="C1264" s="3">
        <v>45566</v>
      </c>
      <c r="D1264" t="s">
        <v>19</v>
      </c>
      <c r="E1264" t="s">
        <v>1319</v>
      </c>
      <c r="F1264" t="s">
        <v>25</v>
      </c>
      <c r="G1264" t="s">
        <v>345</v>
      </c>
      <c r="H1264" t="s">
        <v>810</v>
      </c>
    </row>
    <row r="1265" spans="1:8" x14ac:dyDescent="0.3">
      <c r="A1265">
        <v>1264</v>
      </c>
      <c r="B1265" s="3">
        <v>45591.4941203704</v>
      </c>
      <c r="C1265" s="3">
        <v>45566</v>
      </c>
      <c r="D1265" t="s">
        <v>19</v>
      </c>
      <c r="E1265" t="s">
        <v>1320</v>
      </c>
      <c r="F1265" t="s">
        <v>21</v>
      </c>
      <c r="G1265" t="s">
        <v>29</v>
      </c>
      <c r="H1265" t="s">
        <v>810</v>
      </c>
    </row>
    <row r="1266" spans="1:8" x14ac:dyDescent="0.3">
      <c r="A1266">
        <v>1265</v>
      </c>
      <c r="B1266" s="3">
        <v>45593.498912037001</v>
      </c>
      <c r="C1266" s="3">
        <v>45566</v>
      </c>
      <c r="D1266" t="s">
        <v>19</v>
      </c>
      <c r="E1266" t="s">
        <v>1321</v>
      </c>
      <c r="F1266" t="s">
        <v>21</v>
      </c>
      <c r="G1266" t="s">
        <v>345</v>
      </c>
      <c r="H1266" t="s">
        <v>810</v>
      </c>
    </row>
    <row r="1267" spans="1:8" x14ac:dyDescent="0.3">
      <c r="A1267">
        <v>1266</v>
      </c>
      <c r="B1267" s="3">
        <v>45593.604131944398</v>
      </c>
      <c r="C1267" s="3">
        <v>45566</v>
      </c>
      <c r="D1267" t="s">
        <v>19</v>
      </c>
      <c r="E1267" t="s">
        <v>1322</v>
      </c>
      <c r="F1267" t="s">
        <v>32</v>
      </c>
      <c r="G1267" t="s">
        <v>317</v>
      </c>
      <c r="H1267" t="s">
        <v>27</v>
      </c>
    </row>
    <row r="1268" spans="1:8" x14ac:dyDescent="0.3">
      <c r="A1268">
        <v>1267</v>
      </c>
      <c r="B1268" s="3">
        <v>45594.661620370403</v>
      </c>
      <c r="C1268" s="3">
        <v>45566</v>
      </c>
      <c r="D1268" t="s">
        <v>19</v>
      </c>
      <c r="E1268" t="s">
        <v>1323</v>
      </c>
      <c r="F1268" t="s">
        <v>25</v>
      </c>
      <c r="G1268" t="s">
        <v>345</v>
      </c>
      <c r="H1268" t="s">
        <v>810</v>
      </c>
    </row>
    <row r="1269" spans="1:8" x14ac:dyDescent="0.3">
      <c r="A1269">
        <v>1268</v>
      </c>
      <c r="B1269" s="3">
        <v>45594.6652314815</v>
      </c>
      <c r="C1269" s="3">
        <v>45566</v>
      </c>
      <c r="D1269" t="s">
        <v>19</v>
      </c>
      <c r="E1269" t="s">
        <v>1324</v>
      </c>
      <c r="F1269" t="s">
        <v>21</v>
      </c>
      <c r="G1269" t="s">
        <v>345</v>
      </c>
      <c r="H1269" t="s">
        <v>810</v>
      </c>
    </row>
    <row r="1270" spans="1:8" x14ac:dyDescent="0.3">
      <c r="A1270">
        <v>1269</v>
      </c>
      <c r="B1270" s="3">
        <v>45594.730972222198</v>
      </c>
      <c r="C1270" s="3">
        <v>45566</v>
      </c>
      <c r="D1270" t="s">
        <v>19</v>
      </c>
      <c r="E1270" t="s">
        <v>1325</v>
      </c>
      <c r="F1270" t="s">
        <v>21</v>
      </c>
      <c r="G1270" t="s">
        <v>22</v>
      </c>
      <c r="H1270" t="s">
        <v>30</v>
      </c>
    </row>
    <row r="1271" spans="1:8" x14ac:dyDescent="0.3">
      <c r="A1271">
        <v>1270</v>
      </c>
      <c r="B1271" s="3">
        <v>45594.739108796297</v>
      </c>
      <c r="C1271" s="3">
        <v>45566</v>
      </c>
      <c r="D1271" t="s">
        <v>19</v>
      </c>
      <c r="E1271" t="s">
        <v>1326</v>
      </c>
      <c r="F1271" t="s">
        <v>32</v>
      </c>
      <c r="G1271" t="s">
        <v>33</v>
      </c>
      <c r="H1271" t="s">
        <v>810</v>
      </c>
    </row>
    <row r="1272" spans="1:8" x14ac:dyDescent="0.3">
      <c r="A1272">
        <v>1271</v>
      </c>
      <c r="B1272" s="3">
        <v>45595.6258564815</v>
      </c>
      <c r="C1272" s="3">
        <v>45566</v>
      </c>
      <c r="D1272" t="s">
        <v>19</v>
      </c>
      <c r="E1272" t="s">
        <v>1327</v>
      </c>
      <c r="F1272" t="s">
        <v>21</v>
      </c>
      <c r="G1272" t="s">
        <v>317</v>
      </c>
      <c r="H1272" t="s">
        <v>810</v>
      </c>
    </row>
    <row r="1273" spans="1:8" x14ac:dyDescent="0.3">
      <c r="A1273">
        <v>1272</v>
      </c>
      <c r="B1273" s="3">
        <v>45596.588101851899</v>
      </c>
      <c r="C1273" s="3">
        <v>45566</v>
      </c>
      <c r="D1273" t="s">
        <v>19</v>
      </c>
      <c r="E1273" t="s">
        <v>1328</v>
      </c>
      <c r="F1273" t="s">
        <v>21</v>
      </c>
      <c r="G1273" t="s">
        <v>69</v>
      </c>
      <c r="H1273" t="s">
        <v>30</v>
      </c>
    </row>
    <row r="1274" spans="1:8" x14ac:dyDescent="0.3">
      <c r="A1274">
        <v>1273</v>
      </c>
      <c r="B1274" s="3">
        <v>45596.632928240702</v>
      </c>
      <c r="C1274" s="3">
        <v>45566</v>
      </c>
      <c r="D1274" t="s">
        <v>19</v>
      </c>
      <c r="E1274" t="s">
        <v>1329</v>
      </c>
      <c r="F1274" t="s">
        <v>32</v>
      </c>
      <c r="G1274" t="s">
        <v>69</v>
      </c>
      <c r="H1274" t="s">
        <v>30</v>
      </c>
    </row>
    <row r="1275" spans="1:8" x14ac:dyDescent="0.3">
      <c r="A1275">
        <v>1274</v>
      </c>
      <c r="B1275" s="3">
        <v>45596.634918981501</v>
      </c>
      <c r="C1275" s="3">
        <v>45566</v>
      </c>
      <c r="D1275" t="s">
        <v>19</v>
      </c>
      <c r="E1275" t="s">
        <v>1330</v>
      </c>
      <c r="F1275" t="s">
        <v>21</v>
      </c>
      <c r="G1275" t="s">
        <v>22</v>
      </c>
      <c r="H1275" t="s">
        <v>30</v>
      </c>
    </row>
    <row r="1276" spans="1:8" x14ac:dyDescent="0.3">
      <c r="A1276">
        <v>1275</v>
      </c>
      <c r="B1276" s="3">
        <v>45596.636168981502</v>
      </c>
      <c r="C1276" s="3">
        <v>45566</v>
      </c>
      <c r="D1276" t="s">
        <v>19</v>
      </c>
      <c r="E1276" t="s">
        <v>1331</v>
      </c>
      <c r="F1276" t="s">
        <v>25</v>
      </c>
      <c r="G1276" t="s">
        <v>26</v>
      </c>
      <c r="H1276" t="s">
        <v>30</v>
      </c>
    </row>
    <row r="1277" spans="1:8" x14ac:dyDescent="0.3">
      <c r="A1277">
        <v>1276</v>
      </c>
      <c r="B1277" s="3">
        <v>45596.722106481502</v>
      </c>
      <c r="C1277" s="3">
        <v>45566</v>
      </c>
      <c r="D1277" t="s">
        <v>19</v>
      </c>
      <c r="E1277" t="s">
        <v>1332</v>
      </c>
      <c r="F1277" t="s">
        <v>32</v>
      </c>
      <c r="G1277" t="s">
        <v>33</v>
      </c>
      <c r="H1277" t="s">
        <v>810</v>
      </c>
    </row>
    <row r="1278" spans="1:8" x14ac:dyDescent="0.3">
      <c r="A1278">
        <v>1277</v>
      </c>
      <c r="B1278" s="3">
        <v>45596.731331018498</v>
      </c>
      <c r="C1278" s="3">
        <v>45566</v>
      </c>
      <c r="D1278" t="s">
        <v>19</v>
      </c>
      <c r="E1278" t="s">
        <v>1333</v>
      </c>
      <c r="F1278" t="s">
        <v>40</v>
      </c>
      <c r="G1278" t="s">
        <v>108</v>
      </c>
      <c r="H1278" t="s">
        <v>27</v>
      </c>
    </row>
    <row r="1279" spans="1:8" x14ac:dyDescent="0.3">
      <c r="A1279">
        <v>1278</v>
      </c>
      <c r="B1279" s="3">
        <v>45596.769699074102</v>
      </c>
      <c r="C1279" s="3">
        <v>45566</v>
      </c>
      <c r="D1279" t="s">
        <v>19</v>
      </c>
      <c r="E1279" t="s">
        <v>1334</v>
      </c>
      <c r="F1279" t="s">
        <v>32</v>
      </c>
      <c r="G1279" t="s">
        <v>33</v>
      </c>
      <c r="H1279" t="s">
        <v>30</v>
      </c>
    </row>
    <row r="1280" spans="1:8" x14ac:dyDescent="0.3">
      <c r="A1280">
        <v>1279</v>
      </c>
      <c r="B1280" s="3">
        <v>45596.8493171296</v>
      </c>
      <c r="C1280" s="3">
        <v>45566</v>
      </c>
      <c r="D1280" t="s">
        <v>19</v>
      </c>
      <c r="E1280" t="s">
        <v>1335</v>
      </c>
      <c r="F1280" t="s">
        <v>25</v>
      </c>
      <c r="G1280" t="s">
        <v>26</v>
      </c>
      <c r="H1280" t="s">
        <v>27</v>
      </c>
    </row>
    <row r="1281" spans="1:8" x14ac:dyDescent="0.3">
      <c r="A1281">
        <v>1280</v>
      </c>
      <c r="B1281" s="3">
        <v>45596.923738425903</v>
      </c>
      <c r="C1281" s="3">
        <v>45566</v>
      </c>
      <c r="D1281" t="s">
        <v>19</v>
      </c>
      <c r="E1281" t="s">
        <v>1336</v>
      </c>
      <c r="F1281" t="s">
        <v>25</v>
      </c>
      <c r="G1281" t="s">
        <v>345</v>
      </c>
      <c r="H1281" t="s">
        <v>30</v>
      </c>
    </row>
    <row r="1282" spans="1:8" x14ac:dyDescent="0.3">
      <c r="A1282">
        <v>1281</v>
      </c>
      <c r="B1282" s="3">
        <v>45596.924236111103</v>
      </c>
      <c r="C1282" s="3">
        <v>45566</v>
      </c>
      <c r="D1282" t="s">
        <v>19</v>
      </c>
      <c r="E1282" t="s">
        <v>1337</v>
      </c>
      <c r="F1282" t="s">
        <v>25</v>
      </c>
      <c r="G1282" t="s">
        <v>345</v>
      </c>
      <c r="H1282" t="s">
        <v>810</v>
      </c>
    </row>
    <row r="1283" spans="1:8" x14ac:dyDescent="0.3">
      <c r="A1283">
        <v>1282</v>
      </c>
      <c r="B1283" s="3">
        <v>45596.928773148204</v>
      </c>
      <c r="C1283" s="3">
        <v>45566</v>
      </c>
      <c r="D1283" t="s">
        <v>19</v>
      </c>
      <c r="E1283" t="s">
        <v>1338</v>
      </c>
      <c r="F1283" t="s">
        <v>32</v>
      </c>
      <c r="G1283" t="s">
        <v>33</v>
      </c>
      <c r="H1283" t="s">
        <v>30</v>
      </c>
    </row>
    <row r="1284" spans="1:8" x14ac:dyDescent="0.3">
      <c r="A1284">
        <v>1283</v>
      </c>
      <c r="B1284" s="3">
        <v>45600.577210648204</v>
      </c>
      <c r="C1284" s="3">
        <v>45597</v>
      </c>
      <c r="D1284" t="s">
        <v>19</v>
      </c>
      <c r="E1284" t="s">
        <v>1339</v>
      </c>
      <c r="F1284" t="s">
        <v>25</v>
      </c>
      <c r="G1284" t="s">
        <v>26</v>
      </c>
      <c r="H1284" t="s">
        <v>30</v>
      </c>
    </row>
    <row r="1285" spans="1:8" x14ac:dyDescent="0.3">
      <c r="A1285">
        <v>1284</v>
      </c>
      <c r="B1285" s="3">
        <v>45602.732476851903</v>
      </c>
      <c r="C1285" s="3">
        <v>45597</v>
      </c>
      <c r="D1285" t="s">
        <v>19</v>
      </c>
      <c r="E1285" t="s">
        <v>1340</v>
      </c>
      <c r="F1285" t="s">
        <v>21</v>
      </c>
      <c r="G1285" t="s">
        <v>22</v>
      </c>
      <c r="H1285" t="s">
        <v>810</v>
      </c>
    </row>
    <row r="1286" spans="1:8" x14ac:dyDescent="0.3">
      <c r="A1286">
        <v>1285</v>
      </c>
      <c r="B1286" s="3">
        <v>45603.459201388898</v>
      </c>
      <c r="C1286" s="3">
        <v>45597</v>
      </c>
      <c r="D1286" t="s">
        <v>19</v>
      </c>
      <c r="E1286" t="s">
        <v>1341</v>
      </c>
      <c r="F1286" t="s">
        <v>21</v>
      </c>
      <c r="G1286" t="s">
        <v>29</v>
      </c>
      <c r="H1286" t="s">
        <v>30</v>
      </c>
    </row>
    <row r="1287" spans="1:8" x14ac:dyDescent="0.3">
      <c r="A1287">
        <v>1286</v>
      </c>
      <c r="B1287" s="3">
        <v>45603.580787036997</v>
      </c>
      <c r="C1287" s="3">
        <v>45597</v>
      </c>
      <c r="D1287" t="s">
        <v>19</v>
      </c>
      <c r="E1287" t="s">
        <v>1342</v>
      </c>
      <c r="F1287" t="s">
        <v>25</v>
      </c>
      <c r="G1287" t="s">
        <v>29</v>
      </c>
      <c r="H1287" t="s">
        <v>30</v>
      </c>
    </row>
    <row r="1288" spans="1:8" x14ac:dyDescent="0.3">
      <c r="A1288">
        <v>1287</v>
      </c>
      <c r="B1288" s="3">
        <v>45605.511886574102</v>
      </c>
      <c r="C1288" s="3">
        <v>45597</v>
      </c>
      <c r="D1288" t="s">
        <v>19</v>
      </c>
      <c r="E1288" t="s">
        <v>1343</v>
      </c>
      <c r="F1288" t="s">
        <v>21</v>
      </c>
      <c r="G1288" t="s">
        <v>22</v>
      </c>
      <c r="H1288" t="s">
        <v>810</v>
      </c>
    </row>
    <row r="1289" spans="1:8" x14ac:dyDescent="0.3">
      <c r="A1289">
        <v>1288</v>
      </c>
      <c r="B1289" s="3">
        <v>45605.578750000001</v>
      </c>
      <c r="C1289" s="3">
        <v>45597</v>
      </c>
      <c r="D1289" t="s">
        <v>19</v>
      </c>
      <c r="E1289" t="s">
        <v>1344</v>
      </c>
      <c r="F1289" t="s">
        <v>32</v>
      </c>
      <c r="G1289" t="s">
        <v>110</v>
      </c>
      <c r="H1289" t="s">
        <v>27</v>
      </c>
    </row>
    <row r="1290" spans="1:8" x14ac:dyDescent="0.3">
      <c r="A1290">
        <v>1289</v>
      </c>
      <c r="B1290" s="3">
        <v>45607.603078703702</v>
      </c>
      <c r="C1290" s="3">
        <v>45597</v>
      </c>
      <c r="D1290" t="s">
        <v>19</v>
      </c>
      <c r="E1290" t="s">
        <v>1345</v>
      </c>
      <c r="F1290" t="s">
        <v>21</v>
      </c>
      <c r="G1290" t="s">
        <v>22</v>
      </c>
      <c r="H1290" t="s">
        <v>27</v>
      </c>
    </row>
    <row r="1291" spans="1:8" x14ac:dyDescent="0.3">
      <c r="A1291">
        <v>1290</v>
      </c>
      <c r="B1291" s="3">
        <v>45608.619513888902</v>
      </c>
      <c r="C1291" s="3">
        <v>45597</v>
      </c>
      <c r="D1291" t="s">
        <v>19</v>
      </c>
      <c r="E1291" t="s">
        <v>1346</v>
      </c>
      <c r="F1291" t="s">
        <v>21</v>
      </c>
      <c r="G1291" t="s">
        <v>29</v>
      </c>
      <c r="H1291" t="s">
        <v>30</v>
      </c>
    </row>
    <row r="1292" spans="1:8" x14ac:dyDescent="0.3">
      <c r="A1292">
        <v>1291</v>
      </c>
      <c r="B1292" s="3">
        <v>45608.684363425898</v>
      </c>
      <c r="C1292" s="3">
        <v>45597</v>
      </c>
      <c r="D1292" t="s">
        <v>19</v>
      </c>
      <c r="E1292" t="s">
        <v>1347</v>
      </c>
      <c r="F1292" t="s">
        <v>21</v>
      </c>
      <c r="G1292" t="s">
        <v>22</v>
      </c>
      <c r="H1292" t="s">
        <v>810</v>
      </c>
    </row>
    <row r="1293" spans="1:8" x14ac:dyDescent="0.3">
      <c r="A1293">
        <v>1292</v>
      </c>
      <c r="B1293" s="3">
        <v>45610.510347222204</v>
      </c>
      <c r="C1293" s="3">
        <v>45597</v>
      </c>
      <c r="D1293" t="s">
        <v>19</v>
      </c>
      <c r="E1293" t="s">
        <v>1348</v>
      </c>
      <c r="F1293" t="s">
        <v>21</v>
      </c>
      <c r="G1293" t="s">
        <v>22</v>
      </c>
      <c r="H1293" t="s">
        <v>810</v>
      </c>
    </row>
    <row r="1294" spans="1:8" x14ac:dyDescent="0.3">
      <c r="A1294">
        <v>1293</v>
      </c>
      <c r="B1294" s="3">
        <v>45612.6649652778</v>
      </c>
      <c r="C1294" s="3">
        <v>45597</v>
      </c>
      <c r="D1294" t="s">
        <v>19</v>
      </c>
      <c r="E1294" t="s">
        <v>1349</v>
      </c>
      <c r="F1294" t="s">
        <v>25</v>
      </c>
      <c r="G1294" t="s">
        <v>26</v>
      </c>
      <c r="H1294" t="s">
        <v>810</v>
      </c>
    </row>
    <row r="1295" spans="1:8" x14ac:dyDescent="0.3">
      <c r="A1295">
        <v>1294</v>
      </c>
      <c r="B1295" s="3">
        <v>45618.634872685201</v>
      </c>
      <c r="C1295" s="3">
        <v>45597</v>
      </c>
      <c r="D1295" t="s">
        <v>19</v>
      </c>
      <c r="E1295" t="s">
        <v>1350</v>
      </c>
      <c r="F1295" t="s">
        <v>21</v>
      </c>
      <c r="G1295" t="s">
        <v>593</v>
      </c>
      <c r="H1295" t="s">
        <v>810</v>
      </c>
    </row>
    <row r="1296" spans="1:8" x14ac:dyDescent="0.3">
      <c r="A1296">
        <v>1295</v>
      </c>
      <c r="B1296" s="3">
        <v>45621.733391203699</v>
      </c>
      <c r="C1296" s="3">
        <v>45597</v>
      </c>
      <c r="D1296" t="s">
        <v>19</v>
      </c>
      <c r="E1296" t="s">
        <v>1351</v>
      </c>
      <c r="F1296" t="s">
        <v>25</v>
      </c>
      <c r="G1296" t="s">
        <v>345</v>
      </c>
      <c r="H1296" t="s">
        <v>30</v>
      </c>
    </row>
    <row r="1297" spans="1:8" x14ac:dyDescent="0.3">
      <c r="A1297">
        <v>1296</v>
      </c>
      <c r="B1297" s="3">
        <v>45622.630138888897</v>
      </c>
      <c r="C1297" s="3">
        <v>45597</v>
      </c>
      <c r="D1297" t="s">
        <v>19</v>
      </c>
      <c r="E1297" t="s">
        <v>1352</v>
      </c>
      <c r="F1297" t="s">
        <v>21</v>
      </c>
      <c r="G1297" t="s">
        <v>22</v>
      </c>
      <c r="H1297" t="s">
        <v>30</v>
      </c>
    </row>
    <row r="1298" spans="1:8" x14ac:dyDescent="0.3">
      <c r="A1298">
        <v>1297</v>
      </c>
      <c r="B1298" s="3">
        <v>45622.688831018502</v>
      </c>
      <c r="C1298" s="3">
        <v>45597</v>
      </c>
      <c r="D1298" t="s">
        <v>19</v>
      </c>
      <c r="E1298" t="s">
        <v>1353</v>
      </c>
      <c r="F1298" t="s">
        <v>32</v>
      </c>
      <c r="G1298" t="s">
        <v>33</v>
      </c>
      <c r="H1298" t="s">
        <v>810</v>
      </c>
    </row>
    <row r="1299" spans="1:8" x14ac:dyDescent="0.3">
      <c r="A1299">
        <v>1298</v>
      </c>
      <c r="B1299" s="3">
        <v>45624.71875</v>
      </c>
      <c r="C1299" s="3">
        <v>45597</v>
      </c>
      <c r="D1299" t="s">
        <v>19</v>
      </c>
      <c r="E1299" t="s">
        <v>1354</v>
      </c>
      <c r="F1299" t="s">
        <v>21</v>
      </c>
      <c r="G1299" t="s">
        <v>29</v>
      </c>
      <c r="H1299" t="s">
        <v>810</v>
      </c>
    </row>
    <row r="1300" spans="1:8" x14ac:dyDescent="0.3">
      <c r="A1300">
        <v>1299</v>
      </c>
      <c r="B1300" s="3">
        <v>45624.7405208333</v>
      </c>
      <c r="C1300" s="3">
        <v>45597</v>
      </c>
      <c r="D1300" t="s">
        <v>19</v>
      </c>
      <c r="E1300" t="s">
        <v>1355</v>
      </c>
      <c r="F1300" t="s">
        <v>21</v>
      </c>
      <c r="G1300" t="s">
        <v>29</v>
      </c>
      <c r="H1300" t="s">
        <v>810</v>
      </c>
    </row>
    <row r="1301" spans="1:8" x14ac:dyDescent="0.3">
      <c r="A1301">
        <v>1300</v>
      </c>
      <c r="B1301" s="3">
        <v>45625.428495370397</v>
      </c>
      <c r="C1301" s="3">
        <v>45597</v>
      </c>
      <c r="D1301" t="s">
        <v>19</v>
      </c>
      <c r="E1301" t="s">
        <v>1356</v>
      </c>
      <c r="F1301" t="s">
        <v>21</v>
      </c>
      <c r="G1301" t="s">
        <v>22</v>
      </c>
      <c r="H1301" t="s">
        <v>30</v>
      </c>
    </row>
    <row r="1302" spans="1:8" x14ac:dyDescent="0.3">
      <c r="A1302">
        <v>1301</v>
      </c>
      <c r="B1302" s="3">
        <v>45625.6784259259</v>
      </c>
      <c r="C1302" s="3">
        <v>45597</v>
      </c>
      <c r="D1302" t="s">
        <v>19</v>
      </c>
      <c r="E1302" t="s">
        <v>1357</v>
      </c>
      <c r="F1302" t="s">
        <v>21</v>
      </c>
      <c r="G1302" t="s">
        <v>22</v>
      </c>
      <c r="H1302" t="s">
        <v>810</v>
      </c>
    </row>
    <row r="1303" spans="1:8" x14ac:dyDescent="0.3">
      <c r="A1303">
        <v>1302</v>
      </c>
      <c r="B1303" s="3">
        <v>45625.704548611102</v>
      </c>
      <c r="C1303" s="3">
        <v>45597</v>
      </c>
      <c r="D1303" t="s">
        <v>19</v>
      </c>
      <c r="E1303" t="s">
        <v>1358</v>
      </c>
      <c r="F1303" t="s">
        <v>32</v>
      </c>
      <c r="G1303" t="s">
        <v>593</v>
      </c>
      <c r="H1303" t="s">
        <v>810</v>
      </c>
    </row>
    <row r="1304" spans="1:8" x14ac:dyDescent="0.3">
      <c r="A1304">
        <v>1303</v>
      </c>
      <c r="B1304" s="3">
        <v>45625.752951388902</v>
      </c>
      <c r="C1304" s="3">
        <v>45597</v>
      </c>
      <c r="D1304" t="s">
        <v>19</v>
      </c>
      <c r="E1304" t="s">
        <v>1359</v>
      </c>
      <c r="F1304" t="s">
        <v>25</v>
      </c>
      <c r="G1304" t="s">
        <v>29</v>
      </c>
      <c r="H1304" t="s">
        <v>30</v>
      </c>
    </row>
    <row r="1305" spans="1:8" x14ac:dyDescent="0.3">
      <c r="A1305">
        <v>1304</v>
      </c>
      <c r="B1305" s="3">
        <v>45625.754340277803</v>
      </c>
      <c r="C1305" s="3">
        <v>45597</v>
      </c>
      <c r="D1305" t="s">
        <v>19</v>
      </c>
      <c r="E1305" t="s">
        <v>1360</v>
      </c>
      <c r="F1305" t="s">
        <v>21</v>
      </c>
      <c r="G1305" t="s">
        <v>345</v>
      </c>
      <c r="H1305" t="s">
        <v>30</v>
      </c>
    </row>
    <row r="1306" spans="1:8" x14ac:dyDescent="0.3">
      <c r="A1306">
        <v>1305</v>
      </c>
      <c r="B1306" s="3">
        <v>45626.551666666703</v>
      </c>
      <c r="C1306" s="3">
        <v>45597</v>
      </c>
      <c r="D1306" t="s">
        <v>19</v>
      </c>
      <c r="E1306" t="s">
        <v>1361</v>
      </c>
      <c r="F1306" t="s">
        <v>21</v>
      </c>
      <c r="G1306" t="s">
        <v>22</v>
      </c>
      <c r="H1306" t="s">
        <v>810</v>
      </c>
    </row>
    <row r="1307" spans="1:8" x14ac:dyDescent="0.3">
      <c r="A1307">
        <v>1306</v>
      </c>
      <c r="B1307" s="3">
        <v>45626.699444444399</v>
      </c>
      <c r="C1307" s="3">
        <v>45597</v>
      </c>
      <c r="D1307" t="s">
        <v>19</v>
      </c>
      <c r="E1307" t="s">
        <v>1362</v>
      </c>
      <c r="F1307" t="s">
        <v>40</v>
      </c>
      <c r="G1307" t="s">
        <v>41</v>
      </c>
      <c r="H1307" t="s">
        <v>30</v>
      </c>
    </row>
    <row r="1308" spans="1:8" x14ac:dyDescent="0.3">
      <c r="A1308">
        <v>1307</v>
      </c>
      <c r="B1308" s="3">
        <v>45626.700798611098</v>
      </c>
      <c r="C1308" s="3">
        <v>45597</v>
      </c>
      <c r="D1308" t="s">
        <v>19</v>
      </c>
      <c r="E1308" t="s">
        <v>1363</v>
      </c>
      <c r="F1308" t="s">
        <v>21</v>
      </c>
      <c r="G1308" t="s">
        <v>345</v>
      </c>
      <c r="H1308" t="s">
        <v>810</v>
      </c>
    </row>
    <row r="1309" spans="1:8" x14ac:dyDescent="0.3">
      <c r="A1309">
        <v>1308</v>
      </c>
      <c r="B1309" s="3">
        <v>45626.7495949074</v>
      </c>
      <c r="C1309" s="3">
        <v>45597</v>
      </c>
      <c r="D1309" t="s">
        <v>19</v>
      </c>
      <c r="E1309" t="s">
        <v>1364</v>
      </c>
      <c r="F1309" t="s">
        <v>25</v>
      </c>
      <c r="G1309" t="s">
        <v>345</v>
      </c>
      <c r="H1309" t="s">
        <v>30</v>
      </c>
    </row>
    <row r="1310" spans="1:8" x14ac:dyDescent="0.3">
      <c r="A1310">
        <v>1309</v>
      </c>
      <c r="B1310" s="3">
        <v>45626.752083333296</v>
      </c>
      <c r="C1310" s="3">
        <v>45597</v>
      </c>
      <c r="D1310" t="s">
        <v>19</v>
      </c>
      <c r="E1310" t="s">
        <v>1365</v>
      </c>
      <c r="F1310" t="s">
        <v>25</v>
      </c>
      <c r="G1310" t="s">
        <v>26</v>
      </c>
      <c r="H1310" t="s">
        <v>30</v>
      </c>
    </row>
    <row r="1311" spans="1:8" x14ac:dyDescent="0.3">
      <c r="A1311">
        <v>1310</v>
      </c>
      <c r="B1311" s="3">
        <v>45626.753784722197</v>
      </c>
      <c r="C1311" s="3">
        <v>45597</v>
      </c>
      <c r="D1311" t="s">
        <v>19</v>
      </c>
      <c r="E1311" t="s">
        <v>1366</v>
      </c>
      <c r="F1311" t="s">
        <v>25</v>
      </c>
      <c r="G1311" t="s">
        <v>26</v>
      </c>
      <c r="H1311" t="s">
        <v>30</v>
      </c>
    </row>
    <row r="1312" spans="1:8" x14ac:dyDescent="0.3">
      <c r="A1312">
        <v>1311</v>
      </c>
      <c r="B1312" s="3">
        <v>45626.770127314798</v>
      </c>
      <c r="C1312" s="3">
        <v>45597</v>
      </c>
      <c r="D1312" t="s">
        <v>19</v>
      </c>
      <c r="E1312" t="s">
        <v>1367</v>
      </c>
      <c r="F1312" t="s">
        <v>25</v>
      </c>
      <c r="G1312" t="s">
        <v>26</v>
      </c>
      <c r="H1312" t="s">
        <v>810</v>
      </c>
    </row>
    <row r="1313" spans="1:8" x14ac:dyDescent="0.3">
      <c r="A1313">
        <v>1312</v>
      </c>
      <c r="B1313" s="3">
        <v>45626.8438425926</v>
      </c>
      <c r="C1313" s="3">
        <v>45597</v>
      </c>
      <c r="D1313" t="s">
        <v>19</v>
      </c>
      <c r="E1313" t="s">
        <v>1368</v>
      </c>
      <c r="F1313" t="s">
        <v>25</v>
      </c>
      <c r="G1313" t="s">
        <v>345</v>
      </c>
      <c r="H1313" t="s">
        <v>30</v>
      </c>
    </row>
    <row r="1314" spans="1:8" x14ac:dyDescent="0.3">
      <c r="A1314">
        <v>1313</v>
      </c>
      <c r="B1314" s="3">
        <v>45633.6315509259</v>
      </c>
      <c r="C1314" s="3">
        <v>45627</v>
      </c>
      <c r="D1314" t="s">
        <v>19</v>
      </c>
      <c r="E1314" t="s">
        <v>1369</v>
      </c>
      <c r="F1314" t="s">
        <v>21</v>
      </c>
      <c r="G1314" t="s">
        <v>29</v>
      </c>
      <c r="H1314" t="s">
        <v>810</v>
      </c>
    </row>
    <row r="1315" spans="1:8" x14ac:dyDescent="0.3">
      <c r="A1315">
        <v>1314</v>
      </c>
      <c r="B1315" s="3">
        <v>45636.7132291667</v>
      </c>
      <c r="C1315" s="3">
        <v>45627</v>
      </c>
      <c r="D1315" t="s">
        <v>19</v>
      </c>
      <c r="E1315" t="s">
        <v>1370</v>
      </c>
      <c r="F1315" t="s">
        <v>21</v>
      </c>
      <c r="G1315" t="s">
        <v>26</v>
      </c>
      <c r="H1315" t="s">
        <v>810</v>
      </c>
    </row>
    <row r="1316" spans="1:8" x14ac:dyDescent="0.3">
      <c r="A1316">
        <v>1315</v>
      </c>
      <c r="B1316" s="3">
        <v>45637.499027777798</v>
      </c>
      <c r="C1316" s="3">
        <v>45627</v>
      </c>
      <c r="D1316" t="s">
        <v>19</v>
      </c>
      <c r="E1316" t="s">
        <v>1371</v>
      </c>
      <c r="F1316" t="s">
        <v>21</v>
      </c>
      <c r="G1316" t="s">
        <v>29</v>
      </c>
      <c r="H1316" t="s">
        <v>30</v>
      </c>
    </row>
    <row r="1317" spans="1:8" x14ac:dyDescent="0.3">
      <c r="A1317">
        <v>1316</v>
      </c>
      <c r="B1317" s="3">
        <v>45639.659548611096</v>
      </c>
      <c r="C1317" s="3">
        <v>45627</v>
      </c>
      <c r="D1317" t="s">
        <v>19</v>
      </c>
      <c r="E1317" t="s">
        <v>1372</v>
      </c>
      <c r="F1317" t="s">
        <v>32</v>
      </c>
      <c r="G1317" t="s">
        <v>26</v>
      </c>
      <c r="H1317" t="s">
        <v>30</v>
      </c>
    </row>
    <row r="1318" spans="1:8" x14ac:dyDescent="0.3">
      <c r="A1318">
        <v>1317</v>
      </c>
      <c r="B1318" s="3">
        <v>45640.5550462963</v>
      </c>
      <c r="C1318" s="3">
        <v>45627</v>
      </c>
      <c r="D1318" t="s">
        <v>19</v>
      </c>
      <c r="E1318" t="s">
        <v>1373</v>
      </c>
      <c r="F1318" t="s">
        <v>21</v>
      </c>
      <c r="G1318" t="s">
        <v>29</v>
      </c>
      <c r="H1318" t="s">
        <v>810</v>
      </c>
    </row>
    <row r="1319" spans="1:8" x14ac:dyDescent="0.3">
      <c r="A1319">
        <v>1318</v>
      </c>
      <c r="B1319" s="3">
        <v>45642.599398148202</v>
      </c>
      <c r="C1319" s="3">
        <v>45627</v>
      </c>
      <c r="D1319" t="s">
        <v>19</v>
      </c>
      <c r="E1319" t="s">
        <v>1374</v>
      </c>
      <c r="F1319" t="s">
        <v>21</v>
      </c>
      <c r="G1319" t="s">
        <v>29</v>
      </c>
      <c r="H1319" t="s">
        <v>27</v>
      </c>
    </row>
    <row r="1320" spans="1:8" x14ac:dyDescent="0.3">
      <c r="A1320">
        <v>1319</v>
      </c>
      <c r="B1320" s="3">
        <v>45642.601006944496</v>
      </c>
      <c r="C1320" s="3">
        <v>45627</v>
      </c>
      <c r="D1320" t="s">
        <v>19</v>
      </c>
      <c r="E1320" t="s">
        <v>1375</v>
      </c>
      <c r="F1320" t="s">
        <v>21</v>
      </c>
      <c r="G1320" t="s">
        <v>29</v>
      </c>
      <c r="H1320" t="s">
        <v>810</v>
      </c>
    </row>
    <row r="1321" spans="1:8" x14ac:dyDescent="0.3">
      <c r="A1321">
        <v>1320</v>
      </c>
      <c r="B1321" s="3">
        <v>45644.691261574102</v>
      </c>
      <c r="C1321" s="3">
        <v>45627</v>
      </c>
      <c r="D1321" t="s">
        <v>19</v>
      </c>
      <c r="E1321" t="s">
        <v>1376</v>
      </c>
      <c r="F1321" t="s">
        <v>40</v>
      </c>
      <c r="G1321" t="s">
        <v>48</v>
      </c>
      <c r="H1321" t="s">
        <v>30</v>
      </c>
    </row>
    <row r="1322" spans="1:8" x14ac:dyDescent="0.3">
      <c r="A1322">
        <v>1321</v>
      </c>
      <c r="B1322" s="3">
        <v>45645.620104166701</v>
      </c>
      <c r="C1322" s="3">
        <v>45627</v>
      </c>
      <c r="D1322" t="s">
        <v>19</v>
      </c>
      <c r="E1322" t="s">
        <v>1377</v>
      </c>
      <c r="F1322" t="s">
        <v>32</v>
      </c>
      <c r="G1322" t="s">
        <v>110</v>
      </c>
      <c r="H1322" t="s">
        <v>810</v>
      </c>
    </row>
    <row r="1323" spans="1:8" x14ac:dyDescent="0.3">
      <c r="A1323">
        <v>1322</v>
      </c>
      <c r="B1323" s="3">
        <v>45645.621979166703</v>
      </c>
      <c r="C1323" s="3">
        <v>45627</v>
      </c>
      <c r="D1323" t="s">
        <v>19</v>
      </c>
      <c r="E1323" t="s">
        <v>1378</v>
      </c>
      <c r="F1323" t="s">
        <v>25</v>
      </c>
      <c r="G1323" t="s">
        <v>26</v>
      </c>
      <c r="H1323" t="s">
        <v>810</v>
      </c>
    </row>
    <row r="1324" spans="1:8" x14ac:dyDescent="0.3">
      <c r="A1324">
        <v>1323</v>
      </c>
      <c r="B1324" s="3">
        <v>45646.738680555602</v>
      </c>
      <c r="C1324" s="3">
        <v>45627</v>
      </c>
      <c r="D1324" t="s">
        <v>19</v>
      </c>
      <c r="E1324" t="s">
        <v>1379</v>
      </c>
      <c r="F1324" t="s">
        <v>21</v>
      </c>
      <c r="G1324" t="s">
        <v>22</v>
      </c>
      <c r="H1324" t="s">
        <v>810</v>
      </c>
    </row>
    <row r="1325" spans="1:8" x14ac:dyDescent="0.3">
      <c r="A1325">
        <v>1324</v>
      </c>
      <c r="B1325" s="3">
        <v>45646.760405092602</v>
      </c>
      <c r="C1325" s="3">
        <v>45627</v>
      </c>
      <c r="D1325" t="s">
        <v>19</v>
      </c>
      <c r="E1325" t="s">
        <v>1380</v>
      </c>
      <c r="F1325" t="s">
        <v>21</v>
      </c>
      <c r="G1325" t="s">
        <v>22</v>
      </c>
      <c r="H1325" t="s">
        <v>1381</v>
      </c>
    </row>
    <row r="1326" spans="1:8" x14ac:dyDescent="0.3">
      <c r="A1326">
        <v>1325</v>
      </c>
      <c r="B1326" s="3">
        <v>45647.574016203696</v>
      </c>
      <c r="C1326" s="3">
        <v>45627</v>
      </c>
      <c r="D1326" t="s">
        <v>19</v>
      </c>
      <c r="E1326" t="s">
        <v>1382</v>
      </c>
      <c r="F1326" t="s">
        <v>21</v>
      </c>
      <c r="G1326" t="s">
        <v>22</v>
      </c>
      <c r="H1326" t="s">
        <v>1381</v>
      </c>
    </row>
    <row r="1327" spans="1:8" x14ac:dyDescent="0.3">
      <c r="A1327">
        <v>1326</v>
      </c>
      <c r="B1327" s="3">
        <v>45647.608449074098</v>
      </c>
      <c r="C1327" s="3">
        <v>45627</v>
      </c>
      <c r="D1327" t="s">
        <v>19</v>
      </c>
      <c r="E1327" t="s">
        <v>1383</v>
      </c>
      <c r="F1327" t="s">
        <v>21</v>
      </c>
      <c r="G1327" t="s">
        <v>29</v>
      </c>
      <c r="H1327" t="s">
        <v>30</v>
      </c>
    </row>
    <row r="1328" spans="1:8" x14ac:dyDescent="0.3">
      <c r="A1328">
        <v>1327</v>
      </c>
      <c r="B1328" s="3">
        <v>45647.662199074097</v>
      </c>
      <c r="C1328" s="3">
        <v>45627</v>
      </c>
      <c r="D1328" t="s">
        <v>19</v>
      </c>
      <c r="E1328" t="s">
        <v>1384</v>
      </c>
      <c r="F1328" t="s">
        <v>21</v>
      </c>
      <c r="G1328" t="s">
        <v>22</v>
      </c>
      <c r="H1328" t="s">
        <v>30</v>
      </c>
    </row>
    <row r="1329" spans="1:8" x14ac:dyDescent="0.3">
      <c r="A1329">
        <v>1328</v>
      </c>
      <c r="B1329" s="3">
        <v>45647.670416666697</v>
      </c>
      <c r="C1329" s="3">
        <v>45627</v>
      </c>
      <c r="D1329" t="s">
        <v>19</v>
      </c>
      <c r="E1329" t="s">
        <v>1385</v>
      </c>
      <c r="F1329" t="s">
        <v>21</v>
      </c>
      <c r="G1329" t="s">
        <v>22</v>
      </c>
      <c r="H1329" t="s">
        <v>810</v>
      </c>
    </row>
    <row r="1330" spans="1:8" x14ac:dyDescent="0.3">
      <c r="A1330">
        <v>1329</v>
      </c>
      <c r="B1330" s="3">
        <v>45649.668321759302</v>
      </c>
      <c r="C1330" s="3">
        <v>45627</v>
      </c>
      <c r="D1330" t="s">
        <v>19</v>
      </c>
      <c r="E1330" t="s">
        <v>1386</v>
      </c>
      <c r="F1330" t="s">
        <v>21</v>
      </c>
      <c r="G1330" t="s">
        <v>29</v>
      </c>
      <c r="H1330" t="s">
        <v>27</v>
      </c>
    </row>
    <row r="1331" spans="1:8" x14ac:dyDescent="0.3">
      <c r="A1331">
        <v>1330</v>
      </c>
      <c r="B1331" s="3">
        <v>45650.499675925901</v>
      </c>
      <c r="C1331" s="3">
        <v>45627</v>
      </c>
      <c r="D1331" t="s">
        <v>19</v>
      </c>
      <c r="E1331" t="s">
        <v>1387</v>
      </c>
      <c r="F1331" t="s">
        <v>21</v>
      </c>
      <c r="G1331" t="s">
        <v>22</v>
      </c>
      <c r="H1331" t="s">
        <v>810</v>
      </c>
    </row>
    <row r="1332" spans="1:8" x14ac:dyDescent="0.3">
      <c r="A1332">
        <v>1331</v>
      </c>
      <c r="B1332" s="3">
        <v>45650.563611111102</v>
      </c>
      <c r="C1332" s="3">
        <v>45627</v>
      </c>
      <c r="D1332" t="s">
        <v>19</v>
      </c>
      <c r="E1332" t="s">
        <v>1388</v>
      </c>
      <c r="F1332" t="s">
        <v>21</v>
      </c>
      <c r="G1332" t="s">
        <v>22</v>
      </c>
      <c r="H1332" t="s">
        <v>27</v>
      </c>
    </row>
    <row r="1333" spans="1:8" x14ac:dyDescent="0.3">
      <c r="A1333">
        <v>1332</v>
      </c>
      <c r="B1333" s="3">
        <v>45650.706087963001</v>
      </c>
      <c r="C1333" s="3">
        <v>45627</v>
      </c>
      <c r="D1333" t="s">
        <v>19</v>
      </c>
      <c r="E1333" t="s">
        <v>1389</v>
      </c>
      <c r="F1333" t="s">
        <v>32</v>
      </c>
      <c r="G1333" t="s">
        <v>33</v>
      </c>
      <c r="H1333" t="s">
        <v>810</v>
      </c>
    </row>
    <row r="1334" spans="1:8" x14ac:dyDescent="0.3">
      <c r="A1334">
        <v>1333</v>
      </c>
      <c r="B1334" s="3">
        <v>45650.740983796299</v>
      </c>
      <c r="C1334" s="3">
        <v>45627</v>
      </c>
      <c r="D1334" t="s">
        <v>19</v>
      </c>
      <c r="E1334" t="s">
        <v>1390</v>
      </c>
      <c r="F1334" t="s">
        <v>32</v>
      </c>
      <c r="G1334" t="s">
        <v>33</v>
      </c>
      <c r="H1334" t="s">
        <v>810</v>
      </c>
    </row>
    <row r="1335" spans="1:8" x14ac:dyDescent="0.3">
      <c r="A1335">
        <v>1334</v>
      </c>
      <c r="B1335" s="3">
        <v>45652.662187499998</v>
      </c>
      <c r="C1335" s="3">
        <v>45627</v>
      </c>
      <c r="D1335" t="s">
        <v>19</v>
      </c>
      <c r="E1335" t="s">
        <v>1391</v>
      </c>
      <c r="F1335" t="s">
        <v>32</v>
      </c>
      <c r="G1335" t="s">
        <v>33</v>
      </c>
      <c r="H1335" t="s">
        <v>810</v>
      </c>
    </row>
    <row r="1336" spans="1:8" x14ac:dyDescent="0.3">
      <c r="A1336">
        <v>1335</v>
      </c>
      <c r="B1336" s="3">
        <v>45656.535324074102</v>
      </c>
      <c r="C1336" s="3">
        <v>45627</v>
      </c>
      <c r="D1336" t="s">
        <v>19</v>
      </c>
      <c r="E1336" t="s">
        <v>1392</v>
      </c>
      <c r="F1336" t="s">
        <v>21</v>
      </c>
      <c r="G1336" t="s">
        <v>29</v>
      </c>
      <c r="H1336" t="s">
        <v>27</v>
      </c>
    </row>
    <row r="1337" spans="1:8" x14ac:dyDescent="0.3">
      <c r="A1337">
        <v>1336</v>
      </c>
      <c r="B1337" s="3">
        <v>45656.585694444497</v>
      </c>
      <c r="C1337" s="3">
        <v>45627</v>
      </c>
      <c r="D1337" t="s">
        <v>19</v>
      </c>
      <c r="E1337" t="s">
        <v>1393</v>
      </c>
      <c r="F1337" t="s">
        <v>21</v>
      </c>
      <c r="G1337" t="s">
        <v>22</v>
      </c>
      <c r="H1337" t="s">
        <v>30</v>
      </c>
    </row>
    <row r="1338" spans="1:8" x14ac:dyDescent="0.3">
      <c r="A1338">
        <v>1337</v>
      </c>
      <c r="B1338" s="3">
        <v>45656.783622685201</v>
      </c>
      <c r="C1338" s="3">
        <v>45627</v>
      </c>
      <c r="D1338" t="s">
        <v>19</v>
      </c>
      <c r="E1338" t="s">
        <v>1394</v>
      </c>
      <c r="F1338" t="s">
        <v>32</v>
      </c>
      <c r="G1338" t="s">
        <v>33</v>
      </c>
      <c r="H1338" t="s">
        <v>30</v>
      </c>
    </row>
    <row r="1339" spans="1:8" x14ac:dyDescent="0.3">
      <c r="A1339">
        <v>1338</v>
      </c>
      <c r="B1339" s="3">
        <v>45656.784560185202</v>
      </c>
      <c r="C1339" s="3">
        <v>45627</v>
      </c>
      <c r="D1339" t="s">
        <v>19</v>
      </c>
      <c r="E1339" t="s">
        <v>1395</v>
      </c>
      <c r="F1339" t="s">
        <v>25</v>
      </c>
      <c r="G1339" t="s">
        <v>29</v>
      </c>
      <c r="H1339" t="s">
        <v>30</v>
      </c>
    </row>
    <row r="1340" spans="1:8" x14ac:dyDescent="0.3">
      <c r="A1340">
        <v>1339</v>
      </c>
      <c r="B1340" s="3">
        <v>45656.788240740701</v>
      </c>
      <c r="C1340" s="3">
        <v>45627</v>
      </c>
      <c r="D1340" t="s">
        <v>19</v>
      </c>
      <c r="E1340" t="s">
        <v>1396</v>
      </c>
      <c r="F1340" t="s">
        <v>40</v>
      </c>
      <c r="G1340" t="s">
        <v>75</v>
      </c>
      <c r="H1340" t="s">
        <v>810</v>
      </c>
    </row>
    <row r="1341" spans="1:8" x14ac:dyDescent="0.3">
      <c r="A1341">
        <v>1340</v>
      </c>
      <c r="B1341" s="3">
        <v>45656.795092592598</v>
      </c>
      <c r="C1341" s="3">
        <v>45627</v>
      </c>
      <c r="D1341" t="s">
        <v>19</v>
      </c>
      <c r="E1341" t="s">
        <v>1397</v>
      </c>
      <c r="F1341" t="s">
        <v>21</v>
      </c>
      <c r="G1341" t="s">
        <v>22</v>
      </c>
      <c r="H1341" t="s">
        <v>810</v>
      </c>
    </row>
    <row r="1342" spans="1:8" x14ac:dyDescent="0.3">
      <c r="A1342">
        <v>1341</v>
      </c>
      <c r="B1342" s="3">
        <v>45657.859178240702</v>
      </c>
      <c r="C1342" s="3">
        <v>45627</v>
      </c>
      <c r="D1342" t="s">
        <v>19</v>
      </c>
      <c r="E1342" t="s">
        <v>1398</v>
      </c>
      <c r="F1342" t="s">
        <v>32</v>
      </c>
      <c r="G1342" t="s">
        <v>593</v>
      </c>
      <c r="H1342" t="s">
        <v>30</v>
      </c>
    </row>
    <row r="1343" spans="1:8" x14ac:dyDescent="0.3">
      <c r="A1343">
        <v>1342</v>
      </c>
      <c r="B1343" s="3">
        <v>45659.708888888897</v>
      </c>
      <c r="C1343" s="3">
        <v>45658</v>
      </c>
      <c r="D1343" t="s">
        <v>19</v>
      </c>
      <c r="E1343" t="s">
        <v>1399</v>
      </c>
      <c r="F1343" t="s">
        <v>25</v>
      </c>
      <c r="G1343" t="s">
        <v>26</v>
      </c>
      <c r="H1343" t="s">
        <v>27</v>
      </c>
    </row>
    <row r="1344" spans="1:8" x14ac:dyDescent="0.3">
      <c r="A1344">
        <v>1343</v>
      </c>
      <c r="B1344" s="3">
        <v>45665.7293518519</v>
      </c>
      <c r="C1344" s="3">
        <v>45658</v>
      </c>
      <c r="D1344" t="s">
        <v>19</v>
      </c>
      <c r="E1344" t="s">
        <v>1400</v>
      </c>
      <c r="F1344" t="s">
        <v>21</v>
      </c>
      <c r="G1344" t="s">
        <v>22</v>
      </c>
      <c r="H1344" t="s">
        <v>810</v>
      </c>
    </row>
    <row r="1345" spans="1:8" x14ac:dyDescent="0.3">
      <c r="A1345">
        <v>1344</v>
      </c>
      <c r="B1345" s="3">
        <v>45667.650173611102</v>
      </c>
      <c r="C1345" s="3">
        <v>45658</v>
      </c>
      <c r="D1345" t="s">
        <v>19</v>
      </c>
      <c r="E1345" t="s">
        <v>1401</v>
      </c>
      <c r="F1345" t="s">
        <v>25</v>
      </c>
      <c r="G1345" t="s">
        <v>26</v>
      </c>
      <c r="H1345" t="s">
        <v>30</v>
      </c>
    </row>
    <row r="1346" spans="1:8" x14ac:dyDescent="0.3">
      <c r="A1346">
        <v>1345</v>
      </c>
      <c r="B1346" s="3">
        <v>45671.596828703703</v>
      </c>
      <c r="C1346" s="3">
        <v>45658</v>
      </c>
      <c r="D1346" t="s">
        <v>19</v>
      </c>
      <c r="E1346" t="s">
        <v>1402</v>
      </c>
      <c r="F1346" t="s">
        <v>21</v>
      </c>
      <c r="G1346" t="s">
        <v>29</v>
      </c>
      <c r="H1346" t="s">
        <v>30</v>
      </c>
    </row>
    <row r="1347" spans="1:8" x14ac:dyDescent="0.3">
      <c r="A1347">
        <v>1346</v>
      </c>
      <c r="B1347" s="3">
        <v>45673.602847222202</v>
      </c>
      <c r="C1347" s="3">
        <v>45658</v>
      </c>
      <c r="D1347" t="s">
        <v>19</v>
      </c>
      <c r="E1347" t="s">
        <v>1403</v>
      </c>
      <c r="F1347" t="s">
        <v>21</v>
      </c>
      <c r="G1347" t="s">
        <v>22</v>
      </c>
      <c r="H1347" t="s">
        <v>1381</v>
      </c>
    </row>
    <row r="1348" spans="1:8" x14ac:dyDescent="0.3">
      <c r="A1348">
        <v>1347</v>
      </c>
      <c r="B1348" s="3">
        <v>45675.674953703703</v>
      </c>
      <c r="C1348" s="3">
        <v>45658</v>
      </c>
      <c r="D1348" t="s">
        <v>19</v>
      </c>
      <c r="E1348" t="s">
        <v>1404</v>
      </c>
      <c r="F1348" t="s">
        <v>32</v>
      </c>
      <c r="G1348" t="s">
        <v>69</v>
      </c>
      <c r="H1348" t="s">
        <v>1381</v>
      </c>
    </row>
    <row r="1349" spans="1:8" x14ac:dyDescent="0.3">
      <c r="A1349">
        <v>1348</v>
      </c>
      <c r="B1349" s="3">
        <v>45678.576527777797</v>
      </c>
      <c r="C1349" s="3">
        <v>45658</v>
      </c>
      <c r="D1349" t="s">
        <v>19</v>
      </c>
      <c r="E1349" t="s">
        <v>1405</v>
      </c>
      <c r="F1349" t="s">
        <v>21</v>
      </c>
      <c r="G1349" t="s">
        <v>29</v>
      </c>
      <c r="H1349" t="s">
        <v>1381</v>
      </c>
    </row>
    <row r="1350" spans="1:8" x14ac:dyDescent="0.3">
      <c r="A1350">
        <v>1349</v>
      </c>
      <c r="B1350" s="3">
        <v>45678.735868055599</v>
      </c>
      <c r="C1350" s="3">
        <v>45658</v>
      </c>
      <c r="D1350" t="s">
        <v>19</v>
      </c>
      <c r="E1350" t="s">
        <v>1406</v>
      </c>
      <c r="F1350" t="s">
        <v>25</v>
      </c>
      <c r="G1350" t="s">
        <v>593</v>
      </c>
      <c r="H1350" t="s">
        <v>1381</v>
      </c>
    </row>
    <row r="1351" spans="1:8" x14ac:dyDescent="0.3">
      <c r="A1351">
        <v>1350</v>
      </c>
      <c r="B1351" s="3">
        <v>45679.675682870402</v>
      </c>
      <c r="C1351" s="3">
        <v>45658</v>
      </c>
      <c r="D1351" t="s">
        <v>19</v>
      </c>
      <c r="E1351" t="s">
        <v>1407</v>
      </c>
      <c r="F1351" t="s">
        <v>21</v>
      </c>
      <c r="G1351" t="s">
        <v>22</v>
      </c>
      <c r="H1351" t="s">
        <v>1381</v>
      </c>
    </row>
    <row r="1352" spans="1:8" x14ac:dyDescent="0.3">
      <c r="A1352">
        <v>1351</v>
      </c>
      <c r="B1352" s="3">
        <v>45680.5441782407</v>
      </c>
      <c r="C1352" s="3">
        <v>45658</v>
      </c>
      <c r="D1352" t="s">
        <v>19</v>
      </c>
      <c r="E1352" t="s">
        <v>1408</v>
      </c>
      <c r="F1352" t="s">
        <v>32</v>
      </c>
      <c r="G1352" t="s">
        <v>33</v>
      </c>
      <c r="H1352" t="s">
        <v>30</v>
      </c>
    </row>
    <row r="1353" spans="1:8" x14ac:dyDescent="0.3">
      <c r="A1353">
        <v>1352</v>
      </c>
      <c r="B1353" s="3">
        <v>45680.646180555603</v>
      </c>
      <c r="C1353" s="3">
        <v>45658</v>
      </c>
      <c r="D1353" t="s">
        <v>19</v>
      </c>
      <c r="E1353" t="s">
        <v>1409</v>
      </c>
      <c r="F1353" t="s">
        <v>21</v>
      </c>
      <c r="G1353" t="s">
        <v>22</v>
      </c>
      <c r="H1353" t="s">
        <v>810</v>
      </c>
    </row>
    <row r="1354" spans="1:8" x14ac:dyDescent="0.3">
      <c r="A1354">
        <v>1353</v>
      </c>
      <c r="B1354" s="3">
        <v>45681.450578703698</v>
      </c>
      <c r="C1354" s="3">
        <v>45658</v>
      </c>
      <c r="D1354" t="s">
        <v>19</v>
      </c>
      <c r="E1354" t="s">
        <v>1410</v>
      </c>
      <c r="F1354" t="s">
        <v>32</v>
      </c>
      <c r="G1354" t="s">
        <v>33</v>
      </c>
      <c r="H1354" t="s">
        <v>1381</v>
      </c>
    </row>
    <row r="1355" spans="1:8" x14ac:dyDescent="0.3">
      <c r="A1355">
        <v>1354</v>
      </c>
      <c r="B1355" s="3">
        <v>45681.645150463002</v>
      </c>
      <c r="C1355" s="3">
        <v>45658</v>
      </c>
      <c r="D1355" t="s">
        <v>19</v>
      </c>
      <c r="E1355" t="s">
        <v>1411</v>
      </c>
      <c r="F1355" t="s">
        <v>40</v>
      </c>
      <c r="G1355" t="s">
        <v>75</v>
      </c>
      <c r="H1355" t="s">
        <v>1381</v>
      </c>
    </row>
    <row r="1356" spans="1:8" x14ac:dyDescent="0.3">
      <c r="A1356">
        <v>1355</v>
      </c>
      <c r="B1356" s="3">
        <v>45681.704849537004</v>
      </c>
      <c r="C1356" s="3">
        <v>45658</v>
      </c>
      <c r="D1356" t="s">
        <v>19</v>
      </c>
      <c r="E1356" t="s">
        <v>1412</v>
      </c>
      <c r="F1356" t="s">
        <v>21</v>
      </c>
      <c r="G1356" t="s">
        <v>29</v>
      </c>
      <c r="H1356" t="s">
        <v>30</v>
      </c>
    </row>
    <row r="1357" spans="1:8" x14ac:dyDescent="0.3">
      <c r="A1357">
        <v>1356</v>
      </c>
      <c r="B1357" s="3">
        <v>45688.670509259297</v>
      </c>
      <c r="C1357" s="3">
        <v>45658</v>
      </c>
      <c r="D1357" t="s">
        <v>19</v>
      </c>
      <c r="E1357" t="s">
        <v>1413</v>
      </c>
      <c r="F1357" t="s">
        <v>21</v>
      </c>
      <c r="G1357" t="s">
        <v>22</v>
      </c>
      <c r="H1357" t="s">
        <v>810</v>
      </c>
    </row>
    <row r="1358" spans="1:8" x14ac:dyDescent="0.3">
      <c r="A1358">
        <v>1357</v>
      </c>
      <c r="B1358" s="3">
        <v>45693.737939814797</v>
      </c>
      <c r="C1358" s="3">
        <v>45689</v>
      </c>
      <c r="D1358" t="s">
        <v>19</v>
      </c>
      <c r="E1358" t="s">
        <v>1414</v>
      </c>
      <c r="F1358" t="s">
        <v>32</v>
      </c>
      <c r="G1358" t="s">
        <v>69</v>
      </c>
      <c r="H1358" t="s">
        <v>1381</v>
      </c>
    </row>
    <row r="1359" spans="1:8" x14ac:dyDescent="0.3">
      <c r="A1359">
        <v>1358</v>
      </c>
      <c r="B1359" s="3">
        <v>45694.610740740703</v>
      </c>
      <c r="C1359" s="3">
        <v>45689</v>
      </c>
      <c r="D1359" t="s">
        <v>19</v>
      </c>
      <c r="E1359" t="s">
        <v>1415</v>
      </c>
      <c r="F1359" t="s">
        <v>21</v>
      </c>
      <c r="G1359" t="s">
        <v>26</v>
      </c>
      <c r="H1359" t="s">
        <v>1381</v>
      </c>
    </row>
    <row r="1360" spans="1:8" x14ac:dyDescent="0.3">
      <c r="A1360">
        <v>1359</v>
      </c>
      <c r="B1360" s="3">
        <v>45694.629039351901</v>
      </c>
      <c r="C1360" s="3">
        <v>45689</v>
      </c>
      <c r="D1360" t="s">
        <v>19</v>
      </c>
      <c r="E1360" t="s">
        <v>1416</v>
      </c>
      <c r="F1360" t="s">
        <v>25</v>
      </c>
      <c r="G1360" t="s">
        <v>26</v>
      </c>
      <c r="H1360" t="s">
        <v>1381</v>
      </c>
    </row>
    <row r="1361" spans="1:8" x14ac:dyDescent="0.3">
      <c r="A1361">
        <v>1360</v>
      </c>
      <c r="B1361" s="3">
        <v>45695.5140509259</v>
      </c>
      <c r="C1361" s="3">
        <v>45689</v>
      </c>
      <c r="D1361" t="s">
        <v>19</v>
      </c>
      <c r="E1361" t="s">
        <v>1417</v>
      </c>
      <c r="F1361" t="s">
        <v>21</v>
      </c>
      <c r="G1361" t="s">
        <v>22</v>
      </c>
      <c r="H1361" t="s">
        <v>30</v>
      </c>
    </row>
    <row r="1362" spans="1:8" x14ac:dyDescent="0.3">
      <c r="A1362">
        <v>1361</v>
      </c>
      <c r="B1362" s="3">
        <v>45696.4207060185</v>
      </c>
      <c r="C1362" s="3">
        <v>45689</v>
      </c>
      <c r="D1362" t="s">
        <v>19</v>
      </c>
      <c r="E1362" t="s">
        <v>1418</v>
      </c>
      <c r="F1362" t="s">
        <v>40</v>
      </c>
      <c r="G1362" t="s">
        <v>48</v>
      </c>
      <c r="H1362" t="s">
        <v>810</v>
      </c>
    </row>
    <row r="1363" spans="1:8" x14ac:dyDescent="0.3">
      <c r="A1363">
        <v>1362</v>
      </c>
      <c r="B1363" s="3">
        <v>45698.580543981501</v>
      </c>
      <c r="C1363" s="3">
        <v>45689</v>
      </c>
      <c r="D1363" t="s">
        <v>19</v>
      </c>
      <c r="E1363" t="s">
        <v>1419</v>
      </c>
      <c r="F1363" t="s">
        <v>32</v>
      </c>
      <c r="G1363" t="s">
        <v>33</v>
      </c>
      <c r="H1363" t="s">
        <v>1381</v>
      </c>
    </row>
    <row r="1364" spans="1:8" x14ac:dyDescent="0.3">
      <c r="A1364">
        <v>1363</v>
      </c>
      <c r="B1364" s="3">
        <v>45698.590729166703</v>
      </c>
      <c r="C1364" s="3">
        <v>45689</v>
      </c>
      <c r="D1364" t="s">
        <v>19</v>
      </c>
      <c r="E1364" t="s">
        <v>1420</v>
      </c>
      <c r="F1364" t="s">
        <v>21</v>
      </c>
      <c r="G1364" t="s">
        <v>22</v>
      </c>
      <c r="H1364" t="s">
        <v>1381</v>
      </c>
    </row>
    <row r="1365" spans="1:8" x14ac:dyDescent="0.3">
      <c r="A1365">
        <v>1364</v>
      </c>
      <c r="B1365" s="3">
        <v>45699.682083333297</v>
      </c>
      <c r="C1365" s="3">
        <v>45689</v>
      </c>
      <c r="D1365" t="s">
        <v>19</v>
      </c>
      <c r="E1365" t="s">
        <v>1421</v>
      </c>
      <c r="F1365" t="s">
        <v>21</v>
      </c>
      <c r="G1365" t="s">
        <v>29</v>
      </c>
      <c r="H1365" t="s">
        <v>810</v>
      </c>
    </row>
    <row r="1366" spans="1:8" x14ac:dyDescent="0.3">
      <c r="A1366">
        <v>1365</v>
      </c>
      <c r="B1366" s="3">
        <v>45701.7028587963</v>
      </c>
      <c r="C1366" s="3">
        <v>45689</v>
      </c>
      <c r="D1366" t="s">
        <v>19</v>
      </c>
      <c r="E1366" t="s">
        <v>1422</v>
      </c>
      <c r="F1366" t="s">
        <v>40</v>
      </c>
      <c r="G1366" t="s">
        <v>75</v>
      </c>
      <c r="H1366" t="s">
        <v>810</v>
      </c>
    </row>
    <row r="1367" spans="1:8" x14ac:dyDescent="0.3">
      <c r="A1367">
        <v>1366</v>
      </c>
      <c r="B1367" s="3">
        <v>45702.411793981497</v>
      </c>
      <c r="C1367" s="3">
        <v>45689</v>
      </c>
      <c r="D1367" t="s">
        <v>19</v>
      </c>
      <c r="E1367" t="s">
        <v>1423</v>
      </c>
      <c r="F1367" t="s">
        <v>21</v>
      </c>
      <c r="G1367" t="s">
        <v>22</v>
      </c>
      <c r="H1367" t="s">
        <v>30</v>
      </c>
    </row>
    <row r="1368" spans="1:8" x14ac:dyDescent="0.3">
      <c r="A1368">
        <v>1367</v>
      </c>
      <c r="B1368" s="3">
        <v>45702.437106481499</v>
      </c>
      <c r="C1368" s="3">
        <v>45689</v>
      </c>
      <c r="D1368" t="s">
        <v>19</v>
      </c>
      <c r="E1368" t="s">
        <v>1424</v>
      </c>
      <c r="F1368" t="s">
        <v>32</v>
      </c>
      <c r="G1368" t="s">
        <v>110</v>
      </c>
      <c r="H1368" t="s">
        <v>1381</v>
      </c>
    </row>
    <row r="1369" spans="1:8" x14ac:dyDescent="0.3">
      <c r="A1369">
        <v>1368</v>
      </c>
      <c r="B1369" s="3">
        <v>45703.520185185203</v>
      </c>
      <c r="C1369" s="3">
        <v>45689</v>
      </c>
      <c r="D1369" t="s">
        <v>19</v>
      </c>
      <c r="E1369" t="s">
        <v>1425</v>
      </c>
      <c r="F1369" t="s">
        <v>32</v>
      </c>
      <c r="G1369" t="s">
        <v>69</v>
      </c>
      <c r="H1369" t="s">
        <v>810</v>
      </c>
    </row>
    <row r="1370" spans="1:8" x14ac:dyDescent="0.3">
      <c r="A1370">
        <v>1369</v>
      </c>
      <c r="B1370" s="3">
        <v>45706.515474537002</v>
      </c>
      <c r="C1370" s="3">
        <v>45689</v>
      </c>
      <c r="D1370" t="s">
        <v>19</v>
      </c>
      <c r="E1370" t="s">
        <v>1426</v>
      </c>
      <c r="F1370" t="s">
        <v>21</v>
      </c>
      <c r="G1370" t="s">
        <v>22</v>
      </c>
      <c r="H1370" t="s">
        <v>1381</v>
      </c>
    </row>
    <row r="1371" spans="1:8" x14ac:dyDescent="0.3">
      <c r="A1371">
        <v>1370</v>
      </c>
      <c r="B1371" s="3">
        <v>45706.732685185198</v>
      </c>
      <c r="C1371" s="3">
        <v>45689</v>
      </c>
      <c r="D1371" t="s">
        <v>19</v>
      </c>
      <c r="E1371" t="s">
        <v>1427</v>
      </c>
      <c r="F1371" t="s">
        <v>32</v>
      </c>
      <c r="G1371" t="s">
        <v>29</v>
      </c>
      <c r="H1371" t="s">
        <v>27</v>
      </c>
    </row>
    <row r="1372" spans="1:8" x14ac:dyDescent="0.3">
      <c r="A1372">
        <v>1371</v>
      </c>
      <c r="B1372" s="3">
        <v>45707.715011574102</v>
      </c>
      <c r="C1372" s="3">
        <v>45689</v>
      </c>
      <c r="D1372" t="s">
        <v>19</v>
      </c>
      <c r="E1372" t="s">
        <v>1428</v>
      </c>
      <c r="F1372" t="s">
        <v>40</v>
      </c>
      <c r="G1372" t="s">
        <v>41</v>
      </c>
      <c r="H1372" t="s">
        <v>1381</v>
      </c>
    </row>
    <row r="1373" spans="1:8" x14ac:dyDescent="0.3">
      <c r="A1373">
        <v>1372</v>
      </c>
      <c r="B1373" s="3">
        <v>45708.424178240697</v>
      </c>
      <c r="C1373" s="3">
        <v>45689</v>
      </c>
      <c r="D1373" t="s">
        <v>19</v>
      </c>
      <c r="E1373" t="s">
        <v>1429</v>
      </c>
      <c r="F1373" t="s">
        <v>21</v>
      </c>
      <c r="G1373" t="s">
        <v>22</v>
      </c>
      <c r="H1373" t="s">
        <v>810</v>
      </c>
    </row>
    <row r="1374" spans="1:8" x14ac:dyDescent="0.3">
      <c r="A1374">
        <v>1373</v>
      </c>
      <c r="B1374" s="3">
        <v>45709.724374999998</v>
      </c>
      <c r="C1374" s="3">
        <v>45689</v>
      </c>
      <c r="D1374" t="s">
        <v>19</v>
      </c>
      <c r="E1374" t="s">
        <v>1430</v>
      </c>
      <c r="F1374" t="s">
        <v>21</v>
      </c>
      <c r="G1374" t="s">
        <v>264</v>
      </c>
      <c r="H1374" t="s">
        <v>27</v>
      </c>
    </row>
    <row r="1375" spans="1:8" x14ac:dyDescent="0.3">
      <c r="A1375">
        <v>1374</v>
      </c>
      <c r="B1375" s="3">
        <v>45710.4406018519</v>
      </c>
      <c r="C1375" s="3">
        <v>45689</v>
      </c>
      <c r="D1375" t="s">
        <v>19</v>
      </c>
      <c r="E1375" t="s">
        <v>1431</v>
      </c>
      <c r="F1375" t="s">
        <v>32</v>
      </c>
      <c r="G1375" t="s">
        <v>69</v>
      </c>
      <c r="H1375" t="s">
        <v>810</v>
      </c>
    </row>
    <row r="1376" spans="1:8" x14ac:dyDescent="0.3">
      <c r="A1376">
        <v>1375</v>
      </c>
      <c r="B1376" s="3">
        <v>45712.7335185185</v>
      </c>
      <c r="C1376" s="3">
        <v>45689</v>
      </c>
      <c r="D1376" t="s">
        <v>19</v>
      </c>
      <c r="E1376" t="s">
        <v>1432</v>
      </c>
      <c r="F1376" t="s">
        <v>32</v>
      </c>
      <c r="G1376" t="s">
        <v>110</v>
      </c>
      <c r="H1376" t="s">
        <v>1381</v>
      </c>
    </row>
    <row r="1377" spans="1:8" x14ac:dyDescent="0.3">
      <c r="A1377">
        <v>1376</v>
      </c>
      <c r="B1377" s="3">
        <v>45713.72</v>
      </c>
      <c r="C1377" s="3">
        <v>45689</v>
      </c>
      <c r="D1377" t="s">
        <v>19</v>
      </c>
      <c r="E1377" t="s">
        <v>1433</v>
      </c>
      <c r="F1377" t="s">
        <v>40</v>
      </c>
      <c r="G1377" t="s">
        <v>48</v>
      </c>
      <c r="H1377" t="s">
        <v>1381</v>
      </c>
    </row>
    <row r="1378" spans="1:8" x14ac:dyDescent="0.3">
      <c r="A1378">
        <v>1377</v>
      </c>
      <c r="B1378" s="3">
        <v>45715.5291782407</v>
      </c>
      <c r="C1378" s="3">
        <v>45689</v>
      </c>
      <c r="D1378" t="s">
        <v>19</v>
      </c>
      <c r="E1378" t="s">
        <v>1434</v>
      </c>
      <c r="F1378" t="s">
        <v>25</v>
      </c>
      <c r="G1378" t="s">
        <v>26</v>
      </c>
      <c r="H1378" t="s">
        <v>810</v>
      </c>
    </row>
    <row r="1379" spans="1:8" x14ac:dyDescent="0.3">
      <c r="A1379">
        <v>1378</v>
      </c>
      <c r="B1379" s="3">
        <v>45715.752592592602</v>
      </c>
      <c r="C1379" s="3">
        <v>45689</v>
      </c>
      <c r="D1379" t="s">
        <v>19</v>
      </c>
      <c r="E1379" t="s">
        <v>1435</v>
      </c>
      <c r="F1379" t="s">
        <v>25</v>
      </c>
      <c r="G1379" t="s">
        <v>26</v>
      </c>
      <c r="H1379" t="s">
        <v>30</v>
      </c>
    </row>
    <row r="1380" spans="1:8" x14ac:dyDescent="0.3">
      <c r="A1380">
        <v>1379</v>
      </c>
      <c r="B1380" s="3">
        <v>45716.769849536999</v>
      </c>
      <c r="C1380" s="3">
        <v>45689</v>
      </c>
      <c r="D1380" t="s">
        <v>19</v>
      </c>
      <c r="E1380" t="s">
        <v>1436</v>
      </c>
      <c r="F1380" t="s">
        <v>40</v>
      </c>
      <c r="G1380" t="s">
        <v>48</v>
      </c>
      <c r="H1380" t="s">
        <v>1381</v>
      </c>
    </row>
    <row r="1381" spans="1:8" x14ac:dyDescent="0.3">
      <c r="A1381">
        <v>1380</v>
      </c>
      <c r="B1381" s="3">
        <v>45716.821412037003</v>
      </c>
      <c r="C1381" s="3">
        <v>45689</v>
      </c>
      <c r="D1381" t="s">
        <v>19</v>
      </c>
      <c r="E1381" t="s">
        <v>1437</v>
      </c>
      <c r="F1381" t="s">
        <v>21</v>
      </c>
      <c r="G1381" t="s">
        <v>29</v>
      </c>
      <c r="H1381" t="s">
        <v>1381</v>
      </c>
    </row>
    <row r="1382" spans="1:8" x14ac:dyDescent="0.3">
      <c r="A1382">
        <v>1381</v>
      </c>
      <c r="B1382" s="3">
        <v>45716.937083333301</v>
      </c>
      <c r="C1382" s="3">
        <v>45689</v>
      </c>
      <c r="D1382" t="s">
        <v>19</v>
      </c>
      <c r="E1382" t="s">
        <v>1438</v>
      </c>
      <c r="F1382" t="s">
        <v>32</v>
      </c>
      <c r="G1382" t="s">
        <v>33</v>
      </c>
      <c r="H1382" t="s">
        <v>810</v>
      </c>
    </row>
    <row r="1383" spans="1:8" x14ac:dyDescent="0.3">
      <c r="A1383">
        <v>1382</v>
      </c>
      <c r="B1383" s="3">
        <v>45716.948865740698</v>
      </c>
      <c r="C1383" s="3">
        <v>45689</v>
      </c>
      <c r="D1383" t="s">
        <v>19</v>
      </c>
      <c r="E1383" t="s">
        <v>1439</v>
      </c>
      <c r="F1383" t="s">
        <v>21</v>
      </c>
      <c r="G1383" t="s">
        <v>345</v>
      </c>
      <c r="H1383" t="s">
        <v>1381</v>
      </c>
    </row>
    <row r="1384" spans="1:8" x14ac:dyDescent="0.3">
      <c r="A1384">
        <v>1383</v>
      </c>
      <c r="B1384" s="3">
        <v>45723.715081018498</v>
      </c>
      <c r="C1384" s="3">
        <v>45717</v>
      </c>
      <c r="D1384" t="s">
        <v>19</v>
      </c>
      <c r="E1384" t="s">
        <v>1440</v>
      </c>
      <c r="F1384" t="s">
        <v>32</v>
      </c>
      <c r="G1384" t="s">
        <v>317</v>
      </c>
      <c r="H1384" t="s">
        <v>1381</v>
      </c>
    </row>
    <row r="1385" spans="1:8" x14ac:dyDescent="0.3">
      <c r="A1385">
        <v>1384</v>
      </c>
      <c r="B1385" s="3">
        <v>45728.535393518498</v>
      </c>
      <c r="C1385" s="3">
        <v>45717</v>
      </c>
      <c r="D1385" t="s">
        <v>19</v>
      </c>
      <c r="E1385" t="s">
        <v>1441</v>
      </c>
      <c r="F1385" t="s">
        <v>32</v>
      </c>
      <c r="G1385" t="s">
        <v>69</v>
      </c>
      <c r="H1385" t="s">
        <v>1381</v>
      </c>
    </row>
    <row r="1386" spans="1:8" x14ac:dyDescent="0.3">
      <c r="A1386">
        <v>1385</v>
      </c>
      <c r="B1386" s="3">
        <v>45728.573043981502</v>
      </c>
      <c r="C1386" s="3">
        <v>45717</v>
      </c>
      <c r="D1386" t="s">
        <v>19</v>
      </c>
      <c r="E1386" t="s">
        <v>1442</v>
      </c>
      <c r="F1386" t="s">
        <v>21</v>
      </c>
      <c r="G1386" t="s">
        <v>345</v>
      </c>
      <c r="H1386" t="s">
        <v>27</v>
      </c>
    </row>
    <row r="1387" spans="1:8" x14ac:dyDescent="0.3">
      <c r="A1387">
        <v>1386</v>
      </c>
      <c r="B1387" s="3">
        <v>45728.577511574098</v>
      </c>
      <c r="C1387" s="3">
        <v>45717</v>
      </c>
      <c r="D1387" t="s">
        <v>19</v>
      </c>
      <c r="E1387" t="s">
        <v>1443</v>
      </c>
      <c r="F1387" t="s">
        <v>25</v>
      </c>
      <c r="G1387" t="s">
        <v>26</v>
      </c>
      <c r="H1387" t="s">
        <v>1381</v>
      </c>
    </row>
    <row r="1388" spans="1:8" x14ac:dyDescent="0.3">
      <c r="A1388">
        <v>1387</v>
      </c>
      <c r="B1388" s="3">
        <v>45730.680196759298</v>
      </c>
      <c r="C1388" s="3">
        <v>45717</v>
      </c>
      <c r="D1388" t="s">
        <v>19</v>
      </c>
      <c r="E1388" t="s">
        <v>1444</v>
      </c>
      <c r="F1388" t="s">
        <v>32</v>
      </c>
      <c r="G1388" t="s">
        <v>33</v>
      </c>
      <c r="H1388" t="s">
        <v>1381</v>
      </c>
    </row>
    <row r="1389" spans="1:8" x14ac:dyDescent="0.3">
      <c r="A1389">
        <v>1388</v>
      </c>
      <c r="B1389" s="3">
        <v>45734.651782407404</v>
      </c>
      <c r="C1389" s="3">
        <v>45717</v>
      </c>
      <c r="D1389" t="s">
        <v>19</v>
      </c>
      <c r="E1389" t="s">
        <v>1445</v>
      </c>
      <c r="F1389" t="s">
        <v>21</v>
      </c>
      <c r="G1389" t="s">
        <v>593</v>
      </c>
      <c r="H1389" t="s">
        <v>1381</v>
      </c>
    </row>
    <row r="1390" spans="1:8" x14ac:dyDescent="0.3">
      <c r="A1390">
        <v>1389</v>
      </c>
      <c r="B1390" s="3">
        <v>45735.7415162037</v>
      </c>
      <c r="C1390" s="3">
        <v>45717</v>
      </c>
      <c r="D1390" t="s">
        <v>19</v>
      </c>
      <c r="E1390" t="s">
        <v>1446</v>
      </c>
      <c r="F1390" t="s">
        <v>40</v>
      </c>
      <c r="G1390" t="s">
        <v>75</v>
      </c>
      <c r="H1390" t="s">
        <v>810</v>
      </c>
    </row>
    <row r="1391" spans="1:8" x14ac:dyDescent="0.3">
      <c r="A1391">
        <v>1390</v>
      </c>
      <c r="B1391" s="3">
        <v>45736.658460648199</v>
      </c>
      <c r="C1391" s="3">
        <v>45717</v>
      </c>
      <c r="D1391" t="s">
        <v>19</v>
      </c>
      <c r="E1391" t="s">
        <v>1447</v>
      </c>
      <c r="F1391" t="s">
        <v>25</v>
      </c>
      <c r="G1391" t="s">
        <v>26</v>
      </c>
      <c r="H1391" t="s">
        <v>1381</v>
      </c>
    </row>
    <row r="1392" spans="1:8" x14ac:dyDescent="0.3">
      <c r="A1392">
        <v>1391</v>
      </c>
      <c r="B1392" s="3">
        <v>45736.6747106482</v>
      </c>
      <c r="C1392" s="3">
        <v>45717</v>
      </c>
      <c r="D1392" t="s">
        <v>19</v>
      </c>
      <c r="E1392" t="s">
        <v>1448</v>
      </c>
      <c r="F1392" t="s">
        <v>21</v>
      </c>
      <c r="G1392" t="s">
        <v>29</v>
      </c>
      <c r="H1392" t="s">
        <v>1381</v>
      </c>
    </row>
    <row r="1393" spans="1:8" x14ac:dyDescent="0.3">
      <c r="A1393">
        <v>1392</v>
      </c>
      <c r="B1393" s="3">
        <v>45736.748611111099</v>
      </c>
      <c r="C1393" s="3">
        <v>45717</v>
      </c>
      <c r="D1393" t="s">
        <v>19</v>
      </c>
      <c r="E1393" t="s">
        <v>1449</v>
      </c>
      <c r="F1393" t="s">
        <v>32</v>
      </c>
      <c r="G1393" t="s">
        <v>593</v>
      </c>
      <c r="H1393" t="s">
        <v>27</v>
      </c>
    </row>
    <row r="1394" spans="1:8" x14ac:dyDescent="0.3">
      <c r="A1394">
        <v>1393</v>
      </c>
      <c r="B1394" s="3">
        <v>45738.513865740701</v>
      </c>
      <c r="C1394" s="3">
        <v>45717</v>
      </c>
      <c r="D1394" t="s">
        <v>19</v>
      </c>
      <c r="E1394" t="s">
        <v>1450</v>
      </c>
      <c r="F1394" t="s">
        <v>25</v>
      </c>
      <c r="G1394" t="s">
        <v>26</v>
      </c>
      <c r="H1394" t="s">
        <v>810</v>
      </c>
    </row>
    <row r="1395" spans="1:8" x14ac:dyDescent="0.3">
      <c r="A1395">
        <v>1394</v>
      </c>
      <c r="B1395" s="3">
        <v>45740.696041666699</v>
      </c>
      <c r="C1395" s="3">
        <v>45717</v>
      </c>
      <c r="D1395" t="s">
        <v>19</v>
      </c>
      <c r="E1395" t="s">
        <v>1451</v>
      </c>
      <c r="F1395" t="s">
        <v>25</v>
      </c>
      <c r="G1395" t="s">
        <v>29</v>
      </c>
      <c r="H1395" t="s">
        <v>810</v>
      </c>
    </row>
    <row r="1396" spans="1:8" x14ac:dyDescent="0.3">
      <c r="A1396">
        <v>1395</v>
      </c>
      <c r="B1396" s="3">
        <v>45740.6980555556</v>
      </c>
      <c r="C1396" s="3">
        <v>45717</v>
      </c>
      <c r="D1396" t="s">
        <v>19</v>
      </c>
      <c r="E1396" t="s">
        <v>1452</v>
      </c>
      <c r="F1396" t="s">
        <v>25</v>
      </c>
      <c r="G1396" t="s">
        <v>26</v>
      </c>
      <c r="H1396" t="s">
        <v>810</v>
      </c>
    </row>
    <row r="1397" spans="1:8" x14ac:dyDescent="0.3">
      <c r="A1397">
        <v>1396</v>
      </c>
      <c r="B1397" s="3">
        <v>45741.645347222198</v>
      </c>
      <c r="C1397" s="3">
        <v>45717</v>
      </c>
      <c r="D1397" t="s">
        <v>19</v>
      </c>
      <c r="E1397" t="s">
        <v>1453</v>
      </c>
      <c r="F1397" t="s">
        <v>32</v>
      </c>
      <c r="G1397" t="s">
        <v>345</v>
      </c>
      <c r="H1397" t="s">
        <v>1381</v>
      </c>
    </row>
    <row r="1398" spans="1:8" x14ac:dyDescent="0.3">
      <c r="A1398">
        <v>1397</v>
      </c>
      <c r="B1398" s="3">
        <v>45741.646562499998</v>
      </c>
      <c r="C1398" s="3">
        <v>45717</v>
      </c>
      <c r="D1398" t="s">
        <v>19</v>
      </c>
      <c r="E1398" t="s">
        <v>1454</v>
      </c>
      <c r="F1398" t="s">
        <v>25</v>
      </c>
      <c r="G1398" t="s">
        <v>26</v>
      </c>
      <c r="H1398" t="s">
        <v>1381</v>
      </c>
    </row>
    <row r="1399" spans="1:8" x14ac:dyDescent="0.3">
      <c r="A1399">
        <v>1398</v>
      </c>
      <c r="B1399" s="3">
        <v>45741.711689814802</v>
      </c>
      <c r="C1399" s="3">
        <v>45717</v>
      </c>
      <c r="D1399" t="s">
        <v>19</v>
      </c>
      <c r="E1399" t="s">
        <v>1455</v>
      </c>
      <c r="F1399" t="s">
        <v>32</v>
      </c>
      <c r="G1399" t="s">
        <v>69</v>
      </c>
      <c r="H1399" t="s">
        <v>810</v>
      </c>
    </row>
    <row r="1400" spans="1:8" x14ac:dyDescent="0.3">
      <c r="A1400">
        <v>1399</v>
      </c>
      <c r="B1400" s="3">
        <v>45742.4313541667</v>
      </c>
      <c r="C1400" s="3">
        <v>45717</v>
      </c>
      <c r="D1400" t="s">
        <v>19</v>
      </c>
      <c r="E1400" t="s">
        <v>1456</v>
      </c>
      <c r="F1400" t="s">
        <v>25</v>
      </c>
      <c r="G1400" t="s">
        <v>345</v>
      </c>
      <c r="H1400" t="s">
        <v>234</v>
      </c>
    </row>
    <row r="1401" spans="1:8" x14ac:dyDescent="0.3">
      <c r="A1401">
        <v>1400</v>
      </c>
      <c r="B1401" s="3">
        <v>45742</v>
      </c>
      <c r="C1401" s="3">
        <v>45717</v>
      </c>
      <c r="D1401" t="s">
        <v>19</v>
      </c>
      <c r="E1401" t="s">
        <v>1457</v>
      </c>
      <c r="F1401" t="s">
        <v>32</v>
      </c>
      <c r="G1401" t="s">
        <v>345</v>
      </c>
      <c r="H1401" t="s">
        <v>1381</v>
      </c>
    </row>
    <row r="1402" spans="1:8" x14ac:dyDescent="0.3">
      <c r="A1402">
        <v>1401</v>
      </c>
      <c r="B1402" s="3">
        <v>45742</v>
      </c>
      <c r="C1402" s="3">
        <v>45717</v>
      </c>
      <c r="D1402" t="s">
        <v>19</v>
      </c>
      <c r="E1402" t="s">
        <v>1458</v>
      </c>
      <c r="F1402" t="s">
        <v>32</v>
      </c>
      <c r="G1402" t="s">
        <v>33</v>
      </c>
      <c r="H1402" t="s">
        <v>1381</v>
      </c>
    </row>
    <row r="1403" spans="1:8" x14ac:dyDescent="0.3">
      <c r="A1403">
        <v>1402</v>
      </c>
      <c r="B1403" s="3">
        <v>45742</v>
      </c>
      <c r="C1403" s="3">
        <v>45717</v>
      </c>
      <c r="D1403" t="s">
        <v>19</v>
      </c>
      <c r="E1403" t="s">
        <v>1459</v>
      </c>
      <c r="F1403" t="s">
        <v>32</v>
      </c>
      <c r="G1403" t="s">
        <v>33</v>
      </c>
      <c r="H1403" t="s">
        <v>1381</v>
      </c>
    </row>
    <row r="1404" spans="1:8" x14ac:dyDescent="0.3">
      <c r="A1404">
        <v>1403</v>
      </c>
      <c r="B1404" s="3">
        <v>45743</v>
      </c>
      <c r="C1404" s="3">
        <v>45717</v>
      </c>
      <c r="D1404" t="s">
        <v>19</v>
      </c>
      <c r="E1404" t="s">
        <v>1460</v>
      </c>
      <c r="F1404" t="s">
        <v>21</v>
      </c>
      <c r="G1404" t="s">
        <v>22</v>
      </c>
      <c r="H1404" t="s">
        <v>30</v>
      </c>
    </row>
    <row r="1405" spans="1:8" x14ac:dyDescent="0.3">
      <c r="A1405">
        <v>1404</v>
      </c>
      <c r="B1405" s="3">
        <v>45743</v>
      </c>
      <c r="C1405" s="3">
        <v>45717</v>
      </c>
      <c r="D1405" t="s">
        <v>19</v>
      </c>
      <c r="E1405" t="s">
        <v>1461</v>
      </c>
      <c r="F1405" t="s">
        <v>32</v>
      </c>
      <c r="G1405" t="s">
        <v>110</v>
      </c>
      <c r="H1405" t="s">
        <v>27</v>
      </c>
    </row>
    <row r="1406" spans="1:8" x14ac:dyDescent="0.3">
      <c r="A1406">
        <v>1405</v>
      </c>
      <c r="B1406" s="3">
        <v>45743</v>
      </c>
      <c r="C1406" s="3">
        <v>45717</v>
      </c>
      <c r="D1406" t="s">
        <v>19</v>
      </c>
      <c r="E1406" t="s">
        <v>1462</v>
      </c>
      <c r="F1406" t="s">
        <v>40</v>
      </c>
      <c r="G1406" t="s">
        <v>41</v>
      </c>
      <c r="H1406" t="s">
        <v>30</v>
      </c>
    </row>
    <row r="1407" spans="1:8" x14ac:dyDescent="0.3">
      <c r="A1407">
        <v>1406</v>
      </c>
      <c r="B1407" s="3">
        <v>45744</v>
      </c>
      <c r="C1407" s="3">
        <v>45717</v>
      </c>
      <c r="D1407" t="s">
        <v>19</v>
      </c>
      <c r="E1407" t="s">
        <v>1463</v>
      </c>
      <c r="F1407" t="s">
        <v>40</v>
      </c>
      <c r="G1407" t="s">
        <v>1464</v>
      </c>
      <c r="H1407" t="s">
        <v>1381</v>
      </c>
    </row>
    <row r="1408" spans="1:8" x14ac:dyDescent="0.3">
      <c r="A1408">
        <v>1407</v>
      </c>
      <c r="B1408" s="3">
        <v>45745</v>
      </c>
      <c r="C1408" s="3">
        <v>45717</v>
      </c>
      <c r="D1408" t="s">
        <v>19</v>
      </c>
      <c r="E1408" t="s">
        <v>1465</v>
      </c>
      <c r="F1408" t="s">
        <v>40</v>
      </c>
      <c r="G1408" t="s">
        <v>75</v>
      </c>
      <c r="H1408" t="s">
        <v>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zoomScaleNormal="100" workbookViewId="0"/>
  </sheetViews>
  <sheetFormatPr defaultColWidth="8.6640625" defaultRowHeight="14.4" x14ac:dyDescent="0.3"/>
  <cols>
    <col min="1" max="1" width="20" customWidth="1"/>
    <col min="2" max="2" width="16" customWidth="1"/>
    <col min="3" max="3" width="12" customWidth="1"/>
    <col min="4" max="4" width="34" customWidth="1"/>
  </cols>
  <sheetData>
    <row r="1" spans="1:4" ht="28.2" x14ac:dyDescent="0.3">
      <c r="A1" s="4" t="s">
        <v>11</v>
      </c>
      <c r="B1" s="4" t="s">
        <v>12</v>
      </c>
      <c r="C1" s="4" t="s">
        <v>13</v>
      </c>
      <c r="D1" s="5" t="s">
        <v>1466</v>
      </c>
    </row>
    <row r="2" spans="1:4" x14ac:dyDescent="0.3">
      <c r="A2" t="s">
        <v>30</v>
      </c>
      <c r="B2" t="s">
        <v>1467</v>
      </c>
      <c r="C2" t="s">
        <v>1468</v>
      </c>
      <c r="D2">
        <v>850000</v>
      </c>
    </row>
    <row r="3" spans="1:4" x14ac:dyDescent="0.3">
      <c r="A3" t="s">
        <v>574</v>
      </c>
      <c r="B3" t="s">
        <v>1467</v>
      </c>
      <c r="C3" t="s">
        <v>1468</v>
      </c>
      <c r="D3">
        <v>850000</v>
      </c>
    </row>
    <row r="4" spans="1:4" x14ac:dyDescent="0.3">
      <c r="A4" t="s">
        <v>1381</v>
      </c>
      <c r="B4" t="s">
        <v>1467</v>
      </c>
      <c r="C4" t="s">
        <v>1468</v>
      </c>
      <c r="D4">
        <v>950000</v>
      </c>
    </row>
    <row r="5" spans="1:4" x14ac:dyDescent="0.3">
      <c r="A5" t="s">
        <v>86</v>
      </c>
      <c r="B5" t="s">
        <v>1467</v>
      </c>
      <c r="C5" t="s">
        <v>1469</v>
      </c>
      <c r="D5">
        <v>950000</v>
      </c>
    </row>
    <row r="6" spans="1:4" x14ac:dyDescent="0.3">
      <c r="A6" t="s">
        <v>27</v>
      </c>
      <c r="B6" t="s">
        <v>1470</v>
      </c>
      <c r="C6" t="s">
        <v>1468</v>
      </c>
      <c r="D6">
        <v>1250000</v>
      </c>
    </row>
    <row r="7" spans="1:4" x14ac:dyDescent="0.3">
      <c r="A7" t="s">
        <v>66</v>
      </c>
      <c r="B7" t="s">
        <v>1470</v>
      </c>
      <c r="C7" t="s">
        <v>1469</v>
      </c>
      <c r="D7">
        <v>1350000</v>
      </c>
    </row>
    <row r="8" spans="1:4" x14ac:dyDescent="0.3">
      <c r="A8" t="s">
        <v>234</v>
      </c>
      <c r="B8" t="s">
        <v>1470</v>
      </c>
      <c r="C8" t="s">
        <v>1471</v>
      </c>
      <c r="D8">
        <v>1950000</v>
      </c>
    </row>
    <row r="9" spans="1:4" x14ac:dyDescent="0.3">
      <c r="A9" t="s">
        <v>51</v>
      </c>
      <c r="B9" t="s">
        <v>1470</v>
      </c>
      <c r="C9" t="s">
        <v>1468</v>
      </c>
      <c r="D9">
        <v>1100000</v>
      </c>
    </row>
    <row r="10" spans="1:4" x14ac:dyDescent="0.3">
      <c r="A10" t="s">
        <v>810</v>
      </c>
      <c r="B10" t="s">
        <v>1472</v>
      </c>
      <c r="C10" t="s">
        <v>1468</v>
      </c>
      <c r="D10">
        <v>1300000</v>
      </c>
    </row>
    <row r="11" spans="1:4" x14ac:dyDescent="0.3">
      <c r="A11" t="s">
        <v>23</v>
      </c>
      <c r="B11" t="s">
        <v>1473</v>
      </c>
      <c r="C11" t="s">
        <v>1468</v>
      </c>
      <c r="D11">
        <v>800000</v>
      </c>
    </row>
    <row r="12" spans="1:4" x14ac:dyDescent="0.3">
      <c r="A12" t="s">
        <v>236</v>
      </c>
      <c r="B12" t="s">
        <v>1472</v>
      </c>
      <c r="C12" t="s">
        <v>1468</v>
      </c>
      <c r="D12">
        <v>950000</v>
      </c>
    </row>
    <row r="13" spans="1:4" x14ac:dyDescent="0.3">
      <c r="A13" t="s">
        <v>230</v>
      </c>
      <c r="B13" t="s">
        <v>1472</v>
      </c>
      <c r="C13" t="s">
        <v>1469</v>
      </c>
      <c r="D13">
        <v>1050000</v>
      </c>
    </row>
    <row r="15" spans="1:4" x14ac:dyDescent="0.3">
      <c r="A15" s="6" t="s">
        <v>1474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5"/>
  <sheetViews>
    <sheetView zoomScaleNormal="100" workbookViewId="0"/>
  </sheetViews>
  <sheetFormatPr defaultColWidth="8.6640625" defaultRowHeight="14.4" x14ac:dyDescent="0.3"/>
  <cols>
    <col min="1" max="2" width="32" customWidth="1"/>
    <col min="3" max="3" width="30" customWidth="1"/>
  </cols>
  <sheetData>
    <row r="1" spans="1:3" x14ac:dyDescent="0.3">
      <c r="A1" s="4" t="s">
        <v>9</v>
      </c>
      <c r="B1" s="4" t="s">
        <v>10</v>
      </c>
      <c r="C1" s="4" t="s">
        <v>1475</v>
      </c>
    </row>
    <row r="2" spans="1:3" x14ac:dyDescent="0.3">
      <c r="A2" t="s">
        <v>22</v>
      </c>
      <c r="B2" t="s">
        <v>1476</v>
      </c>
      <c r="C2">
        <v>300</v>
      </c>
    </row>
    <row r="3" spans="1:3" x14ac:dyDescent="0.3">
      <c r="A3" t="s">
        <v>29</v>
      </c>
      <c r="B3" t="s">
        <v>1477</v>
      </c>
      <c r="C3">
        <v>150</v>
      </c>
    </row>
    <row r="4" spans="1:3" x14ac:dyDescent="0.3">
      <c r="A4" t="s">
        <v>33</v>
      </c>
      <c r="B4" t="s">
        <v>1478</v>
      </c>
      <c r="C4">
        <v>1200</v>
      </c>
    </row>
    <row r="5" spans="1:3" x14ac:dyDescent="0.3">
      <c r="A5" t="s">
        <v>26</v>
      </c>
      <c r="B5" t="s">
        <v>1479</v>
      </c>
      <c r="C5">
        <v>250</v>
      </c>
    </row>
    <row r="6" spans="1:3" x14ac:dyDescent="0.3">
      <c r="A6" t="s">
        <v>48</v>
      </c>
      <c r="B6" t="s">
        <v>1476</v>
      </c>
      <c r="C6">
        <v>300</v>
      </c>
    </row>
    <row r="7" spans="1:3" x14ac:dyDescent="0.3">
      <c r="A7" t="s">
        <v>345</v>
      </c>
      <c r="B7" t="s">
        <v>1480</v>
      </c>
      <c r="C7">
        <v>150</v>
      </c>
    </row>
    <row r="8" spans="1:3" x14ac:dyDescent="0.3">
      <c r="A8" t="s">
        <v>75</v>
      </c>
      <c r="B8" t="s">
        <v>1481</v>
      </c>
      <c r="C8">
        <v>100</v>
      </c>
    </row>
    <row r="9" spans="1:3" x14ac:dyDescent="0.3">
      <c r="A9" t="s">
        <v>317</v>
      </c>
      <c r="B9" t="s">
        <v>1480</v>
      </c>
      <c r="C9">
        <v>100</v>
      </c>
    </row>
    <row r="10" spans="1:3" x14ac:dyDescent="0.3">
      <c r="A10" t="s">
        <v>69</v>
      </c>
      <c r="B10" t="s">
        <v>1482</v>
      </c>
      <c r="C10">
        <v>100</v>
      </c>
    </row>
    <row r="11" spans="1:3" x14ac:dyDescent="0.3">
      <c r="A11" t="s">
        <v>41</v>
      </c>
      <c r="B11" t="s">
        <v>1483</v>
      </c>
      <c r="C11">
        <v>600</v>
      </c>
    </row>
    <row r="12" spans="1:3" x14ac:dyDescent="0.3">
      <c r="A12" t="s">
        <v>58</v>
      </c>
      <c r="B12" t="s">
        <v>1484</v>
      </c>
      <c r="C12">
        <v>900</v>
      </c>
    </row>
    <row r="13" spans="1:3" x14ac:dyDescent="0.3">
      <c r="A13" t="s">
        <v>593</v>
      </c>
      <c r="B13" t="s">
        <v>1485</v>
      </c>
      <c r="C13">
        <v>50</v>
      </c>
    </row>
    <row r="14" spans="1:3" x14ac:dyDescent="0.3">
      <c r="A14" t="s">
        <v>437</v>
      </c>
      <c r="B14" t="s">
        <v>1476</v>
      </c>
      <c r="C14">
        <v>300</v>
      </c>
    </row>
    <row r="15" spans="1:3" x14ac:dyDescent="0.3">
      <c r="A15" t="s">
        <v>108</v>
      </c>
      <c r="B15" t="s">
        <v>1484</v>
      </c>
      <c r="C15">
        <v>900</v>
      </c>
    </row>
    <row r="16" spans="1:3" x14ac:dyDescent="0.3">
      <c r="A16" t="s">
        <v>110</v>
      </c>
      <c r="B16" t="s">
        <v>1485</v>
      </c>
      <c r="C16">
        <v>50</v>
      </c>
    </row>
    <row r="17" spans="1:3" x14ac:dyDescent="0.3">
      <c r="A17" t="s">
        <v>264</v>
      </c>
      <c r="B17" t="s">
        <v>1476</v>
      </c>
      <c r="C17">
        <v>300</v>
      </c>
    </row>
    <row r="18" spans="1:3" x14ac:dyDescent="0.3">
      <c r="A18" t="s">
        <v>938</v>
      </c>
      <c r="B18" t="s">
        <v>1486</v>
      </c>
      <c r="C18">
        <v>1500</v>
      </c>
    </row>
    <row r="19" spans="1:3" x14ac:dyDescent="0.3">
      <c r="A19" t="s">
        <v>71</v>
      </c>
      <c r="B19" t="s">
        <v>1487</v>
      </c>
      <c r="C19">
        <v>400</v>
      </c>
    </row>
    <row r="20" spans="1:3" x14ac:dyDescent="0.3">
      <c r="A20" t="s">
        <v>872</v>
      </c>
      <c r="B20" t="s">
        <v>1488</v>
      </c>
      <c r="C20">
        <v>200</v>
      </c>
    </row>
    <row r="21" spans="1:3" x14ac:dyDescent="0.3">
      <c r="A21" t="s">
        <v>1125</v>
      </c>
      <c r="B21" t="s">
        <v>1489</v>
      </c>
      <c r="C21">
        <v>700</v>
      </c>
    </row>
    <row r="22" spans="1:3" x14ac:dyDescent="0.3">
      <c r="A22" t="s">
        <v>1464</v>
      </c>
      <c r="B22" t="s">
        <v>1484</v>
      </c>
      <c r="C22">
        <v>900</v>
      </c>
    </row>
    <row r="23" spans="1:3" x14ac:dyDescent="0.3">
      <c r="A23" t="s">
        <v>1266</v>
      </c>
      <c r="B23" t="s">
        <v>1479</v>
      </c>
      <c r="C23">
        <v>150</v>
      </c>
    </row>
    <row r="25" spans="1:3" x14ac:dyDescent="0.3">
      <c r="A25" s="6" t="s">
        <v>1490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Enriched_PowerBI_Feed</vt:lpstr>
      <vt:lpstr>Raw_Data</vt:lpstr>
      <vt:lpstr>Model_Assumptions</vt:lpstr>
      <vt:lpstr>Source_Assumptions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ROHIT VINOD - 230968045 - MITMPL</cp:lastModifiedBy>
  <cp:revision>0</cp:revision>
  <dcterms:created xsi:type="dcterms:W3CDTF">2026-07-07T05:11:34Z</dcterms:created>
  <dcterms:modified xsi:type="dcterms:W3CDTF">2026-07-10T18:15:55Z</dcterms:modified>
  <dc:language>en-US</dc:language>
</cp:coreProperties>
</file>